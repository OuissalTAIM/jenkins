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Repos\mine2farm\app\samples\"/>
    </mc:Choice>
  </mc:AlternateContent>
  <bookViews>
    <workbookView xWindow="0" yWindow="0" windowWidth="28800" windowHeight="12450"/>
  </bookViews>
  <sheets>
    <sheet name="Location" sheetId="7" r:id="rId1"/>
    <sheet name="Mine" sheetId="1" r:id="rId2"/>
    <sheet name="Washplant" sheetId="2" r:id="rId3"/>
    <sheet name="PAP" sheetId="8" r:id="rId4"/>
    <sheet name="Infrastructure" sheetId="3" r:id="rId5"/>
    <sheet name="Connection" sheetId="4" r:id="rId6"/>
    <sheet name="Moniker" sheetId="5" r:id="rId7"/>
    <sheet name="MarketData" sheetId="6" r:id="rId8"/>
  </sheets>
  <functionGroups builtInGroupCount="18">
    <functionGroup name="xlwings"/>
  </functionGroups>
  <calcPr calcId="162913" calcMode="manual"/>
  <extLst>
    <ext xmlns:x14="http://schemas.microsoft.com/office/spreadsheetml/2009/9/main" uri="{8193D73E-4604-4355-AFF4-8A2333D13BE4}">
      <x14:definedNames>
        <x14:definedName name="JESA_DropAll">
          <x14:argumentDescriptions count="1">
            <x14:argumentDescription index="0">Positional argument 1</x14:argumentDescription>
          </x14:argumentDescriptions>
        </x14:definedName>
        <x14:definedName name="JESA_Load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JESA_PrintName">
          <x14:argumentDescriptions count="1">
            <x14:argumentDescription index="0">Positional argument 1</x14:argumentDescription>
          </x14:argumentDescriptions>
        </x14:definedName>
        <x14:definedName name="JESA_UploadTable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7" l="1"/>
  <c r="B2" i="4"/>
  <c r="M2" i="1"/>
  <c r="B2" i="8"/>
  <c r="B2" i="6"/>
  <c r="B2" i="1"/>
  <c r="B2" i="2"/>
  <c r="B2" i="3"/>
  <c r="B2" i="5"/>
</calcChain>
</file>

<file path=xl/sharedStrings.xml><?xml version="1.0" encoding="utf-8"?>
<sst xmlns="http://schemas.openxmlformats.org/spreadsheetml/2006/main" count="176" uniqueCount="85">
  <si>
    <t>Mine</t>
  </si>
  <si>
    <t>BenGuerir</t>
  </si>
  <si>
    <t>Mesqala</t>
  </si>
  <si>
    <t>Mzinda</t>
  </si>
  <si>
    <t>Youssoufia</t>
  </si>
  <si>
    <t>Capacity</t>
  </si>
  <si>
    <t>Capacity[MT]</t>
  </si>
  <si>
    <t>Quality</t>
  </si>
  <si>
    <t>Process</t>
  </si>
  <si>
    <t>Extraction</t>
  </si>
  <si>
    <t>classique</t>
  </si>
  <si>
    <t>PercentQuality</t>
  </si>
  <si>
    <t>MT</t>
  </si>
  <si>
    <t>advanced</t>
  </si>
  <si>
    <t>HT</t>
  </si>
  <si>
    <t>BT</t>
  </si>
  <si>
    <t>TBT</t>
  </si>
  <si>
    <t>Opex[$/T]</t>
  </si>
  <si>
    <t>Capex(m$)</t>
  </si>
  <si>
    <t>Water[m3/T]</t>
  </si>
  <si>
    <t>Electricity[kWh/T]</t>
  </si>
  <si>
    <t>Sterile(Waste)[m3/T]</t>
  </si>
  <si>
    <t>Washplant</t>
  </si>
  <si>
    <t>Calcination</t>
  </si>
  <si>
    <t>Boue(Waste)[m3/T]</t>
  </si>
  <si>
    <t>Moyen</t>
  </si>
  <si>
    <t>Train</t>
  </si>
  <si>
    <t>Opex[$/km]</t>
  </si>
  <si>
    <t>Capex[m$/km]</t>
  </si>
  <si>
    <t>Conveyor</t>
  </si>
  <si>
    <t>Electricity[kWh/km]</t>
  </si>
  <si>
    <t>Fuel[T/km]</t>
  </si>
  <si>
    <t>Pipe</t>
  </si>
  <si>
    <t>Distance[km]</t>
  </si>
  <si>
    <t>Washing</t>
  </si>
  <si>
    <t>Drying</t>
  </si>
  <si>
    <t>Enrichissement[%]</t>
  </si>
  <si>
    <t>Infrastructure</t>
  </si>
  <si>
    <t>SAP</t>
  </si>
  <si>
    <t>PAP</t>
  </si>
  <si>
    <t>Safi</t>
  </si>
  <si>
    <t>Essaouira</t>
  </si>
  <si>
    <t>Lorry</t>
  </si>
  <si>
    <t>From</t>
  </si>
  <si>
    <t>To</t>
  </si>
  <si>
    <t>MonikerTemplate</t>
  </si>
  <si>
    <t>MarketData</t>
  </si>
  <si>
    <t>Commodity</t>
  </si>
  <si>
    <t>Sulfur[$/T]</t>
  </si>
  <si>
    <t>Nitrate[$/T]</t>
  </si>
  <si>
    <t>Chloryde[$/T]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</si>
  <si>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</si>
  <si>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</si>
  <si>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</si>
  <si>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</si>
  <si>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</si>
  <si>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</si>
  <si>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</si>
  <si>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</si>
  <si>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</si>
  <si>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</si>
  <si>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</si>
  <si>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Connection</t>
  </si>
  <si>
    <t>Mine/BenGuerir</t>
  </si>
  <si>
    <t>Washplant/Youssoufia</t>
  </si>
  <si>
    <t>Washplant/BenGuerir</t>
  </si>
  <si>
    <t>Mine/Mesqala</t>
  </si>
  <si>
    <t>Washplant/Mesqala</t>
  </si>
  <si>
    <t>Mine/Youssoufia</t>
  </si>
  <si>
    <t>Washplant/Safi</t>
  </si>
  <si>
    <t>Mine/Mzinda</t>
  </si>
  <si>
    <t>Washplant/Mzinda</t>
  </si>
  <si>
    <t>Washplant/Essaouira</t>
  </si>
  <si>
    <t>Capex[m$]</t>
  </si>
  <si>
    <t>Sulfuric</t>
  </si>
  <si>
    <t>HCl</t>
  </si>
  <si>
    <t>Nitric</t>
  </si>
  <si>
    <t>PAP/Safi</t>
  </si>
  <si>
    <t>granulation[@%year%]/%location%/%process%/all/all</t>
  </si>
  <si>
    <t>mine[@%year%]/%location%/%extraction%/%quality%/all</t>
  </si>
  <si>
    <t>washplant[@%year%]/%location%/%process%/%quality%/all</t>
  </si>
  <si>
    <t>sap[@%year%]/%location%/%process%/sulfur/all</t>
  </si>
  <si>
    <t>pap[@%year%]/%location%/%process%/%quality%/all</t>
  </si>
  <si>
    <t>port[@%year%]/%location%/%quaysize%/%product%/all</t>
  </si>
  <si>
    <t>SimpleLocation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</si>
</sst>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9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E8"/>
  <sheetViews>
    <sheetView tabSelected="1" workbookViewId="0">
      <selection activeCell="B3" sqref="B3"/>
    </sheetView>
  </sheetViews>
  <sheetFormatPr defaultRowHeight="14.5" x14ac:dyDescent="0.35"/>
  <sheetData>
    <row r="2" spans="2:5" x14ac:dyDescent="0.35">
      <c r="B2" t="str">
        <f>JESA_UploadTable(B3,B4:E8)</f>
        <v>simplelocation Saved! @08:46:35</v>
      </c>
    </row>
    <row r="3" spans="2:5" x14ac:dyDescent="0.35">
      <c r="B3" t="s">
        <v>84</v>
      </c>
    </row>
    <row r="4" spans="2:5" x14ac:dyDescent="0.35">
      <c r="B4" t="s">
        <v>0</v>
      </c>
      <c r="C4" t="s">
        <v>22</v>
      </c>
      <c r="D4" t="s">
        <v>38</v>
      </c>
      <c r="E4" t="s">
        <v>39</v>
      </c>
    </row>
    <row r="5" spans="2:5" x14ac:dyDescent="0.35">
      <c r="B5" t="s">
        <v>1</v>
      </c>
      <c r="C5" t="s">
        <v>1</v>
      </c>
      <c r="D5" t="s">
        <v>3</v>
      </c>
      <c r="E5" t="s">
        <v>3</v>
      </c>
    </row>
    <row r="6" spans="2:5" x14ac:dyDescent="0.35">
      <c r="B6" t="s">
        <v>2</v>
      </c>
      <c r="C6" t="s">
        <v>4</v>
      </c>
      <c r="D6" t="s">
        <v>40</v>
      </c>
      <c r="E6" t="s">
        <v>40</v>
      </c>
    </row>
    <row r="7" spans="2:5" x14ac:dyDescent="0.35">
      <c r="B7" t="s">
        <v>3</v>
      </c>
      <c r="C7" t="s">
        <v>2</v>
      </c>
      <c r="D7" t="s">
        <v>41</v>
      </c>
      <c r="E7" t="s">
        <v>41</v>
      </c>
    </row>
    <row r="8" spans="2:5" x14ac:dyDescent="0.35">
      <c r="B8" t="s">
        <v>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P19"/>
  <sheetViews>
    <sheetView workbookViewId="0">
      <selection activeCell="B41" sqref="B41"/>
    </sheetView>
  </sheetViews>
  <sheetFormatPr defaultRowHeight="14.5" x14ac:dyDescent="0.35"/>
  <sheetData>
    <row r="2" spans="2:16" x14ac:dyDescent="0.35">
      <c r="B2" t="str">
        <f>JESA_UploadTable(B3,B3:I11)</f>
        <v>mine Saved! @08:43:55</v>
      </c>
      <c r="M2" t="str">
        <f>JESA_UploadTable(M3&amp;"-"&amp;N3,M3:P19)</f>
        <v>mine-extraction Saved! @08:43:55</v>
      </c>
    </row>
    <row r="3" spans="2:16" x14ac:dyDescent="0.35">
      <c r="B3" t="s">
        <v>0</v>
      </c>
      <c r="C3" t="s">
        <v>6</v>
      </c>
      <c r="D3" t="s">
        <v>9</v>
      </c>
      <c r="E3" t="s">
        <v>73</v>
      </c>
      <c r="F3" t="s">
        <v>17</v>
      </c>
      <c r="G3" t="s">
        <v>19</v>
      </c>
      <c r="H3" t="s">
        <v>20</v>
      </c>
      <c r="I3" t="s">
        <v>21</v>
      </c>
      <c r="M3" t="s">
        <v>0</v>
      </c>
      <c r="N3" t="s">
        <v>9</v>
      </c>
      <c r="O3" t="s">
        <v>7</v>
      </c>
      <c r="P3" t="s">
        <v>11</v>
      </c>
    </row>
    <row r="4" spans="2:16" x14ac:dyDescent="0.35">
      <c r="B4" t="s">
        <v>1</v>
      </c>
      <c r="C4">
        <v>6</v>
      </c>
      <c r="D4" t="s">
        <v>10</v>
      </c>
      <c r="E4">
        <v>20</v>
      </c>
      <c r="F4">
        <v>2</v>
      </c>
      <c r="G4">
        <v>10</v>
      </c>
      <c r="H4">
        <v>100</v>
      </c>
      <c r="I4">
        <v>0.5</v>
      </c>
      <c r="M4" t="s">
        <v>1</v>
      </c>
      <c r="N4" t="s">
        <v>10</v>
      </c>
      <c r="O4" s="1" t="s">
        <v>12</v>
      </c>
      <c r="P4" s="1">
        <v>0.6</v>
      </c>
    </row>
    <row r="5" spans="2:16" x14ac:dyDescent="0.35">
      <c r="B5" t="s">
        <v>2</v>
      </c>
      <c r="C5">
        <v>2</v>
      </c>
      <c r="D5" t="s">
        <v>10</v>
      </c>
      <c r="E5">
        <v>10</v>
      </c>
      <c r="F5">
        <v>3</v>
      </c>
      <c r="G5">
        <v>10</v>
      </c>
      <c r="H5">
        <v>100</v>
      </c>
      <c r="I5">
        <v>0.5</v>
      </c>
      <c r="M5" t="s">
        <v>1</v>
      </c>
      <c r="N5" t="s">
        <v>10</v>
      </c>
      <c r="O5" t="s">
        <v>14</v>
      </c>
      <c r="P5" s="1">
        <v>0</v>
      </c>
    </row>
    <row r="6" spans="2:16" x14ac:dyDescent="0.35">
      <c r="B6" t="s">
        <v>3</v>
      </c>
      <c r="C6">
        <v>3</v>
      </c>
      <c r="D6" t="s">
        <v>10</v>
      </c>
      <c r="E6">
        <v>5</v>
      </c>
      <c r="F6">
        <v>2</v>
      </c>
      <c r="G6">
        <v>10</v>
      </c>
      <c r="H6">
        <v>100</v>
      </c>
      <c r="I6">
        <v>0.5</v>
      </c>
      <c r="M6" t="s">
        <v>1</v>
      </c>
      <c r="N6" t="s">
        <v>10</v>
      </c>
      <c r="O6" t="s">
        <v>15</v>
      </c>
      <c r="P6" s="1">
        <v>0.25</v>
      </c>
    </row>
    <row r="7" spans="2:16" x14ac:dyDescent="0.35">
      <c r="B7" t="s">
        <v>4</v>
      </c>
      <c r="C7">
        <v>3.5</v>
      </c>
      <c r="D7" t="s">
        <v>10</v>
      </c>
      <c r="E7">
        <v>0</v>
      </c>
      <c r="F7">
        <v>3</v>
      </c>
      <c r="G7">
        <v>10</v>
      </c>
      <c r="H7">
        <v>100</v>
      </c>
      <c r="I7">
        <v>0.5</v>
      </c>
      <c r="M7" t="s">
        <v>1</v>
      </c>
      <c r="N7" t="s">
        <v>10</v>
      </c>
      <c r="O7" t="s">
        <v>16</v>
      </c>
      <c r="P7" s="1">
        <v>0.15</v>
      </c>
    </row>
    <row r="8" spans="2:16" x14ac:dyDescent="0.35">
      <c r="B8" t="s">
        <v>1</v>
      </c>
      <c r="C8">
        <v>10</v>
      </c>
      <c r="D8" t="s">
        <v>13</v>
      </c>
      <c r="E8">
        <v>50</v>
      </c>
      <c r="F8">
        <v>1.5</v>
      </c>
      <c r="G8">
        <v>8</v>
      </c>
      <c r="H8">
        <v>90</v>
      </c>
      <c r="I8">
        <v>0.4</v>
      </c>
      <c r="M8" t="s">
        <v>1</v>
      </c>
      <c r="N8" t="s">
        <v>13</v>
      </c>
      <c r="O8" s="1" t="s">
        <v>12</v>
      </c>
      <c r="P8" s="1">
        <v>0.7</v>
      </c>
    </row>
    <row r="9" spans="2:16" x14ac:dyDescent="0.35">
      <c r="B9" t="s">
        <v>2</v>
      </c>
      <c r="C9">
        <v>3.5</v>
      </c>
      <c r="D9" t="s">
        <v>13</v>
      </c>
      <c r="E9">
        <v>20</v>
      </c>
      <c r="F9">
        <v>1.5</v>
      </c>
      <c r="G9">
        <v>8</v>
      </c>
      <c r="H9">
        <v>90</v>
      </c>
      <c r="I9">
        <v>0.4</v>
      </c>
      <c r="M9" t="s">
        <v>1</v>
      </c>
      <c r="N9" t="s">
        <v>13</v>
      </c>
      <c r="O9" t="s">
        <v>14</v>
      </c>
      <c r="P9" s="1">
        <v>0</v>
      </c>
    </row>
    <row r="10" spans="2:16" x14ac:dyDescent="0.35">
      <c r="B10" t="s">
        <v>3</v>
      </c>
      <c r="C10">
        <v>4</v>
      </c>
      <c r="D10" t="s">
        <v>13</v>
      </c>
      <c r="E10">
        <v>15</v>
      </c>
      <c r="F10">
        <v>1.5</v>
      </c>
      <c r="G10">
        <v>8</v>
      </c>
      <c r="H10">
        <v>90</v>
      </c>
      <c r="I10">
        <v>0.4</v>
      </c>
      <c r="M10" t="s">
        <v>1</v>
      </c>
      <c r="N10" t="s">
        <v>13</v>
      </c>
      <c r="O10" t="s">
        <v>15</v>
      </c>
      <c r="P10" s="1">
        <v>0.25</v>
      </c>
    </row>
    <row r="11" spans="2:16" x14ac:dyDescent="0.35">
      <c r="B11" t="s">
        <v>4</v>
      </c>
      <c r="C11">
        <v>4</v>
      </c>
      <c r="D11" t="s">
        <v>13</v>
      </c>
      <c r="E11">
        <v>5</v>
      </c>
      <c r="F11">
        <v>1.5</v>
      </c>
      <c r="G11">
        <v>8</v>
      </c>
      <c r="H11">
        <v>90</v>
      </c>
      <c r="I11">
        <v>0.4</v>
      </c>
      <c r="M11" t="s">
        <v>1</v>
      </c>
      <c r="N11" t="s">
        <v>13</v>
      </c>
      <c r="O11" t="s">
        <v>16</v>
      </c>
      <c r="P11" s="1">
        <v>0.05</v>
      </c>
    </row>
    <row r="12" spans="2:16" x14ac:dyDescent="0.35">
      <c r="M12" t="s">
        <v>2</v>
      </c>
      <c r="N12" t="s">
        <v>10</v>
      </c>
      <c r="O12" s="1" t="s">
        <v>12</v>
      </c>
      <c r="P12" s="1">
        <v>0.4</v>
      </c>
    </row>
    <row r="13" spans="2:16" x14ac:dyDescent="0.35">
      <c r="M13" t="s">
        <v>2</v>
      </c>
      <c r="N13" t="s">
        <v>10</v>
      </c>
      <c r="O13" t="s">
        <v>14</v>
      </c>
      <c r="P13" s="1">
        <v>0.05</v>
      </c>
    </row>
    <row r="14" spans="2:16" x14ac:dyDescent="0.35">
      <c r="M14" t="s">
        <v>2</v>
      </c>
      <c r="N14" t="s">
        <v>10</v>
      </c>
      <c r="O14" t="s">
        <v>15</v>
      </c>
      <c r="P14" s="1">
        <v>0.15</v>
      </c>
    </row>
    <row r="15" spans="2:16" x14ac:dyDescent="0.35">
      <c r="M15" t="s">
        <v>2</v>
      </c>
      <c r="N15" t="s">
        <v>10</v>
      </c>
      <c r="O15" t="s">
        <v>16</v>
      </c>
      <c r="P15" s="1">
        <v>0.4</v>
      </c>
    </row>
    <row r="16" spans="2:16" x14ac:dyDescent="0.35">
      <c r="M16" t="s">
        <v>2</v>
      </c>
      <c r="N16" t="s">
        <v>13</v>
      </c>
      <c r="O16" s="1" t="s">
        <v>12</v>
      </c>
      <c r="P16" s="1">
        <v>0.45</v>
      </c>
    </row>
    <row r="17" spans="13:16" x14ac:dyDescent="0.35">
      <c r="M17" t="s">
        <v>2</v>
      </c>
      <c r="N17" t="s">
        <v>13</v>
      </c>
      <c r="O17" t="s">
        <v>14</v>
      </c>
      <c r="P17" s="1">
        <v>0.1</v>
      </c>
    </row>
    <row r="18" spans="13:16" x14ac:dyDescent="0.35">
      <c r="M18" t="s">
        <v>2</v>
      </c>
      <c r="N18" t="s">
        <v>13</v>
      </c>
      <c r="O18" t="s">
        <v>15</v>
      </c>
      <c r="P18" s="1">
        <v>0.05</v>
      </c>
    </row>
    <row r="19" spans="13:16" x14ac:dyDescent="0.35">
      <c r="M19" t="s">
        <v>2</v>
      </c>
      <c r="N19" t="s">
        <v>13</v>
      </c>
      <c r="O19" t="s">
        <v>16</v>
      </c>
      <c r="P19" s="1">
        <v>0.4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I7"/>
  <sheetViews>
    <sheetView workbookViewId="0">
      <selection sqref="A1:XFD1048576"/>
    </sheetView>
  </sheetViews>
  <sheetFormatPr defaultRowHeight="14.5" x14ac:dyDescent="0.35"/>
  <sheetData>
    <row r="2" spans="2:9" x14ac:dyDescent="0.35">
      <c r="B2" t="str">
        <f>JESA_UploadTable(B3,B4:I7)</f>
        <v>washplant Saved! @08:43:55</v>
      </c>
    </row>
    <row r="3" spans="2:9" x14ac:dyDescent="0.35">
      <c r="B3" t="s">
        <v>22</v>
      </c>
    </row>
    <row r="4" spans="2:9" x14ac:dyDescent="0.35">
      <c r="B4" t="s">
        <v>5</v>
      </c>
      <c r="C4" t="s">
        <v>8</v>
      </c>
      <c r="D4" t="s">
        <v>18</v>
      </c>
      <c r="E4" t="s">
        <v>17</v>
      </c>
      <c r="F4" t="s">
        <v>19</v>
      </c>
      <c r="G4" t="s">
        <v>20</v>
      </c>
      <c r="H4" t="s">
        <v>24</v>
      </c>
      <c r="I4" t="s">
        <v>36</v>
      </c>
    </row>
    <row r="5" spans="2:9" x14ac:dyDescent="0.35">
      <c r="B5">
        <v>10</v>
      </c>
      <c r="C5" t="s">
        <v>34</v>
      </c>
      <c r="D5">
        <v>20</v>
      </c>
      <c r="E5">
        <v>1</v>
      </c>
      <c r="F5">
        <v>1000</v>
      </c>
      <c r="G5">
        <v>200</v>
      </c>
      <c r="H5">
        <v>3</v>
      </c>
      <c r="I5">
        <v>20</v>
      </c>
    </row>
    <row r="6" spans="2:9" x14ac:dyDescent="0.35">
      <c r="B6">
        <v>10</v>
      </c>
      <c r="C6" t="s">
        <v>35</v>
      </c>
      <c r="D6">
        <v>20</v>
      </c>
      <c r="E6">
        <v>1</v>
      </c>
      <c r="F6">
        <v>100</v>
      </c>
      <c r="G6">
        <v>200</v>
      </c>
      <c r="H6">
        <v>1</v>
      </c>
      <c r="I6">
        <v>15</v>
      </c>
    </row>
    <row r="7" spans="2:9" x14ac:dyDescent="0.35">
      <c r="B7">
        <v>10</v>
      </c>
      <c r="C7" t="s">
        <v>23</v>
      </c>
      <c r="D7">
        <v>20</v>
      </c>
      <c r="E7">
        <v>1</v>
      </c>
      <c r="F7">
        <v>500</v>
      </c>
      <c r="G7">
        <v>200</v>
      </c>
      <c r="H7">
        <v>0.5</v>
      </c>
      <c r="I7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G7"/>
  <sheetViews>
    <sheetView workbookViewId="0">
      <selection activeCell="B4" sqref="B4:H7"/>
    </sheetView>
  </sheetViews>
  <sheetFormatPr defaultRowHeight="14.5" x14ac:dyDescent="0.35"/>
  <sheetData>
    <row r="2" spans="2:7" x14ac:dyDescent="0.35">
      <c r="B2" t="str">
        <f>JESA_UploadTable(B3,B4:G7)</f>
        <v>pap Saved! @08:43:55</v>
      </c>
    </row>
    <row r="3" spans="2:7" x14ac:dyDescent="0.35">
      <c r="B3" t="s">
        <v>39</v>
      </c>
    </row>
    <row r="4" spans="2:7" x14ac:dyDescent="0.35">
      <c r="B4" t="s">
        <v>5</v>
      </c>
      <c r="C4" t="s">
        <v>8</v>
      </c>
      <c r="D4" t="s">
        <v>18</v>
      </c>
      <c r="E4" t="s">
        <v>17</v>
      </c>
      <c r="F4" t="s">
        <v>19</v>
      </c>
      <c r="G4" t="s">
        <v>20</v>
      </c>
    </row>
    <row r="5" spans="2:7" x14ac:dyDescent="0.35">
      <c r="B5">
        <v>10</v>
      </c>
      <c r="C5" t="s">
        <v>74</v>
      </c>
      <c r="D5">
        <v>50</v>
      </c>
      <c r="E5">
        <v>10</v>
      </c>
      <c r="F5">
        <v>10000</v>
      </c>
      <c r="G5">
        <v>-1000</v>
      </c>
    </row>
    <row r="6" spans="2:7" x14ac:dyDescent="0.35">
      <c r="B6">
        <v>10</v>
      </c>
      <c r="C6" t="s">
        <v>75</v>
      </c>
      <c r="D6">
        <v>80</v>
      </c>
      <c r="E6">
        <v>8</v>
      </c>
      <c r="F6">
        <v>100</v>
      </c>
      <c r="G6">
        <v>200</v>
      </c>
    </row>
    <row r="7" spans="2:7" x14ac:dyDescent="0.35">
      <c r="B7">
        <v>10</v>
      </c>
      <c r="C7" t="s">
        <v>76</v>
      </c>
      <c r="D7">
        <v>90</v>
      </c>
      <c r="E7">
        <v>7</v>
      </c>
      <c r="F7">
        <v>500</v>
      </c>
      <c r="G7">
        <v>200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G8"/>
  <sheetViews>
    <sheetView workbookViewId="0">
      <selection activeCell="B2" sqref="B2:G8"/>
    </sheetView>
  </sheetViews>
  <sheetFormatPr defaultRowHeight="14.5" x14ac:dyDescent="0.35"/>
  <sheetData>
    <row r="2" spans="2:7" x14ac:dyDescent="0.35">
      <c r="B2" t="str">
        <f>JESA_UploadTable(B3,B4:G8)</f>
        <v>infrastructure Saved! @08:43:55</v>
      </c>
    </row>
    <row r="3" spans="2:7" x14ac:dyDescent="0.35">
      <c r="B3" t="s">
        <v>37</v>
      </c>
    </row>
    <row r="4" spans="2:7" x14ac:dyDescent="0.35">
      <c r="B4" t="s">
        <v>25</v>
      </c>
      <c r="C4" t="s">
        <v>28</v>
      </c>
      <c r="D4" t="s">
        <v>27</v>
      </c>
      <c r="E4" t="s">
        <v>6</v>
      </c>
      <c r="F4" t="s">
        <v>30</v>
      </c>
      <c r="G4" t="s">
        <v>31</v>
      </c>
    </row>
    <row r="5" spans="2:7" x14ac:dyDescent="0.35">
      <c r="B5" t="s">
        <v>26</v>
      </c>
      <c r="C5">
        <v>10</v>
      </c>
      <c r="D5">
        <v>0.01</v>
      </c>
      <c r="E5">
        <v>2</v>
      </c>
      <c r="F5">
        <v>0.2</v>
      </c>
      <c r="G5">
        <v>0.03</v>
      </c>
    </row>
    <row r="6" spans="2:7" x14ac:dyDescent="0.35">
      <c r="B6" t="s">
        <v>29</v>
      </c>
      <c r="C6">
        <v>1</v>
      </c>
      <c r="D6">
        <v>0.01</v>
      </c>
      <c r="E6">
        <v>1</v>
      </c>
      <c r="F6">
        <v>0.5</v>
      </c>
      <c r="G6">
        <v>0</v>
      </c>
    </row>
    <row r="7" spans="2:7" x14ac:dyDescent="0.35">
      <c r="B7" t="s">
        <v>32</v>
      </c>
      <c r="C7">
        <v>5</v>
      </c>
      <c r="D7">
        <v>2.5000000000000001E-2</v>
      </c>
      <c r="E7">
        <v>5</v>
      </c>
      <c r="F7">
        <v>2</v>
      </c>
      <c r="G7">
        <v>0</v>
      </c>
    </row>
    <row r="8" spans="2:7" x14ac:dyDescent="0.35">
      <c r="B8" t="s">
        <v>42</v>
      </c>
      <c r="C8">
        <v>2</v>
      </c>
      <c r="D8">
        <v>0.02</v>
      </c>
      <c r="E8">
        <v>1.5</v>
      </c>
      <c r="F8">
        <v>0</v>
      </c>
      <c r="G8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D15"/>
  <sheetViews>
    <sheetView workbookViewId="0">
      <selection activeCell="B16" sqref="B16"/>
    </sheetView>
  </sheetViews>
  <sheetFormatPr defaultRowHeight="14.5" x14ac:dyDescent="0.35"/>
  <cols>
    <col min="2" max="2" width="26" bestFit="1" customWidth="1"/>
    <col min="3" max="3" width="19.90625" bestFit="1" customWidth="1"/>
  </cols>
  <sheetData>
    <row r="2" spans="2:4" x14ac:dyDescent="0.35">
      <c r="B2" t="str">
        <f>JESA_UploadTable(B3,B4:D15)</f>
        <v>connection Saved! @08:43:55</v>
      </c>
    </row>
    <row r="3" spans="2:4" x14ac:dyDescent="0.35">
      <c r="B3" t="s">
        <v>62</v>
      </c>
    </row>
    <row r="4" spans="2:4" x14ac:dyDescent="0.35">
      <c r="B4" t="s">
        <v>43</v>
      </c>
      <c r="C4" t="s">
        <v>44</v>
      </c>
      <c r="D4" t="s">
        <v>33</v>
      </c>
    </row>
    <row r="5" spans="2:4" x14ac:dyDescent="0.35">
      <c r="B5" t="s">
        <v>63</v>
      </c>
      <c r="C5" t="s">
        <v>64</v>
      </c>
      <c r="D5">
        <v>100</v>
      </c>
    </row>
    <row r="6" spans="2:4" x14ac:dyDescent="0.35">
      <c r="B6" t="s">
        <v>63</v>
      </c>
      <c r="C6" t="s">
        <v>65</v>
      </c>
      <c r="D6">
        <v>0.5</v>
      </c>
    </row>
    <row r="7" spans="2:4" x14ac:dyDescent="0.35">
      <c r="B7" t="s">
        <v>66</v>
      </c>
      <c r="C7" t="s">
        <v>65</v>
      </c>
      <c r="D7">
        <v>20</v>
      </c>
    </row>
    <row r="8" spans="2:4" x14ac:dyDescent="0.35">
      <c r="B8" t="s">
        <v>66</v>
      </c>
      <c r="C8" t="s">
        <v>64</v>
      </c>
      <c r="D8">
        <v>90</v>
      </c>
    </row>
    <row r="9" spans="2:4" x14ac:dyDescent="0.35">
      <c r="B9" t="s">
        <v>66</v>
      </c>
      <c r="C9" t="s">
        <v>67</v>
      </c>
      <c r="D9">
        <v>0.5</v>
      </c>
    </row>
    <row r="10" spans="2:4" x14ac:dyDescent="0.35">
      <c r="B10" t="s">
        <v>68</v>
      </c>
      <c r="C10" t="s">
        <v>64</v>
      </c>
      <c r="D10">
        <v>1</v>
      </c>
    </row>
    <row r="11" spans="2:4" x14ac:dyDescent="0.35">
      <c r="B11" t="s">
        <v>70</v>
      </c>
      <c r="C11" t="s">
        <v>69</v>
      </c>
      <c r="D11">
        <v>80</v>
      </c>
    </row>
    <row r="12" spans="2:4" x14ac:dyDescent="0.35">
      <c r="B12" t="s">
        <v>68</v>
      </c>
      <c r="C12" t="s">
        <v>71</v>
      </c>
      <c r="D12">
        <v>40</v>
      </c>
    </row>
    <row r="13" spans="2:4" x14ac:dyDescent="0.35">
      <c r="B13" t="s">
        <v>70</v>
      </c>
      <c r="C13" t="s">
        <v>72</v>
      </c>
      <c r="D13">
        <v>30</v>
      </c>
    </row>
    <row r="14" spans="2:4" x14ac:dyDescent="0.35">
      <c r="B14" t="s">
        <v>64</v>
      </c>
      <c r="C14" t="s">
        <v>77</v>
      </c>
      <c r="D14">
        <v>100</v>
      </c>
    </row>
    <row r="15" spans="2:4" x14ac:dyDescent="0.35">
      <c r="B15" t="s">
        <v>65</v>
      </c>
      <c r="C15" t="s">
        <v>77</v>
      </c>
      <c r="D15">
        <v>180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B9"/>
  <sheetViews>
    <sheetView workbookViewId="0">
      <selection activeCell="B7" sqref="B7"/>
    </sheetView>
  </sheetViews>
  <sheetFormatPr defaultRowHeight="14.5" x14ac:dyDescent="0.35"/>
  <sheetData>
    <row r="2" spans="2:2" x14ac:dyDescent="0.35">
      <c r="B2" t="str">
        <f>JESA_UploadTable(B3,B4:B7)</f>
        <v>monikertemplate Saved! @08:43:55</v>
      </c>
    </row>
    <row r="3" spans="2:2" x14ac:dyDescent="0.35">
      <c r="B3" t="s">
        <v>45</v>
      </c>
    </row>
    <row r="4" spans="2:2" x14ac:dyDescent="0.35">
      <c r="B4" t="s">
        <v>79</v>
      </c>
    </row>
    <row r="5" spans="2:2" x14ac:dyDescent="0.35">
      <c r="B5" t="s">
        <v>80</v>
      </c>
    </row>
    <row r="6" spans="2:2" x14ac:dyDescent="0.35">
      <c r="B6" t="s">
        <v>81</v>
      </c>
    </row>
    <row r="7" spans="2:2" x14ac:dyDescent="0.35">
      <c r="B7" t="s">
        <v>82</v>
      </c>
    </row>
    <row r="8" spans="2:2" x14ac:dyDescent="0.35">
      <c r="B8" t="s">
        <v>78</v>
      </c>
    </row>
    <row r="9" spans="2:2" x14ac:dyDescent="0.35">
      <c r="B9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M7"/>
  <sheetViews>
    <sheetView workbookViewId="0">
      <selection activeCell="K15" sqref="K15"/>
    </sheetView>
  </sheetViews>
  <sheetFormatPr defaultRowHeight="14.5" x14ac:dyDescent="0.35"/>
  <sheetData>
    <row r="2" spans="2:13" x14ac:dyDescent="0.35">
      <c r="B2" t="str">
        <f>JESA_UploadTable(B3,B4:M7)</f>
        <v>marketdata Saved! @08:43:55</v>
      </c>
    </row>
    <row r="3" spans="2:13" x14ac:dyDescent="0.35">
      <c r="B3" t="s">
        <v>46</v>
      </c>
    </row>
    <row r="4" spans="2:13" x14ac:dyDescent="0.35">
      <c r="B4" t="s">
        <v>47</v>
      </c>
      <c r="C4" s="2" t="s">
        <v>51</v>
      </c>
      <c r="D4" s="2" t="s">
        <v>52</v>
      </c>
      <c r="E4" s="2" t="s">
        <v>53</v>
      </c>
      <c r="F4" s="2" t="s">
        <v>54</v>
      </c>
      <c r="G4" s="2" t="s">
        <v>55</v>
      </c>
      <c r="H4" s="2" t="s">
        <v>56</v>
      </c>
      <c r="I4" s="2" t="s">
        <v>57</v>
      </c>
      <c r="J4" s="2" t="s">
        <v>58</v>
      </c>
      <c r="K4" s="2" t="s">
        <v>59</v>
      </c>
      <c r="L4" s="2" t="s">
        <v>60</v>
      </c>
      <c r="M4" s="2" t="s">
        <v>61</v>
      </c>
    </row>
    <row r="5" spans="2:13" x14ac:dyDescent="0.35">
      <c r="B5" t="s">
        <v>48</v>
      </c>
      <c r="C5">
        <v>100</v>
      </c>
      <c r="D5">
        <v>100</v>
      </c>
      <c r="E5">
        <v>100</v>
      </c>
      <c r="F5">
        <v>100</v>
      </c>
      <c r="G5">
        <v>100</v>
      </c>
      <c r="H5">
        <v>100</v>
      </c>
      <c r="I5">
        <v>100</v>
      </c>
      <c r="J5">
        <v>100</v>
      </c>
      <c r="K5">
        <v>100</v>
      </c>
      <c r="L5">
        <v>100</v>
      </c>
      <c r="M5">
        <v>100</v>
      </c>
    </row>
    <row r="6" spans="2:13" x14ac:dyDescent="0.35">
      <c r="B6" t="s">
        <v>49</v>
      </c>
      <c r="C6">
        <v>100</v>
      </c>
      <c r="D6">
        <v>100</v>
      </c>
      <c r="E6">
        <v>100</v>
      </c>
      <c r="F6">
        <v>100</v>
      </c>
      <c r="G6">
        <v>100</v>
      </c>
      <c r="H6">
        <v>100</v>
      </c>
      <c r="I6">
        <v>100</v>
      </c>
      <c r="J6">
        <v>100</v>
      </c>
      <c r="K6">
        <v>100</v>
      </c>
      <c r="L6">
        <v>100</v>
      </c>
      <c r="M6">
        <v>100</v>
      </c>
    </row>
    <row r="7" spans="2:13" x14ac:dyDescent="0.35">
      <c r="B7" t="s">
        <v>50</v>
      </c>
      <c r="C7">
        <v>100</v>
      </c>
      <c r="D7">
        <v>100</v>
      </c>
      <c r="E7">
        <v>100</v>
      </c>
      <c r="F7">
        <v>100</v>
      </c>
      <c r="G7">
        <v>100</v>
      </c>
      <c r="H7">
        <v>100</v>
      </c>
      <c r="I7">
        <v>100</v>
      </c>
      <c r="J7">
        <v>100</v>
      </c>
      <c r="K7">
        <v>100</v>
      </c>
      <c r="L7">
        <v>100</v>
      </c>
      <c r="M7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Location</vt:lpstr>
      <vt:lpstr>Mine</vt:lpstr>
      <vt:lpstr>Washplant</vt:lpstr>
      <vt:lpstr>PAP</vt:lpstr>
      <vt:lpstr>Infrastructure</vt:lpstr>
      <vt:lpstr>Connection</vt:lpstr>
      <vt:lpstr>Moniker</vt:lpstr>
      <vt:lpstr>MarketData</vt:lpstr>
    </vt:vector>
  </TitlesOfParts>
  <Company>OCP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AKKOUH Mohammed mahdi</dc:creator>
  <cp:lastModifiedBy>AKKOUH Mohammed mahdi</cp:lastModifiedBy>
  <dcterms:created xsi:type="dcterms:W3CDTF">2019-06-14T09:02:25Z</dcterms:created>
  <dcterms:modified xsi:type="dcterms:W3CDTF">2019-07-02T07:46:35Z</dcterms:modified>
</cp:coreProperties>
</file>