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4000" windowHeight="9630" tabRatio="801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SAP &gt;&gt;&gt;" sheetId="29" r:id="rId19"/>
    <sheet name="SAP options" sheetId="30" r:id="rId20"/>
    <sheet name="SAP production" sheetId="31" r:id="rId21"/>
    <sheet name="SAP opex" sheetId="32" r:id="rId22"/>
    <sheet name="SAP capex" sheetId="33" r:id="rId23"/>
    <sheet name="PAP &gt;&gt;&gt;" sheetId="39" r:id="rId24"/>
    <sheet name="PAP options" sheetId="40" r:id="rId25"/>
    <sheet name="PAP production" sheetId="41" r:id="rId26"/>
    <sheet name="PAP opex" sheetId="42" r:id="rId27"/>
    <sheet name="PAP capex" sheetId="43" r:id="rId28"/>
    <sheet name="Granulation &gt;&gt;&gt;" sheetId="44" r:id="rId29"/>
    <sheet name="Granulation options" sheetId="45" r:id="rId30"/>
    <sheet name="Granulation production" sheetId="46" r:id="rId31"/>
    <sheet name="Granulation opex" sheetId="47" r:id="rId32"/>
    <sheet name="Granulation capex" sheetId="48" r:id="rId33"/>
    <sheet name="Logistics &gt;&gt;&gt;" sheetId="49" r:id="rId34"/>
    <sheet name="Logistics options" sheetId="50" r:id="rId35"/>
    <sheet name="Logistics opex" sheetId="51" r:id="rId36"/>
    <sheet name="Logistics capex" sheetId="52" r:id="rId37"/>
  </sheets>
  <functionGroups builtInGroupCount="18"/>
  <externalReferences>
    <externalReference r:id="rId38"/>
    <externalReference r:id="rId39"/>
    <externalReference r:id="rId40"/>
    <externalReference r:id="rId41"/>
    <externalReference r:id="rId42"/>
  </externalReferences>
  <definedNames>
    <definedName name="_xlnm._FilterDatabase" localSheetId="31" hidden="1">'Granulation opex'!$D$4:$U$235</definedName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db">Home!$M$24</definedName>
    <definedName name="ds_host">Home!$M$26</definedName>
    <definedName name="ds_port">Home!$M$27</definedName>
    <definedName name="ENTITIES">'Common dict'!$R$5:$W$40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'Granulation options'!$G$5:$G$50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'[2]Granulation &gt;&gt;&gt;'!$L$5:$L$40</definedName>
    <definedName name="GranulInputs">'Granulation &gt;&gt;&gt;'!$L$5:$L$40</definedName>
    <definedName name="GranulProcess" localSheetId="5">'Granulation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'Logistics &gt;&gt;&gt;'!$D$5:$D$40</definedName>
    <definedName name="LogisticsMethod">'Logistics &gt;&gt;&gt;'!$D$5:$D$40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'[3]PAP options'!$G$5:$G$57</definedName>
    <definedName name="PAPOptionsLocation">'[3]PAP options'!$D$5:$D$57</definedName>
    <definedName name="PAPOptionsName">'PAP options'!$E$5:$E$33</definedName>
    <definedName name="PAPOptionsProcess">'[3]PAP options'!$F$5:$F$57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#REF!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options'!$G$5:$G$42</definedName>
    <definedName name="SAPOptionsLocation" localSheetId="5">'[1]SAP options'!$D$5:$D$50</definedName>
    <definedName name="SAPOptionsLocation">'SAP options'!$D$5:$D$42</definedName>
    <definedName name="SAPOptionsProcess" localSheetId="5">'[1]SAP options'!$F$5:$F$50</definedName>
    <definedName name="SAPOptionsProcess">'SAP options'!$F$5:$F$42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2">#REF!</definedName>
    <definedName name="UpDown" localSheetId="5">#REF!</definedName>
    <definedName name="UpDown" localSheetId="1">'Logistics &gt;&gt;&gt;'!#REF!</definedName>
    <definedName name="UpDown" localSheetId="2">'Logistics &gt;&gt;&gt;'!#REF!</definedName>
    <definedName name="UpDown" localSheetId="3">'Logistics &gt;&gt;&gt;'!#REF!</definedName>
    <definedName name="UpDown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3">#REF!</definedName>
    <definedName name="UtilitiesCapex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3">#REF!</definedName>
    <definedName name="UtilitiesMoniker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#REF!</definedName>
    <definedName name="UtilitiesOptionsTo">#REF!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3">#REF!</definedName>
    <definedName name="UtilitiesProcess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3">#REF!</definedName>
    <definedName name="UtilitiesProduct">#REF!</definedName>
    <definedName name="UtilitiesSources">#REF!</definedName>
    <definedName name="WPCapex" localSheetId="12">#REF!</definedName>
    <definedName name="WPCapex" localSheetId="5">#REF!</definedName>
    <definedName name="WPCapex">#REF!</definedName>
    <definedName name="WPMoniker" localSheetId="12">#REF!</definedName>
    <definedName name="WPMoniker" localSheetId="5">#REF!</definedName>
    <definedName name="WPMoniker">#REF!</definedName>
    <definedName name="WPName" localSheetId="12">#REF!</definedName>
    <definedName name="WPName" localSheetId="5">#REF!</definedName>
    <definedName name="WPName">#REF!</definedName>
    <definedName name="WPProcess" localSheetId="12">#REF!</definedName>
    <definedName name="WPProcess" localSheetId="5">#REF!</definedName>
    <definedName name="WPProcess">#REF!</definedName>
    <definedName name="WPQuality" localSheetId="12">#REF!</definedName>
    <definedName name="WPQuality" localSheetId="5">#REF!</definedName>
    <definedName name="WPQuality">#REF!</definedName>
  </definedNames>
  <calcPr calcId="162913" calcMode="manual" calcOnSave="0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66" l="1"/>
  <c r="D3" i="39"/>
  <c r="F3" i="39"/>
  <c r="D3" i="29"/>
  <c r="D3" i="28"/>
  <c r="F3" i="29"/>
  <c r="P3" i="28"/>
  <c r="H3" i="39"/>
  <c r="H3" i="28"/>
  <c r="N3" i="28"/>
  <c r="L3" i="28"/>
  <c r="K3" i="29"/>
  <c r="K3" i="39"/>
  <c r="F3" i="28"/>
  <c r="M3" i="29"/>
  <c r="J3" i="28"/>
  <c r="H3" i="29"/>
  <c r="M3" i="39"/>
  <c r="O3" i="39"/>
  <c r="F3" i="44"/>
  <c r="D3" i="33"/>
  <c r="D3" i="49"/>
  <c r="F3" i="1"/>
  <c r="D3" i="69"/>
  <c r="D3" i="36"/>
  <c r="D3" i="43"/>
  <c r="H3" i="1"/>
  <c r="D3" i="48"/>
  <c r="H3" i="44"/>
  <c r="L3" i="44"/>
  <c r="D3" i="31"/>
  <c r="D3" i="52"/>
  <c r="J3" i="49"/>
  <c r="D3" i="32"/>
  <c r="J3" i="1"/>
  <c r="D3" i="47"/>
  <c r="J3" i="62"/>
  <c r="J3" i="44"/>
  <c r="H3" i="49"/>
  <c r="D3" i="67"/>
  <c r="D2" i="3"/>
  <c r="F3" i="49"/>
  <c r="H3" i="62"/>
  <c r="D3" i="6"/>
  <c r="D3" i="44"/>
  <c r="D3" i="62"/>
  <c r="D3" i="66"/>
  <c r="D3" i="1"/>
  <c r="F3" i="62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J10" i="4" l="1"/>
  <c r="K10" i="4" s="1"/>
  <c r="L10" i="4" s="1"/>
  <c r="M10" i="4" s="1"/>
  <c r="N10" i="4" s="1"/>
  <c r="O10" i="4" s="1"/>
  <c r="P10" i="4" s="1"/>
  <c r="Q10" i="4" s="1"/>
  <c r="R10" i="4" s="1"/>
  <c r="S10" i="4" s="1"/>
  <c r="J9" i="4"/>
  <c r="K9" i="4" s="1"/>
  <c r="L9" i="4" s="1"/>
  <c r="M9" i="4" s="1"/>
  <c r="N9" i="4" s="1"/>
  <c r="O9" i="4" s="1"/>
  <c r="P9" i="4" s="1"/>
  <c r="Q9" i="4" s="1"/>
  <c r="R9" i="4" s="1"/>
  <c r="S9" i="4" s="1"/>
  <c r="J8" i="4"/>
  <c r="K8" i="4" s="1"/>
  <c r="L8" i="4" s="1"/>
  <c r="M8" i="4" s="1"/>
  <c r="N8" i="4" s="1"/>
  <c r="O8" i="4" s="1"/>
  <c r="P8" i="4" s="1"/>
  <c r="Q8" i="4" s="1"/>
  <c r="R8" i="4" s="1"/>
  <c r="S8" i="4" s="1"/>
  <c r="J7" i="4"/>
  <c r="K7" i="4" s="1"/>
  <c r="L7" i="4" s="1"/>
  <c r="M7" i="4" s="1"/>
  <c r="N7" i="4" s="1"/>
  <c r="O7" i="4" s="1"/>
  <c r="P7" i="4" s="1"/>
  <c r="Q7" i="4" s="1"/>
  <c r="R7" i="4" s="1"/>
  <c r="S7" i="4" s="1"/>
  <c r="J6" i="4"/>
  <c r="K6" i="4" s="1"/>
  <c r="L6" i="4" s="1"/>
  <c r="M6" i="4" s="1"/>
  <c r="N6" i="4" s="1"/>
  <c r="O6" i="4" s="1"/>
  <c r="P6" i="4" s="1"/>
  <c r="Q6" i="4" s="1"/>
  <c r="R6" i="4" s="1"/>
  <c r="S6" i="4" s="1"/>
  <c r="J5" i="4"/>
  <c r="K5" i="4" s="1"/>
  <c r="L5" i="4" s="1"/>
  <c r="M5" i="4" s="1"/>
  <c r="N5" i="4" s="1"/>
  <c r="O5" i="4" s="1"/>
  <c r="P5" i="4" s="1"/>
  <c r="Q5" i="4" s="1"/>
  <c r="R5" i="4" s="1"/>
  <c r="S5" i="4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51"/>
  <c r="T8" i="32" l="1"/>
  <c r="W139" i="47"/>
  <c r="W148" i="47"/>
  <c r="W140" i="47"/>
  <c r="W142" i="47" l="1"/>
  <c r="W144" i="47" s="1"/>
  <c r="H8" i="35" l="1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5" i="45"/>
  <c r="D3" i="45"/>
  <c r="L9" i="3" l="1"/>
  <c r="D7" i="3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19" i="65" l="1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5" i="63"/>
  <c r="D3" i="40"/>
  <c r="D3" i="65"/>
  <c r="D3" i="30"/>
  <c r="D3" i="63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J5" i="37"/>
  <c r="L5" i="37" s="1"/>
  <c r="M5" i="37" s="1"/>
  <c r="N5" i="37" s="1"/>
  <c r="O5" i="37" s="1"/>
  <c r="P5" i="37" s="1"/>
  <c r="Q5" i="37" s="1"/>
  <c r="D3" i="46"/>
  <c r="D3" i="38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2"/>
  <c r="D3" i="41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D3" i="37"/>
  <c r="D3" i="35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T9" i="32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4"/>
  <c r="D3" i="5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<sst xmlns="http://schemas.openxmlformats.org/spreadsheetml/2006/main" count="4759" uniqueCount="475">
  <si>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</si>
  <si>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</si>
  <si>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</si>
  <si>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</si>
  <si>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</si>
  <si>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</si>
  <si>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</si>
  <si>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</si>
  <si>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</si>
  <si>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</si>
  <si>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</si>
  <si>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</si>
  <si>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</si>
  <si>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</si>
  <si>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</si>
  <si>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</si>
  <si>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</si>
  <si>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</si>
  <si>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</si>
  <si>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</si>
  <si>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</si>
  <si>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</si>
  <si>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</si>
  <si>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</si>
  <si>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</si>
  <si>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</si>
  <si>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</si>
  <si>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</si>
  <si>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</si>
  <si>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</si>
  <si>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</si>
  <si>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</si>
  <si>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</si>
  <si>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</si>
  <si>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</si>
  <si>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</si>
  <si>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</si>
  <si>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</si>
  <si>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</si>
  <si>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</si>
  <si>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</si>
  <si>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</si>
  <si>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</si>
  <si>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</si>
  <si>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</si>
  <si>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</si>
  <si>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</si>
  <si>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</si>
  <si>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</si>
  <si>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</si>
  <si>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</si>
  <si>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</si>
  <si>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</si>
  <si>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</si>
  <si>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</si>
  <si>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</si>
  <si>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</si>
  <si>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</si>
  <si>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</si>
  <si>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</si>
  <si>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</si>
  <si>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</si>
  <si>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</si>
  <si>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</si>
  <si>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</si>
  <si>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</si>
  <si>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</si>
  <si>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</si>
  <si>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</si>
  <si>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</si>
  <si>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</si>
  <si>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</si>
  <si>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</si>
  <si>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</si>
  <si>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</si>
  <si>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</si>
  <si>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</si>
  <si>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</si>
  <si>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</si>
  <si>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</si>
  <si>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</si>
  <si>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</si>
  <si>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</si>
  <si>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</si>
  <si>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</si>
  <si>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</si>
  <si>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</si>
  <si>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</si>
  <si>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</si>
  <si>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</si>
  <si>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</si>
  <si>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</si>
  <si>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</si>
  <si>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</si>
  <si>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</si>
  <si>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</si>
  <si>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</si>
  <si>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</si>
  <si>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</si>
  <si>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</si>
  <si>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</si>
  <si>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</si>
  <si>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</si>
  <si>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</si>
  <si>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</si>
  <si>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</si>
  <si>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</si>
  <si>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</si>
  <si>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</si>
  <si>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</si>
  <si>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</si>
  <si>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</si>
  <si>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</si>
  <si>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</si>
  <si>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</si>
  <si>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</si>
  <si>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</si>
  <si>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</si>
  <si>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</si>
  <si>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</si>
  <si>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</si>
  <si>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</si>
  <si>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</si>
  <si>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</si>
  <si>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</si>
  <si>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</si>
  <si>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</si>
  <si>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</si>
  <si>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</si>
  <si>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</si>
  <si>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</si>
  <si>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</si>
  <si>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</si>
  <si>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</si>
  <si>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</si>
  <si>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</si>
  <si>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</si>
  <si>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</si>
  <si>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</si>
  <si>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</si>
  <si>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</si>
  <si>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</si>
  <si>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</si>
  <si>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</si>
  <si>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</si>
  <si>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</si>
  <si>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</si>
  <si>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</si>
  <si>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</si>
  <si>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</si>
  <si>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</si>
  <si>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</si>
  <si>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</si>
  <si>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</si>
  <si>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</si>
  <si>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</si>
  <si>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</si>
  <si>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</si>
  <si>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</si>
  <si>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</si>
  <si>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</si>
  <si>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</si>
  <si>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</si>
  <si>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</si>
  <si>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</si>
  <si>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</si>
  <si>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</si>
  <si>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</si>
  <si>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</si>
  <si>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</si>
  <si>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</si>
  <si>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</si>
  <si>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</si>
  <si>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</si>
  <si>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</si>
  <si>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</si>
  <si>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</si>
  <si>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</si>
  <si>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</si>
  <si>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</si>
  <si>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</si>
  <si>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</si>
  <si>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</si>
  <si>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</si>
  <si>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</si>
  <si>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</si>
  <si>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</si>
  <si>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</si>
  <si>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</si>
  <si>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</si>
  <si>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</si>
  <si>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</si>
  <si>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</si>
  <si>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</si>
  <si>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</si>
  <si>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</si>
  <si>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</si>
  <si>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</si>
  <si>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</si>
  <si>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</si>
  <si>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</si>
  <si>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</si>
  <si>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</si>
  <si>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</si>
  <si>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</si>
  <si>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</si>
  <si>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</si>
  <si>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</si>
  <si>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</si>
  <si>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</si>
  <si>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</si>
  <si>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</si>
  <si>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</si>
  <si>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</si>
  <si>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</si>
  <si>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</si>
  <si>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</si>
  <si>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</si>
  <si>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</si>
  <si>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</si>
  <si>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</si>
  <si>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</si>
  <si>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</si>
  <si>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</si>
  <si>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</si>
  <si>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</si>
  <si>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</si>
  <si>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</si>
  <si>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</si>
  <si>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</si>
  <si>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</si>
  <si>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</si>
  <si>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</si>
  <si>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</si>
  <si>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</si>
  <si>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</si>
  <si>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</si>
  <si>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</si>
  <si>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</si>
  <si>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</si>
  <si>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</si>
  <si>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</si>
  <si>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</si>
  <si>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</si>
  <si>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</si>
  <si>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</si>
  <si>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</si>
  <si>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</si>
  <si>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</si>
  <si>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</si>
  <si>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</si>
  <si>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</si>
  <si>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</si>
  <si>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</si>
  <si>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</si>
  <si>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</si>
  <si>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</si>
  <si>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</si>
  <si>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</si>
  <si>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</si>
  <si>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</si>
  <si>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</si>
  <si>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</si>
  <si>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</si>
  <si>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</si>
  <si>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</si>
  <si>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</si>
  <si>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</si>
  <si>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</si>
  <si>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</si>
  <si>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</si>
  <si>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</si>
  <si>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</si>
  <si>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</si>
  <si>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</si>
  <si>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</si>
  <si>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</si>
  <si>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</si>
  <si>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</si>
  <si>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</si>
  <si>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</si>
  <si>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</si>
  <si>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</si>
  <si>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</si>
  <si>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</si>
  <si>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</si>
  <si>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</si>
  <si>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</si>
  <si>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</si>
  <si>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</si>
  <si>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</si>
  <si>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</si>
  <si>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</si>
  <si>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</si>
  <si>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</si>
  <si>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</si>
  <si>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</si>
  <si>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</si>
  <si>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</si>
  <si>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</si>
  <si>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</si>
  <si>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</si>
  <si>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</si>
  <si>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</si>
  <si>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</si>
  <si>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</si>
  <si>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</si>
  <si>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</si>
  <si>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</si>
  <si>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</si>
  <si>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</si>
  <si>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</si>
  <si>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</si>
  <si>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</si>
  <si>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</si>
  <si>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</si>
  <si>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</si>
  <si>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</si>
  <si>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</si>
  <si>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</si>
  <si>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</si>
  <si>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</si>
  <si>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</si>
  <si>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</si>
  <si>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</si>
  <si>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</si>
  <si>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</si>
  <si>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</si>
  <si>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</si>
  <si>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</si>
  <si>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</si>
  <si>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</si>
  <si>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</si>
  <si>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</si>
  <si>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</si>
  <si>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</si>
  <si>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</si>
  <si>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</si>
  <si>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</si>
  <si>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</si>
  <si>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</si>
  <si>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</si>
  <si>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</si>
  <si>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</si>
  <si>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</si>
  <si>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</si>
  <si>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</si>
  <si>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</si>
  <si>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</si>
  <si>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</si>
  <si>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</si>
  <si>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</si>
  <si>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</si>
  <si>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</si>
  <si>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</si>
  <si>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</si>
  <si>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</si>
  <si>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</si>
  <si>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</si>
  <si>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</si>
  <si>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</si>
  <si>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</si>
  <si>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</si>
  <si>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</si>
  <si>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</si>
  <si>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</si>
  <si>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</si>
  <si>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</si>
  <si>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</si>
  <si>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</si>
  <si>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</si>
  <si>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</si>
  <si>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</si>
  <si>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</si>
  <si>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</si>
  <si>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</si>
  <si>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</si>
  <si>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</si>
  <si>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</si>
  <si>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</si>
  <si>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</si>
  <si>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</si>
  <si>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</si>
  <si>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</si>
  <si>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</si>
  <si>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</si>
  <si>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</si>
  <si>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</si>
  <si>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</si>
  <si>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</si>
  <si>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</si>
  <si>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</si>
  <si>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</si>
  <si>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</si>
  <si>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</si>
  <si>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</si>
  <si>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</si>
  <si>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</si>
  <si>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</si>
  <si>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</si>
  <si>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</si>
  <si>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</si>
  <si>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</si>
  <si>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</si>
  <si>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</si>
  <si>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</si>
  <si>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</si>
  <si>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</si>
  <si>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</si>
  <si>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</si>
  <si>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</si>
  <si>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</si>
  <si>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</si>
  <si>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</si>
  <si>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</si>
  <si>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</si>
  <si>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</si>
  <si>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</si>
  <si>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</si>
  <si>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</si>
  <si>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</si>
  <si>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</si>
  <si>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</si>
  <si>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</si>
  <si>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</si>
  <si>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</si>
  <si>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</si>
  <si>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</si>
  <si>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</si>
  <si>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</si>
  <si>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</si>
  <si>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</si>
  <si>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</si>
  <si>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</si>
  <si>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</si>
  <si>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</si>
  <si>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</si>
  <si>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</si>
  <si>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</si>
  <si>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</si>
  <si>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</si>
  <si>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</si>
  <si>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</si>
  <si>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</si>
  <si>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</si>
  <si>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</si>
  <si>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</si>
  <si>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</si>
  <si>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</si>
  <si>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</si>
  <si>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</si>
  <si>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</si>
  <si>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</si>
  <si>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</si>
  <si>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</si>
  <si>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</si>
  <si>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</si>
  <si>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</si>
  <si>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/PAP/Safi/PAP SAFI EXISTING /PROCESS SAFI EXISTANT/1500/Existing/2018/2024</t>
  </si>
  <si>
    <t>/PAP/Safi/PAP SAFI EXISTING /PROCESS SAFI EXISTANT/1500/Existing/2018/2030</t>
  </si>
  <si>
    <t>ACP 29</t>
  </si>
  <si>
    <t>PAPLocation</t>
  </si>
  <si>
    <t>NA</t>
  </si>
  <si>
    <t>TrainBG2Yfia1</t>
  </si>
  <si>
    <t>TrainYfia2Safi1</t>
  </si>
  <si>
    <t>TrainBG2Safi1</t>
  </si>
  <si>
    <t>WP2Port</t>
  </si>
  <si>
    <t>Exist</t>
  </si>
  <si>
    <t>Conveyor</t>
  </si>
  <si>
    <t>127.0.0.1</t>
  </si>
  <si>
    <t>DS HOST</t>
  </si>
  <si>
    <t>DS PORT</t>
  </si>
  <si>
    <t>DB NAME</t>
  </si>
  <si>
    <t>Extension</t>
  </si>
  <si>
    <t>mine2farm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</si>
</sst>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"/>
    <numFmt numFmtId="165" formatCode="0.0"/>
    <numFmt numFmtId="166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43" fontId="0" fillId="2" borderId="0" xfId="2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43" fontId="0" fillId="4" borderId="4" xfId="2" applyFont="1" applyFill="1" applyBorder="1" applyAlignment="1">
      <alignment horizontal="center" vertical="center"/>
    </xf>
    <xf numFmtId="43" fontId="0" fillId="4" borderId="5" xfId="2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Milliers" xfId="2" builtinId="3"/>
    <cellStyle name="Normal" xfId="0" builtinId="0"/>
    <cellStyle name="Pourcentage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16692" cy="26942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12782" y="384088"/>
          <a:ext cx="1401452" cy="26266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23634" y="374229"/>
          <a:ext cx="1411200" cy="26365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726865" y="369009"/>
          <a:ext cx="1420726" cy="26417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222477" y="384088"/>
          <a:ext cx="1420726" cy="26266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711963" y="387898"/>
          <a:ext cx="1410342" cy="26254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752265" y="3122208"/>
          <a:ext cx="1775422" cy="131334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26348" y="3122208"/>
          <a:ext cx="1770341" cy="131334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6</xdr:row>
          <xdr:rowOff>180975</xdr:rowOff>
        </xdr:from>
        <xdr:to>
          <xdr:col>10</xdr:col>
          <xdr:colOff>161925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28575</xdr:rowOff>
    </xdr:from>
    <xdr:to>
      <xdr:col>1</xdr:col>
      <xdr:colOff>20955</xdr:colOff>
      <xdr:row>0</xdr:row>
      <xdr:rowOff>280035</xdr:rowOff>
    </xdr:to>
    <xdr:grpSp>
      <xdr:nvGrpSpPr>
        <xdr:cNvPr id="6" name="Groupe 5"/>
        <xdr:cNvGrpSpPr/>
      </xdr:nvGrpSpPr>
      <xdr:grpSpPr>
        <a:xfrm>
          <a:off x="28575" y="28575"/>
          <a:ext cx="249555" cy="251460"/>
          <a:chOff x="9723120" y="510540"/>
          <a:chExt cx="830580" cy="830580"/>
        </a:xfrm>
      </xdr:grpSpPr>
      <xdr:sp macro="[0]!Home" textlink="">
        <xdr:nvSpPr>
          <xdr:cNvPr id="7" name="Rectangle 6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230505</xdr:colOff>
      <xdr:row>0</xdr:row>
      <xdr:rowOff>251460</xdr:rowOff>
    </xdr:to>
    <xdr:grpSp>
      <xdr:nvGrpSpPr>
        <xdr:cNvPr id="5" name="Groupe 4"/>
        <xdr:cNvGrpSpPr/>
      </xdr:nvGrpSpPr>
      <xdr:grpSpPr>
        <a:xfrm>
          <a:off x="0" y="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175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66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</row>
      </sheetData>
      <sheetData sheetId="7">
        <row r="5">
          <cell r="D5" t="str">
            <v>Benguerir 1</v>
          </cell>
        </row>
      </sheetData>
      <sheetData sheetId="8"/>
      <sheetData sheetId="9"/>
      <sheetData sheetId="10"/>
      <sheetData sheetId="11"/>
      <sheetData sheetId="12"/>
      <sheetData sheetId="13">
        <row r="5">
          <cell r="D5" t="str">
            <v>Youssoufia WP</v>
          </cell>
        </row>
      </sheetData>
      <sheetData sheetId="14"/>
      <sheetData sheetId="15"/>
      <sheetData sheetId="16"/>
      <sheetData sheetId="17"/>
      <sheetData sheetId="18"/>
      <sheetData sheetId="19"/>
      <sheetData sheetId="20">
        <row r="5">
          <cell r="D5" t="str">
            <v>Mzinda</v>
          </cell>
        </row>
      </sheetData>
      <sheetData sheetId="21"/>
      <sheetData sheetId="22"/>
      <sheetData sheetId="23"/>
      <sheetData sheetId="24">
        <row r="5">
          <cell r="H5" t="str">
            <v>ACP 29</v>
          </cell>
        </row>
      </sheetData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8"/>
  <sheetViews>
    <sheetView tabSelected="1" zoomScale="85" zoomScaleNormal="85" workbookViewId="0">
      <selection activeCell="M24" sqref="M24"/>
    </sheetView>
  </sheetViews>
  <sheetFormatPr baseColWidth="10" defaultColWidth="11.5703125" defaultRowHeight="15" x14ac:dyDescent="0.25"/>
  <cols>
    <col min="1" max="3" width="3.85546875" style="1" customWidth="1"/>
    <col min="4" max="15" width="11.5703125" style="1"/>
    <col min="16" max="16" width="12.42578125" style="1" bestFit="1" customWidth="1"/>
    <col min="17" max="16384" width="11.5703125" style="1"/>
  </cols>
  <sheetData>
    <row r="1" spans="2:15" s="25" customFormat="1" ht="24.95" customHeight="1" x14ac:dyDescent="0.25">
      <c r="B1" s="24" t="s">
        <v>91</v>
      </c>
    </row>
    <row r="16" spans="2:15" x14ac:dyDescent="0.25">
      <c r="O16"/>
    </row>
    <row r="17" spans="12:14" x14ac:dyDescent="0.25">
      <c r="L17" s="145"/>
      <c r="M17" s="145"/>
      <c r="N17" s="145"/>
    </row>
    <row r="18" spans="12:14" x14ac:dyDescent="0.25">
      <c r="L18" s="145"/>
      <c r="M18" s="145"/>
      <c r="N18" s="145"/>
    </row>
    <row r="19" spans="12:14" x14ac:dyDescent="0.25">
      <c r="L19" s="145"/>
      <c r="M19" s="145"/>
      <c r="N19" s="145"/>
    </row>
    <row r="20" spans="12:14" x14ac:dyDescent="0.25">
      <c r="L20" s="145"/>
      <c r="M20" s="145"/>
      <c r="N20" s="145"/>
    </row>
    <row r="21" spans="12:14" x14ac:dyDescent="0.25">
      <c r="L21" s="145"/>
      <c r="M21" s="145"/>
      <c r="N21" s="145"/>
    </row>
    <row r="22" spans="12:14" x14ac:dyDescent="0.25">
      <c r="L22" s="145"/>
      <c r="M22" s="145"/>
      <c r="N22" s="145"/>
    </row>
    <row r="23" spans="12:14" x14ac:dyDescent="0.25">
      <c r="L23" s="145"/>
      <c r="M23" s="145"/>
      <c r="N23" s="145"/>
    </row>
    <row r="24" spans="12:14" x14ac:dyDescent="0.25">
      <c r="L24" s="145" t="s">
        <v>472</v>
      </c>
      <c r="M24" s="146" t="s">
        <v>474</v>
      </c>
      <c r="N24" s="145"/>
    </row>
    <row r="25" spans="12:14" x14ac:dyDescent="0.25">
      <c r="L25" s="145"/>
      <c r="M25" s="145"/>
      <c r="N25" s="145"/>
    </row>
    <row r="26" spans="12:14" x14ac:dyDescent="0.25">
      <c r="L26" s="145" t="s">
        <v>470</v>
      </c>
      <c r="M26" s="146" t="s">
        <v>469</v>
      </c>
      <c r="N26" s="145"/>
    </row>
    <row r="27" spans="12:14" x14ac:dyDescent="0.25">
      <c r="L27" s="145" t="s">
        <v>471</v>
      </c>
      <c r="M27" s="146">
        <v>5001</v>
      </c>
      <c r="N27" s="145"/>
    </row>
    <row r="28" spans="12:14" x14ac:dyDescent="0.25">
      <c r="L28" s="145"/>
      <c r="M28" s="145"/>
      <c r="N28" s="14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AB51"/>
  <sheetViews>
    <sheetView zoomScaleNormal="100" workbookViewId="0">
      <selection activeCell="T8" sqref="T8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28" s="25" customFormat="1" ht="24.95" customHeight="1" x14ac:dyDescent="0.25">
      <c r="B1" s="24" t="s">
        <v>181</v>
      </c>
    </row>
    <row r="3" spans="2:28" ht="15.75" thickBot="1" x14ac:dyDescent="0.3">
      <c r="D3" s="38" t="str">
        <f>JESA_UploadTable("sales_plan",D4:Q15,db)</f>
        <v>sales_plan @17:32:56</v>
      </c>
      <c r="E3" s="38"/>
    </row>
    <row r="4" spans="2:28" ht="30" customHeight="1" thickBot="1" x14ac:dyDescent="0.3">
      <c r="D4" s="60" t="s">
        <v>160</v>
      </c>
      <c r="E4" s="60" t="s">
        <v>24</v>
      </c>
      <c r="F4" s="60" t="s">
        <v>17</v>
      </c>
      <c r="G4" s="77" t="s">
        <v>37</v>
      </c>
      <c r="H4" s="77" t="s">
        <v>38</v>
      </c>
      <c r="I4" s="77" t="s">
        <v>39</v>
      </c>
      <c r="J4" s="77" t="s">
        <v>40</v>
      </c>
      <c r="K4" s="77" t="s">
        <v>41</v>
      </c>
      <c r="L4" s="77" t="s">
        <v>42</v>
      </c>
      <c r="M4" s="77" t="s">
        <v>43</v>
      </c>
      <c r="N4" s="77" t="s">
        <v>44</v>
      </c>
      <c r="O4" s="77" t="s">
        <v>45</v>
      </c>
      <c r="P4" s="77" t="s">
        <v>46</v>
      </c>
      <c r="Q4" s="77" t="s">
        <v>47</v>
      </c>
    </row>
    <row r="5" spans="2:28" x14ac:dyDescent="0.25">
      <c r="D5" s="8" t="s">
        <v>186</v>
      </c>
      <c r="E5" s="8" t="s">
        <v>292</v>
      </c>
      <c r="F5" s="8" t="s">
        <v>339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28" x14ac:dyDescent="0.25">
      <c r="D6" s="9" t="s">
        <v>235</v>
      </c>
      <c r="E6" s="9" t="s">
        <v>460</v>
      </c>
      <c r="F6" s="9" t="s">
        <v>339</v>
      </c>
      <c r="G6" s="18">
        <v>1000</v>
      </c>
      <c r="H6" s="18">
        <v>1000</v>
      </c>
      <c r="I6" s="18">
        <v>1000</v>
      </c>
      <c r="J6" s="18">
        <v>1000</v>
      </c>
      <c r="K6" s="18">
        <v>1423.9288612686755</v>
      </c>
      <c r="L6" s="18">
        <v>2097.8671198550132</v>
      </c>
      <c r="M6" s="18">
        <v>2590.7043609316174</v>
      </c>
      <c r="N6" s="18">
        <v>2783.5644020575896</v>
      </c>
      <c r="O6" s="18">
        <v>2914.3823704929023</v>
      </c>
      <c r="P6" s="18">
        <v>2799.9162595673874</v>
      </c>
      <c r="Q6" s="18">
        <v>2688.0416393595938</v>
      </c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</row>
    <row r="7" spans="2:28" x14ac:dyDescent="0.25">
      <c r="D7" s="9" t="s">
        <v>236</v>
      </c>
      <c r="E7" s="9" t="s">
        <v>81</v>
      </c>
      <c r="F7" s="9" t="s">
        <v>339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28" x14ac:dyDescent="0.25">
      <c r="D8" s="9" t="s">
        <v>236</v>
      </c>
      <c r="E8" s="9" t="s">
        <v>82</v>
      </c>
      <c r="F8" s="9" t="s">
        <v>339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28" x14ac:dyDescent="0.25">
      <c r="D9" s="9" t="s">
        <v>236</v>
      </c>
      <c r="E9" s="9" t="s">
        <v>246</v>
      </c>
      <c r="F9" s="9" t="s">
        <v>339</v>
      </c>
      <c r="G9" s="18">
        <v>150</v>
      </c>
      <c r="H9" s="18">
        <v>150</v>
      </c>
      <c r="I9" s="18">
        <v>150</v>
      </c>
      <c r="J9" s="18">
        <f t="shared" ref="J9:Q9" si="1">IF(I9="","",I9)</f>
        <v>150</v>
      </c>
      <c r="K9" s="18">
        <f t="shared" si="1"/>
        <v>150</v>
      </c>
      <c r="L9" s="18">
        <f t="shared" si="1"/>
        <v>150</v>
      </c>
      <c r="M9" s="18">
        <f t="shared" si="1"/>
        <v>150</v>
      </c>
      <c r="N9" s="18">
        <f t="shared" si="1"/>
        <v>150</v>
      </c>
      <c r="O9" s="18">
        <f t="shared" si="1"/>
        <v>150</v>
      </c>
      <c r="P9" s="18">
        <f t="shared" si="1"/>
        <v>150</v>
      </c>
      <c r="Q9" s="18">
        <f t="shared" si="1"/>
        <v>150</v>
      </c>
    </row>
    <row r="10" spans="2:28" x14ac:dyDescent="0.25">
      <c r="D10" s="9" t="s">
        <v>236</v>
      </c>
      <c r="E10" s="9" t="s">
        <v>85</v>
      </c>
      <c r="F10" s="9" t="s">
        <v>339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28" x14ac:dyDescent="0.25">
      <c r="D11" s="9" t="s">
        <v>236</v>
      </c>
      <c r="E11" s="9" t="s">
        <v>83</v>
      </c>
      <c r="F11" s="9" t="s">
        <v>339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28" x14ac:dyDescent="0.25">
      <c r="D12" s="9" t="s">
        <v>236</v>
      </c>
      <c r="E12" s="9" t="s">
        <v>84</v>
      </c>
      <c r="F12" s="9" t="s">
        <v>339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2">J12</f>
        <v>830</v>
      </c>
      <c r="L12" s="18">
        <f t="shared" si="2"/>
        <v>830</v>
      </c>
      <c r="M12" s="18">
        <f t="shared" si="2"/>
        <v>830</v>
      </c>
      <c r="N12" s="18">
        <f t="shared" si="2"/>
        <v>830</v>
      </c>
      <c r="O12" s="18">
        <f t="shared" si="2"/>
        <v>830</v>
      </c>
      <c r="P12" s="18">
        <f t="shared" si="2"/>
        <v>830</v>
      </c>
      <c r="Q12" s="18">
        <f t="shared" si="2"/>
        <v>830</v>
      </c>
    </row>
    <row r="13" spans="2:28" x14ac:dyDescent="0.25">
      <c r="D13" s="9"/>
      <c r="E13" s="9"/>
      <c r="F13" s="9"/>
      <c r="G13" s="18"/>
      <c r="H13" s="18" t="str">
        <f t="shared" ref="H13:Q22" si="3">IF(G13="","",G13)</f>
        <v/>
      </c>
      <c r="I13" s="18" t="str">
        <f t="shared" si="3"/>
        <v/>
      </c>
      <c r="J13" s="18" t="str">
        <f t="shared" si="3"/>
        <v/>
      </c>
      <c r="K13" s="18" t="str">
        <f t="shared" si="3"/>
        <v/>
      </c>
      <c r="L13" s="18" t="str">
        <f t="shared" si="3"/>
        <v/>
      </c>
      <c r="M13" s="18" t="str">
        <f t="shared" si="3"/>
        <v/>
      </c>
      <c r="N13" s="18" t="str">
        <f t="shared" si="3"/>
        <v/>
      </c>
      <c r="O13" s="18" t="str">
        <f t="shared" si="3"/>
        <v/>
      </c>
      <c r="P13" s="18" t="str">
        <f t="shared" si="3"/>
        <v/>
      </c>
      <c r="Q13" s="18" t="str">
        <f t="shared" si="3"/>
        <v/>
      </c>
    </row>
    <row r="14" spans="2:28" x14ac:dyDescent="0.25">
      <c r="D14" s="9"/>
      <c r="E14" s="9"/>
      <c r="F14" s="9"/>
      <c r="G14" s="18"/>
      <c r="H14" s="18" t="str">
        <f t="shared" si="3"/>
        <v/>
      </c>
      <c r="I14" s="18" t="str">
        <f t="shared" si="3"/>
        <v/>
      </c>
      <c r="J14" s="18" t="str">
        <f t="shared" si="3"/>
        <v/>
      </c>
      <c r="K14" s="18" t="str">
        <f t="shared" si="3"/>
        <v/>
      </c>
      <c r="L14" s="18" t="str">
        <f t="shared" si="3"/>
        <v/>
      </c>
      <c r="M14" s="18" t="str">
        <f t="shared" si="3"/>
        <v/>
      </c>
      <c r="N14" s="18" t="str">
        <f t="shared" si="3"/>
        <v/>
      </c>
      <c r="O14" s="18" t="str">
        <f t="shared" si="3"/>
        <v/>
      </c>
      <c r="P14" s="18" t="str">
        <f t="shared" si="3"/>
        <v/>
      </c>
      <c r="Q14" s="18" t="str">
        <f t="shared" si="3"/>
        <v/>
      </c>
    </row>
    <row r="15" spans="2:28" x14ac:dyDescent="0.25">
      <c r="D15" s="9"/>
      <c r="E15" s="9"/>
      <c r="F15" s="9"/>
      <c r="G15" s="18"/>
      <c r="H15" s="18" t="str">
        <f t="shared" si="3"/>
        <v/>
      </c>
      <c r="I15" s="18" t="str">
        <f t="shared" si="3"/>
        <v/>
      </c>
      <c r="J15" s="18" t="str">
        <f t="shared" si="3"/>
        <v/>
      </c>
      <c r="K15" s="18" t="str">
        <f t="shared" si="3"/>
        <v/>
      </c>
      <c r="L15" s="18" t="str">
        <f t="shared" si="3"/>
        <v/>
      </c>
      <c r="M15" s="18" t="str">
        <f t="shared" si="3"/>
        <v/>
      </c>
      <c r="N15" s="18" t="str">
        <f t="shared" si="3"/>
        <v/>
      </c>
      <c r="O15" s="18" t="str">
        <f t="shared" si="3"/>
        <v/>
      </c>
      <c r="P15" s="18" t="str">
        <f t="shared" si="3"/>
        <v/>
      </c>
      <c r="Q15" s="18" t="str">
        <f t="shared" si="3"/>
        <v/>
      </c>
    </row>
    <row r="16" spans="2:28" x14ac:dyDescent="0.25">
      <c r="D16" s="9"/>
      <c r="E16" s="9"/>
      <c r="F16" s="9"/>
      <c r="G16" s="18"/>
      <c r="H16" s="18" t="str">
        <f t="shared" si="3"/>
        <v/>
      </c>
      <c r="I16" s="18" t="str">
        <f t="shared" si="3"/>
        <v/>
      </c>
      <c r="J16" s="18" t="str">
        <f t="shared" si="3"/>
        <v/>
      </c>
      <c r="K16" s="18" t="str">
        <f t="shared" si="3"/>
        <v/>
      </c>
      <c r="L16" s="18" t="str">
        <f t="shared" si="3"/>
        <v/>
      </c>
      <c r="M16" s="18" t="str">
        <f t="shared" si="3"/>
        <v/>
      </c>
      <c r="N16" s="18" t="str">
        <f t="shared" si="3"/>
        <v/>
      </c>
      <c r="O16" s="18" t="str">
        <f t="shared" si="3"/>
        <v/>
      </c>
      <c r="P16" s="18" t="str">
        <f t="shared" si="3"/>
        <v/>
      </c>
      <c r="Q16" s="18" t="str">
        <f t="shared" si="3"/>
        <v/>
      </c>
    </row>
    <row r="17" spans="4:17" x14ac:dyDescent="0.25">
      <c r="D17" s="9"/>
      <c r="E17" s="9"/>
      <c r="F17" s="9"/>
      <c r="G17" s="18"/>
      <c r="H17" s="18" t="str">
        <f t="shared" si="3"/>
        <v/>
      </c>
      <c r="I17" s="18" t="str">
        <f t="shared" si="3"/>
        <v/>
      </c>
      <c r="J17" s="18" t="str">
        <f t="shared" si="3"/>
        <v/>
      </c>
      <c r="K17" s="18" t="str">
        <f t="shared" si="3"/>
        <v/>
      </c>
      <c r="L17" s="18" t="str">
        <f t="shared" si="3"/>
        <v/>
      </c>
      <c r="M17" s="18" t="str">
        <f t="shared" si="3"/>
        <v/>
      </c>
      <c r="N17" s="18" t="str">
        <f t="shared" si="3"/>
        <v/>
      </c>
      <c r="O17" s="18" t="str">
        <f t="shared" si="3"/>
        <v/>
      </c>
      <c r="P17" s="18" t="str">
        <f t="shared" si="3"/>
        <v/>
      </c>
      <c r="Q17" s="18" t="str">
        <f t="shared" si="3"/>
        <v/>
      </c>
    </row>
    <row r="18" spans="4:17" x14ac:dyDescent="0.25">
      <c r="D18" s="9"/>
      <c r="E18" s="9"/>
      <c r="F18" s="9"/>
      <c r="G18" s="18"/>
      <c r="H18" s="18" t="str">
        <f t="shared" si="3"/>
        <v/>
      </c>
      <c r="I18" s="18" t="str">
        <f t="shared" si="3"/>
        <v/>
      </c>
      <c r="J18" s="18" t="str">
        <f t="shared" si="3"/>
        <v/>
      </c>
      <c r="K18" s="18" t="str">
        <f t="shared" si="3"/>
        <v/>
      </c>
      <c r="L18" s="18" t="str">
        <f t="shared" si="3"/>
        <v/>
      </c>
      <c r="M18" s="18" t="str">
        <f t="shared" si="3"/>
        <v/>
      </c>
      <c r="N18" s="18" t="str">
        <f t="shared" si="3"/>
        <v/>
      </c>
      <c r="O18" s="18" t="str">
        <f t="shared" si="3"/>
        <v/>
      </c>
      <c r="P18" s="18" t="str">
        <f t="shared" si="3"/>
        <v/>
      </c>
      <c r="Q18" s="18" t="str">
        <f t="shared" si="3"/>
        <v/>
      </c>
    </row>
    <row r="19" spans="4:17" x14ac:dyDescent="0.25">
      <c r="D19" s="9"/>
      <c r="E19" s="9"/>
      <c r="F19" s="9"/>
      <c r="G19" s="18"/>
      <c r="H19" s="18" t="str">
        <f t="shared" si="3"/>
        <v/>
      </c>
      <c r="I19" s="18" t="str">
        <f t="shared" si="3"/>
        <v/>
      </c>
      <c r="J19" s="18" t="str">
        <f t="shared" si="3"/>
        <v/>
      </c>
      <c r="K19" s="18" t="str">
        <f t="shared" si="3"/>
        <v/>
      </c>
      <c r="L19" s="18" t="str">
        <f t="shared" si="3"/>
        <v/>
      </c>
      <c r="M19" s="18" t="str">
        <f t="shared" si="3"/>
        <v/>
      </c>
      <c r="N19" s="18" t="str">
        <f t="shared" si="3"/>
        <v/>
      </c>
      <c r="O19" s="18" t="str">
        <f t="shared" si="3"/>
        <v/>
      </c>
      <c r="P19" s="18" t="str">
        <f t="shared" si="3"/>
        <v/>
      </c>
      <c r="Q19" s="18" t="str">
        <f t="shared" si="3"/>
        <v/>
      </c>
    </row>
    <row r="20" spans="4:17" x14ac:dyDescent="0.25">
      <c r="D20" s="9"/>
      <c r="E20" s="9"/>
      <c r="F20" s="9"/>
      <c r="G20" s="18"/>
      <c r="H20" s="18" t="str">
        <f t="shared" si="3"/>
        <v/>
      </c>
      <c r="I20" s="18" t="str">
        <f t="shared" si="3"/>
        <v/>
      </c>
      <c r="J20" s="18" t="str">
        <f t="shared" si="3"/>
        <v/>
      </c>
      <c r="K20" s="18" t="str">
        <f t="shared" si="3"/>
        <v/>
      </c>
      <c r="L20" s="18" t="str">
        <f t="shared" si="3"/>
        <v/>
      </c>
      <c r="M20" s="18" t="str">
        <f t="shared" si="3"/>
        <v/>
      </c>
      <c r="N20" s="18" t="str">
        <f t="shared" si="3"/>
        <v/>
      </c>
      <c r="O20" s="18" t="str">
        <f t="shared" si="3"/>
        <v/>
      </c>
      <c r="P20" s="18" t="str">
        <f t="shared" si="3"/>
        <v/>
      </c>
      <c r="Q20" s="18" t="str">
        <f t="shared" si="3"/>
        <v/>
      </c>
    </row>
    <row r="21" spans="4:17" x14ac:dyDescent="0.25">
      <c r="D21" s="9"/>
      <c r="E21" s="9"/>
      <c r="F21" s="9"/>
      <c r="G21" s="18"/>
      <c r="H21" s="18" t="str">
        <f t="shared" si="3"/>
        <v/>
      </c>
      <c r="I21" s="18" t="str">
        <f t="shared" si="3"/>
        <v/>
      </c>
      <c r="J21" s="18" t="str">
        <f t="shared" si="3"/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</row>
    <row r="22" spans="4:17" x14ac:dyDescent="0.25">
      <c r="D22" s="9"/>
      <c r="E22" s="9"/>
      <c r="F22" s="9"/>
      <c r="G22" s="18"/>
      <c r="H22" s="18" t="str">
        <f t="shared" si="3"/>
        <v/>
      </c>
      <c r="I22" s="18" t="str">
        <f t="shared" si="3"/>
        <v/>
      </c>
      <c r="J22" s="18" t="str">
        <f t="shared" si="3"/>
        <v/>
      </c>
      <c r="K22" s="18" t="str">
        <f t="shared" si="3"/>
        <v/>
      </c>
      <c r="L22" s="18" t="str">
        <f t="shared" si="3"/>
        <v/>
      </c>
      <c r="M22" s="18" t="str">
        <f t="shared" si="3"/>
        <v/>
      </c>
      <c r="N22" s="18" t="str">
        <f t="shared" si="3"/>
        <v/>
      </c>
      <c r="O22" s="18" t="str">
        <f t="shared" si="3"/>
        <v/>
      </c>
      <c r="P22" s="18" t="str">
        <f t="shared" si="3"/>
        <v/>
      </c>
      <c r="Q22" s="18" t="str">
        <f t="shared" si="3"/>
        <v/>
      </c>
    </row>
    <row r="23" spans="4:17" x14ac:dyDescent="0.25">
      <c r="D23" s="9"/>
      <c r="E23" s="9"/>
      <c r="F23" s="9"/>
      <c r="G23" s="18"/>
      <c r="H23" s="18" t="str">
        <f t="shared" ref="H23:Q38" si="4">IF(G23="","",G23)</f>
        <v/>
      </c>
      <c r="I23" s="18" t="str">
        <f t="shared" si="4"/>
        <v/>
      </c>
      <c r="J23" s="18" t="str">
        <f t="shared" si="4"/>
        <v/>
      </c>
      <c r="K23" s="18" t="str">
        <f t="shared" si="4"/>
        <v/>
      </c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</row>
    <row r="24" spans="4:17" x14ac:dyDescent="0.25">
      <c r="D24" s="9"/>
      <c r="E24" s="9"/>
      <c r="F24" s="9"/>
      <c r="G24" s="18"/>
      <c r="H24" s="18" t="str">
        <f t="shared" si="4"/>
        <v/>
      </c>
      <c r="I24" s="18" t="str">
        <f t="shared" si="4"/>
        <v/>
      </c>
      <c r="J24" s="18" t="str">
        <f t="shared" si="4"/>
        <v/>
      </c>
      <c r="K24" s="18" t="str">
        <f t="shared" si="4"/>
        <v/>
      </c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</row>
    <row r="25" spans="4:17" x14ac:dyDescent="0.25">
      <c r="D25" s="9"/>
      <c r="E25" s="9"/>
      <c r="F25" s="9"/>
      <c r="G25" s="18"/>
      <c r="H25" s="18" t="str">
        <f t="shared" si="4"/>
        <v/>
      </c>
      <c r="I25" s="18" t="str">
        <f t="shared" si="4"/>
        <v/>
      </c>
      <c r="J25" s="18" t="str">
        <f t="shared" si="4"/>
        <v/>
      </c>
      <c r="K25" s="18" t="str">
        <f t="shared" si="4"/>
        <v/>
      </c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</row>
    <row r="26" spans="4:17" x14ac:dyDescent="0.25">
      <c r="D26" s="9"/>
      <c r="E26" s="9"/>
      <c r="F26" s="9"/>
      <c r="G26" s="18"/>
      <c r="H26" s="18" t="str">
        <f t="shared" si="4"/>
        <v/>
      </c>
      <c r="I26" s="18" t="str">
        <f t="shared" si="4"/>
        <v/>
      </c>
      <c r="J26" s="18" t="str">
        <f t="shared" si="4"/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</row>
    <row r="27" spans="4:17" x14ac:dyDescent="0.25">
      <c r="D27" s="9"/>
      <c r="E27" s="9"/>
      <c r="F27" s="9"/>
      <c r="G27" s="18"/>
      <c r="H27" s="18" t="str">
        <f t="shared" si="4"/>
        <v/>
      </c>
      <c r="I27" s="18" t="str">
        <f t="shared" si="4"/>
        <v/>
      </c>
      <c r="J27" s="18" t="str">
        <f t="shared" si="4"/>
        <v/>
      </c>
      <c r="K27" s="18" t="str">
        <f t="shared" si="4"/>
        <v/>
      </c>
      <c r="L27" s="18" t="str">
        <f t="shared" si="4"/>
        <v/>
      </c>
      <c r="M27" s="18" t="str">
        <f t="shared" si="4"/>
        <v/>
      </c>
      <c r="N27" s="18" t="str">
        <f t="shared" si="4"/>
        <v/>
      </c>
      <c r="O27" s="18" t="str">
        <f t="shared" si="4"/>
        <v/>
      </c>
      <c r="P27" s="18" t="str">
        <f t="shared" si="4"/>
        <v/>
      </c>
      <c r="Q27" s="18" t="str">
        <f t="shared" si="4"/>
        <v/>
      </c>
    </row>
    <row r="28" spans="4:17" x14ac:dyDescent="0.25">
      <c r="D28" s="9"/>
      <c r="E28" s="9"/>
      <c r="F28" s="9"/>
      <c r="G28" s="18"/>
      <c r="H28" s="18" t="str">
        <f t="shared" si="4"/>
        <v/>
      </c>
      <c r="I28" s="18" t="str">
        <f t="shared" si="4"/>
        <v/>
      </c>
      <c r="J28" s="18" t="str">
        <f t="shared" si="4"/>
        <v/>
      </c>
      <c r="K28" s="18" t="str">
        <f t="shared" si="4"/>
        <v/>
      </c>
      <c r="L28" s="18" t="str">
        <f t="shared" si="4"/>
        <v/>
      </c>
      <c r="M28" s="18" t="str">
        <f t="shared" si="4"/>
        <v/>
      </c>
      <c r="N28" s="18" t="str">
        <f t="shared" si="4"/>
        <v/>
      </c>
      <c r="O28" s="18" t="str">
        <f t="shared" si="4"/>
        <v/>
      </c>
      <c r="P28" s="18" t="str">
        <f t="shared" si="4"/>
        <v/>
      </c>
      <c r="Q28" s="18" t="str">
        <f t="shared" si="4"/>
        <v/>
      </c>
    </row>
    <row r="29" spans="4:17" x14ac:dyDescent="0.25">
      <c r="D29" s="9"/>
      <c r="E29" s="9"/>
      <c r="F29" s="9"/>
      <c r="G29" s="18"/>
      <c r="H29" s="18" t="str">
        <f t="shared" si="4"/>
        <v/>
      </c>
      <c r="I29" s="18" t="str">
        <f t="shared" si="4"/>
        <v/>
      </c>
      <c r="J29" s="18" t="str">
        <f t="shared" si="4"/>
        <v/>
      </c>
      <c r="K29" s="18" t="str">
        <f t="shared" si="4"/>
        <v/>
      </c>
      <c r="L29" s="18" t="str">
        <f t="shared" si="4"/>
        <v/>
      </c>
      <c r="M29" s="18" t="str">
        <f t="shared" si="4"/>
        <v/>
      </c>
      <c r="N29" s="18" t="str">
        <f t="shared" si="4"/>
        <v/>
      </c>
      <c r="O29" s="18" t="str">
        <f t="shared" si="4"/>
        <v/>
      </c>
      <c r="P29" s="18" t="str">
        <f t="shared" si="4"/>
        <v/>
      </c>
      <c r="Q29" s="18" t="str">
        <f t="shared" si="4"/>
        <v/>
      </c>
    </row>
    <row r="30" spans="4:17" x14ac:dyDescent="0.25">
      <c r="D30" s="9"/>
      <c r="E30" s="9"/>
      <c r="F30" s="9"/>
      <c r="G30" s="18"/>
      <c r="H30" s="18" t="str">
        <f t="shared" si="4"/>
        <v/>
      </c>
      <c r="I30" s="18" t="str">
        <f t="shared" si="4"/>
        <v/>
      </c>
      <c r="J30" s="18" t="str">
        <f t="shared" si="4"/>
        <v/>
      </c>
      <c r="K30" s="18" t="str">
        <f t="shared" si="4"/>
        <v/>
      </c>
      <c r="L30" s="18" t="str">
        <f t="shared" si="4"/>
        <v/>
      </c>
      <c r="M30" s="18" t="str">
        <f t="shared" si="4"/>
        <v/>
      </c>
      <c r="N30" s="18" t="str">
        <f t="shared" si="4"/>
        <v/>
      </c>
      <c r="O30" s="18" t="str">
        <f t="shared" si="4"/>
        <v/>
      </c>
      <c r="P30" s="18" t="str">
        <f t="shared" si="4"/>
        <v/>
      </c>
      <c r="Q30" s="18" t="str">
        <f t="shared" si="4"/>
        <v/>
      </c>
    </row>
    <row r="31" spans="4:17" x14ac:dyDescent="0.25">
      <c r="D31" s="9"/>
      <c r="E31" s="9"/>
      <c r="F31" s="9"/>
      <c r="G31" s="18"/>
      <c r="H31" s="18" t="str">
        <f t="shared" si="4"/>
        <v/>
      </c>
      <c r="I31" s="18" t="str">
        <f t="shared" si="4"/>
        <v/>
      </c>
      <c r="J31" s="18" t="str">
        <f t="shared" si="4"/>
        <v/>
      </c>
      <c r="K31" s="18" t="str">
        <f t="shared" si="4"/>
        <v/>
      </c>
      <c r="L31" s="18" t="str">
        <f t="shared" si="4"/>
        <v/>
      </c>
      <c r="M31" s="18" t="str">
        <f t="shared" si="4"/>
        <v/>
      </c>
      <c r="N31" s="18" t="str">
        <f t="shared" si="4"/>
        <v/>
      </c>
      <c r="O31" s="18" t="str">
        <f t="shared" si="4"/>
        <v/>
      </c>
      <c r="P31" s="18" t="str">
        <f t="shared" si="4"/>
        <v/>
      </c>
      <c r="Q31" s="18" t="str">
        <f t="shared" si="4"/>
        <v/>
      </c>
    </row>
    <row r="32" spans="4:17" x14ac:dyDescent="0.25">
      <c r="D32" s="9"/>
      <c r="E32" s="9"/>
      <c r="F32" s="9"/>
      <c r="G32" s="18"/>
      <c r="H32" s="18" t="str">
        <f t="shared" si="4"/>
        <v/>
      </c>
      <c r="I32" s="18" t="str">
        <f t="shared" si="4"/>
        <v/>
      </c>
      <c r="J32" s="18" t="str">
        <f t="shared" si="4"/>
        <v/>
      </c>
      <c r="K32" s="18" t="str">
        <f t="shared" si="4"/>
        <v/>
      </c>
      <c r="L32" s="18" t="str">
        <f t="shared" si="4"/>
        <v/>
      </c>
      <c r="M32" s="18" t="str">
        <f t="shared" si="4"/>
        <v/>
      </c>
      <c r="N32" s="18" t="str">
        <f t="shared" si="4"/>
        <v/>
      </c>
      <c r="O32" s="18" t="str">
        <f t="shared" si="4"/>
        <v/>
      </c>
      <c r="P32" s="18" t="str">
        <f t="shared" si="4"/>
        <v/>
      </c>
      <c r="Q32" s="18" t="str">
        <f t="shared" si="4"/>
        <v/>
      </c>
    </row>
    <row r="33" spans="4:17" x14ac:dyDescent="0.25">
      <c r="D33" s="9"/>
      <c r="E33" s="9"/>
      <c r="F33" s="9"/>
      <c r="G33" s="18"/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  <c r="L33" s="18" t="str">
        <f t="shared" si="4"/>
        <v/>
      </c>
      <c r="M33" s="18" t="str">
        <f t="shared" si="4"/>
        <v/>
      </c>
      <c r="N33" s="18" t="str">
        <f t="shared" si="4"/>
        <v/>
      </c>
      <c r="O33" s="18" t="str">
        <f t="shared" si="4"/>
        <v/>
      </c>
      <c r="P33" s="18" t="str">
        <f t="shared" si="4"/>
        <v/>
      </c>
      <c r="Q33" s="18" t="str">
        <f t="shared" si="4"/>
        <v/>
      </c>
    </row>
    <row r="34" spans="4:17" x14ac:dyDescent="0.25">
      <c r="D34" s="9"/>
      <c r="E34" s="9"/>
      <c r="F34" s="9"/>
      <c r="G34" s="18"/>
      <c r="H34" s="18" t="str">
        <f t="shared" si="4"/>
        <v/>
      </c>
      <c r="I34" s="18" t="str">
        <f t="shared" si="4"/>
        <v/>
      </c>
      <c r="J34" s="18" t="str">
        <f t="shared" si="4"/>
        <v/>
      </c>
      <c r="K34" s="18" t="str">
        <f t="shared" si="4"/>
        <v/>
      </c>
      <c r="L34" s="18" t="str">
        <f t="shared" si="4"/>
        <v/>
      </c>
      <c r="M34" s="18" t="str">
        <f t="shared" si="4"/>
        <v/>
      </c>
      <c r="N34" s="18" t="str">
        <f t="shared" si="4"/>
        <v/>
      </c>
      <c r="O34" s="18" t="str">
        <f t="shared" si="4"/>
        <v/>
      </c>
      <c r="P34" s="18" t="str">
        <f t="shared" si="4"/>
        <v/>
      </c>
      <c r="Q34" s="18" t="str">
        <f t="shared" si="4"/>
        <v/>
      </c>
    </row>
    <row r="35" spans="4:17" x14ac:dyDescent="0.25">
      <c r="D35" s="9"/>
      <c r="E35" s="9"/>
      <c r="F35" s="9"/>
      <c r="G35" s="18"/>
      <c r="H35" s="18" t="str">
        <f t="shared" si="4"/>
        <v/>
      </c>
      <c r="I35" s="18" t="str">
        <f t="shared" si="4"/>
        <v/>
      </c>
      <c r="J35" s="18" t="str">
        <f t="shared" si="4"/>
        <v/>
      </c>
      <c r="K35" s="18" t="str">
        <f t="shared" si="4"/>
        <v/>
      </c>
      <c r="L35" s="18" t="str">
        <f t="shared" si="4"/>
        <v/>
      </c>
      <c r="M35" s="18" t="str">
        <f t="shared" si="4"/>
        <v/>
      </c>
      <c r="N35" s="18" t="str">
        <f t="shared" si="4"/>
        <v/>
      </c>
      <c r="O35" s="18" t="str">
        <f t="shared" si="4"/>
        <v/>
      </c>
      <c r="P35" s="18" t="str">
        <f t="shared" si="4"/>
        <v/>
      </c>
      <c r="Q35" s="18" t="str">
        <f t="shared" si="4"/>
        <v/>
      </c>
    </row>
    <row r="36" spans="4:17" x14ac:dyDescent="0.25">
      <c r="D36" s="9"/>
      <c r="E36" s="9"/>
      <c r="F36" s="9"/>
      <c r="G36" s="18"/>
      <c r="H36" s="18" t="str">
        <f t="shared" si="4"/>
        <v/>
      </c>
      <c r="I36" s="18" t="str">
        <f t="shared" si="4"/>
        <v/>
      </c>
      <c r="J36" s="18" t="str">
        <f t="shared" si="4"/>
        <v/>
      </c>
      <c r="K36" s="18" t="str">
        <f t="shared" si="4"/>
        <v/>
      </c>
      <c r="L36" s="18" t="str">
        <f t="shared" si="4"/>
        <v/>
      </c>
      <c r="M36" s="18" t="str">
        <f t="shared" si="4"/>
        <v/>
      </c>
      <c r="N36" s="18" t="str">
        <f t="shared" si="4"/>
        <v/>
      </c>
      <c r="O36" s="18" t="str">
        <f t="shared" si="4"/>
        <v/>
      </c>
      <c r="P36" s="18" t="str">
        <f t="shared" si="4"/>
        <v/>
      </c>
      <c r="Q36" s="18" t="str">
        <f t="shared" si="4"/>
        <v/>
      </c>
    </row>
    <row r="37" spans="4:17" x14ac:dyDescent="0.25">
      <c r="D37" s="9"/>
      <c r="E37" s="9"/>
      <c r="F37" s="9"/>
      <c r="G37" s="18"/>
      <c r="H37" s="18" t="str">
        <f t="shared" si="4"/>
        <v/>
      </c>
      <c r="I37" s="18" t="str">
        <f t="shared" si="4"/>
        <v/>
      </c>
      <c r="J37" s="18" t="str">
        <f t="shared" si="4"/>
        <v/>
      </c>
      <c r="K37" s="18" t="str">
        <f t="shared" si="4"/>
        <v/>
      </c>
      <c r="L37" s="18" t="str">
        <f t="shared" si="4"/>
        <v/>
      </c>
      <c r="M37" s="18" t="str">
        <f t="shared" si="4"/>
        <v/>
      </c>
      <c r="N37" s="18" t="str">
        <f t="shared" si="4"/>
        <v/>
      </c>
      <c r="O37" s="18" t="str">
        <f t="shared" si="4"/>
        <v/>
      </c>
      <c r="P37" s="18" t="str">
        <f t="shared" si="4"/>
        <v/>
      </c>
      <c r="Q37" s="18" t="str">
        <f t="shared" si="4"/>
        <v/>
      </c>
    </row>
    <row r="38" spans="4:17" x14ac:dyDescent="0.25">
      <c r="D38" s="9"/>
      <c r="E38" s="9"/>
      <c r="F38" s="9"/>
      <c r="G38" s="18"/>
      <c r="H38" s="18" t="str">
        <f t="shared" si="4"/>
        <v/>
      </c>
      <c r="I38" s="18" t="str">
        <f t="shared" si="4"/>
        <v/>
      </c>
      <c r="J38" s="18" t="str">
        <f t="shared" si="4"/>
        <v/>
      </c>
      <c r="K38" s="18" t="str">
        <f t="shared" si="4"/>
        <v/>
      </c>
      <c r="L38" s="18" t="str">
        <f t="shared" si="4"/>
        <v/>
      </c>
      <c r="M38" s="18" t="str">
        <f t="shared" si="4"/>
        <v/>
      </c>
      <c r="N38" s="18" t="str">
        <f t="shared" si="4"/>
        <v/>
      </c>
      <c r="O38" s="18" t="str">
        <f t="shared" si="4"/>
        <v/>
      </c>
      <c r="P38" s="18" t="str">
        <f t="shared" si="4"/>
        <v/>
      </c>
      <c r="Q38" s="18" t="str">
        <f t="shared" si="4"/>
        <v/>
      </c>
    </row>
    <row r="39" spans="4:17" x14ac:dyDescent="0.25">
      <c r="D39" s="9"/>
      <c r="E39" s="9"/>
      <c r="F39" s="9"/>
      <c r="G39" s="18"/>
      <c r="H39" s="18" t="str">
        <f t="shared" ref="H39:Q50" si="5">IF(G39="","",G39)</f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str">
        <f t="shared" si="5"/>
        <v/>
      </c>
      <c r="M39" s="18" t="str">
        <f t="shared" si="5"/>
        <v/>
      </c>
      <c r="N39" s="18" t="str">
        <f t="shared" si="5"/>
        <v/>
      </c>
      <c r="O39" s="18" t="str">
        <f t="shared" si="5"/>
        <v/>
      </c>
      <c r="P39" s="18" t="str">
        <f t="shared" si="5"/>
        <v/>
      </c>
      <c r="Q39" s="18" t="str">
        <f t="shared" si="5"/>
        <v/>
      </c>
    </row>
    <row r="40" spans="4:17" x14ac:dyDescent="0.25">
      <c r="D40" s="9"/>
      <c r="E40" s="9"/>
      <c r="F40" s="9"/>
      <c r="G40" s="18"/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str">
        <f t="shared" si="5"/>
        <v/>
      </c>
      <c r="M40" s="18" t="str">
        <f t="shared" si="5"/>
        <v/>
      </c>
      <c r="N40" s="18" t="str">
        <f t="shared" si="5"/>
        <v/>
      </c>
      <c r="O40" s="18" t="str">
        <f t="shared" si="5"/>
        <v/>
      </c>
      <c r="P40" s="18" t="str">
        <f t="shared" si="5"/>
        <v/>
      </c>
      <c r="Q40" s="18" t="str">
        <f t="shared" si="5"/>
        <v/>
      </c>
    </row>
    <row r="41" spans="4:17" x14ac:dyDescent="0.25">
      <c r="D41" s="9"/>
      <c r="E41" s="9"/>
      <c r="F41" s="9"/>
      <c r="G41" s="18"/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str">
        <f t="shared" si="5"/>
        <v/>
      </c>
      <c r="M41" s="18" t="str">
        <f t="shared" si="5"/>
        <v/>
      </c>
      <c r="N41" s="18" t="str">
        <f t="shared" si="5"/>
        <v/>
      </c>
      <c r="O41" s="18" t="str">
        <f t="shared" si="5"/>
        <v/>
      </c>
      <c r="P41" s="18" t="str">
        <f t="shared" si="5"/>
        <v/>
      </c>
      <c r="Q41" s="18" t="str">
        <f t="shared" si="5"/>
        <v/>
      </c>
    </row>
    <row r="42" spans="4:17" x14ac:dyDescent="0.25">
      <c r="D42" s="9"/>
      <c r="E42" s="9"/>
      <c r="F42" s="9"/>
      <c r="G42" s="18"/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</row>
    <row r="43" spans="4:17" x14ac:dyDescent="0.25">
      <c r="D43" s="9"/>
      <c r="E43" s="9"/>
      <c r="F43" s="9"/>
      <c r="G43" s="18"/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str">
        <f t="shared" si="5"/>
        <v/>
      </c>
      <c r="M43" s="18" t="str">
        <f t="shared" si="5"/>
        <v/>
      </c>
      <c r="N43" s="18" t="str">
        <f t="shared" si="5"/>
        <v/>
      </c>
      <c r="O43" s="18" t="str">
        <f t="shared" si="5"/>
        <v/>
      </c>
      <c r="P43" s="18" t="str">
        <f t="shared" si="5"/>
        <v/>
      </c>
      <c r="Q43" s="18" t="str">
        <f t="shared" si="5"/>
        <v/>
      </c>
    </row>
    <row r="44" spans="4:17" x14ac:dyDescent="0.25">
      <c r="D44" s="9"/>
      <c r="E44" s="9"/>
      <c r="F44" s="9"/>
      <c r="G44" s="18"/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str">
        <f t="shared" si="5"/>
        <v/>
      </c>
      <c r="M44" s="18" t="str">
        <f t="shared" si="5"/>
        <v/>
      </c>
      <c r="N44" s="18" t="str">
        <f t="shared" si="5"/>
        <v/>
      </c>
      <c r="O44" s="18" t="str">
        <f t="shared" si="5"/>
        <v/>
      </c>
      <c r="P44" s="18" t="str">
        <f t="shared" si="5"/>
        <v/>
      </c>
      <c r="Q44" s="18" t="str">
        <f t="shared" si="5"/>
        <v/>
      </c>
    </row>
    <row r="45" spans="4:17" x14ac:dyDescent="0.25">
      <c r="D45" s="9"/>
      <c r="E45" s="9"/>
      <c r="F45" s="9"/>
      <c r="G45" s="18"/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str">
        <f t="shared" si="5"/>
        <v/>
      </c>
      <c r="M45" s="18" t="str">
        <f t="shared" si="5"/>
        <v/>
      </c>
      <c r="N45" s="18" t="str">
        <f t="shared" si="5"/>
        <v/>
      </c>
      <c r="O45" s="18" t="str">
        <f t="shared" si="5"/>
        <v/>
      </c>
      <c r="P45" s="18" t="str">
        <f t="shared" si="5"/>
        <v/>
      </c>
      <c r="Q45" s="18" t="str">
        <f t="shared" si="5"/>
        <v/>
      </c>
    </row>
    <row r="46" spans="4:17" x14ac:dyDescent="0.25">
      <c r="D46" s="9"/>
      <c r="E46" s="9"/>
      <c r="F46" s="9"/>
      <c r="G46" s="18"/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str">
        <f t="shared" si="5"/>
        <v/>
      </c>
      <c r="M46" s="18" t="str">
        <f t="shared" si="5"/>
        <v/>
      </c>
      <c r="N46" s="18" t="str">
        <f t="shared" si="5"/>
        <v/>
      </c>
      <c r="O46" s="18" t="str">
        <f t="shared" si="5"/>
        <v/>
      </c>
      <c r="P46" s="18" t="str">
        <f t="shared" si="5"/>
        <v/>
      </c>
      <c r="Q46" s="18" t="str">
        <f t="shared" si="5"/>
        <v/>
      </c>
    </row>
    <row r="47" spans="4:17" x14ac:dyDescent="0.25">
      <c r="D47" s="9"/>
      <c r="E47" s="9"/>
      <c r="F47" s="9"/>
      <c r="G47" s="18"/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str">
        <f t="shared" si="5"/>
        <v/>
      </c>
      <c r="M47" s="18" t="str">
        <f t="shared" si="5"/>
        <v/>
      </c>
      <c r="N47" s="18" t="str">
        <f t="shared" si="5"/>
        <v/>
      </c>
      <c r="O47" s="18" t="str">
        <f t="shared" si="5"/>
        <v/>
      </c>
      <c r="P47" s="18" t="str">
        <f t="shared" si="5"/>
        <v/>
      </c>
      <c r="Q47" s="18" t="str">
        <f t="shared" si="5"/>
        <v/>
      </c>
    </row>
    <row r="48" spans="4:17" x14ac:dyDescent="0.25">
      <c r="D48" s="9"/>
      <c r="E48" s="9"/>
      <c r="F48" s="9"/>
      <c r="G48" s="18"/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str">
        <f t="shared" si="5"/>
        <v/>
      </c>
      <c r="M48" s="18" t="str">
        <f t="shared" si="5"/>
        <v/>
      </c>
      <c r="N48" s="18" t="str">
        <f t="shared" si="5"/>
        <v/>
      </c>
      <c r="O48" s="18" t="str">
        <f t="shared" si="5"/>
        <v/>
      </c>
      <c r="P48" s="18" t="str">
        <f t="shared" si="5"/>
        <v/>
      </c>
      <c r="Q48" s="18" t="str">
        <f t="shared" si="5"/>
        <v/>
      </c>
    </row>
    <row r="49" spans="4:17" x14ac:dyDescent="0.25">
      <c r="D49" s="9"/>
      <c r="E49" s="9"/>
      <c r="F49" s="9"/>
      <c r="G49" s="18"/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str">
        <f t="shared" si="5"/>
        <v/>
      </c>
      <c r="M49" s="18" t="str">
        <f t="shared" si="5"/>
        <v/>
      </c>
      <c r="N49" s="18" t="str">
        <f t="shared" si="5"/>
        <v/>
      </c>
      <c r="O49" s="18" t="str">
        <f t="shared" si="5"/>
        <v/>
      </c>
      <c r="P49" s="18" t="str">
        <f t="shared" si="5"/>
        <v/>
      </c>
      <c r="Q49" s="18" t="str">
        <f t="shared" si="5"/>
        <v/>
      </c>
    </row>
    <row r="50" spans="4:17" ht="15.75" thickBot="1" x14ac:dyDescent="0.3">
      <c r="D50" s="10"/>
      <c r="E50" s="10"/>
      <c r="F50" s="10"/>
      <c r="G50" s="46"/>
      <c r="H50" s="46" t="str">
        <f t="shared" si="5"/>
        <v/>
      </c>
      <c r="I50" s="46" t="str">
        <f t="shared" si="5"/>
        <v/>
      </c>
      <c r="J50" s="46" t="str">
        <f t="shared" si="5"/>
        <v/>
      </c>
      <c r="K50" s="46" t="str">
        <f t="shared" si="5"/>
        <v/>
      </c>
      <c r="L50" s="46" t="str">
        <f t="shared" si="5"/>
        <v/>
      </c>
      <c r="M50" s="46" t="str">
        <f t="shared" si="5"/>
        <v/>
      </c>
      <c r="N50" s="46" t="str">
        <f t="shared" si="5"/>
        <v/>
      </c>
      <c r="O50" s="46" t="str">
        <f t="shared" si="5"/>
        <v/>
      </c>
      <c r="P50" s="46" t="str">
        <f t="shared" si="5"/>
        <v/>
      </c>
      <c r="Q50" s="46" t="str">
        <f t="shared" si="5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17" s="25" customFormat="1" ht="24.95" customHeight="1" x14ac:dyDescent="0.25">
      <c r="B1" s="24" t="s">
        <v>233</v>
      </c>
    </row>
    <row r="3" spans="2:17" ht="15.75" thickBot="1" x14ac:dyDescent="0.3">
      <c r="D3" s="38" t="str">
        <f>JESA_UploadTable("local_sales_plan",D4:Q15,db)</f>
        <v>local_sales_plan @17:32:56</v>
      </c>
      <c r="E3" s="38"/>
    </row>
    <row r="4" spans="2:17" ht="30" customHeight="1" thickBot="1" x14ac:dyDescent="0.3">
      <c r="D4" s="60" t="s">
        <v>160</v>
      </c>
      <c r="E4" s="60" t="s">
        <v>24</v>
      </c>
      <c r="F4" s="60" t="s">
        <v>17</v>
      </c>
      <c r="G4" s="77" t="s">
        <v>37</v>
      </c>
      <c r="H4" s="77" t="s">
        <v>38</v>
      </c>
      <c r="I4" s="77" t="s">
        <v>39</v>
      </c>
      <c r="J4" s="77" t="s">
        <v>40</v>
      </c>
      <c r="K4" s="77" t="s">
        <v>41</v>
      </c>
      <c r="L4" s="77" t="s">
        <v>42</v>
      </c>
      <c r="M4" s="77" t="s">
        <v>43</v>
      </c>
      <c r="N4" s="77" t="s">
        <v>44</v>
      </c>
      <c r="O4" s="77" t="s">
        <v>45</v>
      </c>
      <c r="P4" s="77" t="s">
        <v>46</v>
      </c>
      <c r="Q4" s="77" t="s">
        <v>47</v>
      </c>
    </row>
    <row r="5" spans="2:17" ht="15.75" thickBot="1" x14ac:dyDescent="0.3">
      <c r="D5" s="8" t="s">
        <v>186</v>
      </c>
      <c r="E5" s="8" t="s">
        <v>305</v>
      </c>
      <c r="F5" s="8" t="s">
        <v>339</v>
      </c>
      <c r="G5" s="17">
        <v>0</v>
      </c>
      <c r="H5" s="17">
        <f t="shared" ref="H5:Q8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.75" thickBot="1" x14ac:dyDescent="0.3">
      <c r="D6" s="9" t="s">
        <v>235</v>
      </c>
      <c r="E6" s="9" t="s">
        <v>460</v>
      </c>
      <c r="F6" s="9" t="s">
        <v>339</v>
      </c>
      <c r="G6" s="17">
        <v>0</v>
      </c>
      <c r="H6" s="17">
        <f t="shared" si="0"/>
        <v>0</v>
      </c>
      <c r="I6" s="17">
        <f t="shared" si="0"/>
        <v>0</v>
      </c>
      <c r="J6" s="17">
        <f t="shared" si="0"/>
        <v>0</v>
      </c>
      <c r="K6" s="17">
        <f t="shared" si="0"/>
        <v>0</v>
      </c>
      <c r="L6" s="17">
        <f t="shared" si="0"/>
        <v>0</v>
      </c>
      <c r="M6" s="17">
        <f t="shared" si="0"/>
        <v>0</v>
      </c>
      <c r="N6" s="17">
        <f t="shared" si="0"/>
        <v>0</v>
      </c>
      <c r="O6" s="17">
        <f t="shared" si="0"/>
        <v>0</v>
      </c>
      <c r="P6" s="17">
        <f t="shared" si="0"/>
        <v>0</v>
      </c>
      <c r="Q6" s="17">
        <f t="shared" si="0"/>
        <v>0</v>
      </c>
    </row>
    <row r="7" spans="2:17" ht="15.75" thickBot="1" x14ac:dyDescent="0.3">
      <c r="D7" s="9" t="s">
        <v>236</v>
      </c>
      <c r="E7" s="9" t="s">
        <v>82</v>
      </c>
      <c r="F7" s="9" t="s">
        <v>339</v>
      </c>
      <c r="G7" s="17">
        <v>0</v>
      </c>
      <c r="H7" s="17">
        <f t="shared" si="0"/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</row>
    <row r="8" spans="2:17" x14ac:dyDescent="0.25">
      <c r="D8" s="9" t="s">
        <v>236</v>
      </c>
      <c r="E8" s="9" t="s">
        <v>81</v>
      </c>
      <c r="F8" s="9" t="s">
        <v>339</v>
      </c>
      <c r="G8" s="17"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</row>
    <row r="9" spans="2:17" x14ac:dyDescent="0.25">
      <c r="D9" s="9"/>
      <c r="E9" s="9"/>
      <c r="F9" s="9"/>
      <c r="G9" s="18"/>
      <c r="H9" s="18" t="str">
        <f t="shared" ref="H9:Q22" si="1">IF(G9="","",G9)</f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25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25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25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25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25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25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25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25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25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25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25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25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25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25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25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25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25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25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25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25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25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25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25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25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25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25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25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25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25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25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25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25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25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25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25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25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25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25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25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25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.75" thickBot="1" x14ac:dyDescent="0.3">
      <c r="D50" s="10"/>
      <c r="E50" s="10"/>
      <c r="F50" s="10"/>
      <c r="G50" s="46"/>
      <c r="H50" s="46" t="str">
        <f t="shared" si="3"/>
        <v/>
      </c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17" s="25" customFormat="1" ht="24.95" customHeight="1" x14ac:dyDescent="0.25">
      <c r="B1" s="24" t="s">
        <v>234</v>
      </c>
    </row>
    <row r="3" spans="2:17" ht="15.75" thickBot="1" x14ac:dyDescent="0.3">
      <c r="D3" s="38" t="str">
        <f>JESA_UploadTable("spare_sales_plan",D4:Q15,db)</f>
        <v>spare_sales_plan @17:32:56</v>
      </c>
      <c r="E3" s="38"/>
    </row>
    <row r="4" spans="2:17" ht="30" customHeight="1" thickBot="1" x14ac:dyDescent="0.3">
      <c r="D4" s="60" t="s">
        <v>160</v>
      </c>
      <c r="E4" s="60" t="s">
        <v>24</v>
      </c>
      <c r="F4" s="60" t="s">
        <v>17</v>
      </c>
      <c r="G4" s="77" t="s">
        <v>37</v>
      </c>
      <c r="H4" s="77" t="s">
        <v>38</v>
      </c>
      <c r="I4" s="77" t="s">
        <v>39</v>
      </c>
      <c r="J4" s="77" t="s">
        <v>40</v>
      </c>
      <c r="K4" s="77" t="s">
        <v>41</v>
      </c>
      <c r="L4" s="77" t="s">
        <v>42</v>
      </c>
      <c r="M4" s="77" t="s">
        <v>43</v>
      </c>
      <c r="N4" s="77" t="s">
        <v>44</v>
      </c>
      <c r="O4" s="77" t="s">
        <v>45</v>
      </c>
      <c r="P4" s="77" t="s">
        <v>46</v>
      </c>
      <c r="Q4" s="77" t="s">
        <v>47</v>
      </c>
    </row>
    <row r="5" spans="2:17" x14ac:dyDescent="0.25">
      <c r="D5" s="8" t="s">
        <v>186</v>
      </c>
      <c r="E5" s="8" t="s">
        <v>305</v>
      </c>
      <c r="F5" s="8" t="s">
        <v>339</v>
      </c>
      <c r="G5" s="18">
        <v>0</v>
      </c>
      <c r="H5" s="18">
        <f t="shared" ref="H5:Q20" si="0">IF(G5="","",G5)</f>
        <v>0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0</v>
      </c>
      <c r="M5" s="18">
        <f t="shared" si="0"/>
        <v>0</v>
      </c>
      <c r="N5" s="18">
        <f t="shared" si="0"/>
        <v>0</v>
      </c>
      <c r="O5" s="18">
        <f t="shared" si="0"/>
        <v>0</v>
      </c>
      <c r="P5" s="18">
        <f t="shared" si="0"/>
        <v>0</v>
      </c>
      <c r="Q5" s="18">
        <f t="shared" si="0"/>
        <v>0</v>
      </c>
    </row>
    <row r="6" spans="2:17" x14ac:dyDescent="0.25">
      <c r="D6" s="9" t="s">
        <v>235</v>
      </c>
      <c r="E6" s="9" t="s">
        <v>460</v>
      </c>
      <c r="F6" s="9" t="s">
        <v>339</v>
      </c>
      <c r="G6" s="18">
        <v>0</v>
      </c>
      <c r="H6" s="18">
        <f t="shared" ref="H6:Q6" si="1">IF(G6="","",G6)</f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</row>
    <row r="7" spans="2:17" x14ac:dyDescent="0.25">
      <c r="D7" s="9" t="s">
        <v>236</v>
      </c>
      <c r="E7" s="9" t="s">
        <v>81</v>
      </c>
      <c r="F7" s="9" t="s">
        <v>339</v>
      </c>
      <c r="G7" s="18">
        <v>0</v>
      </c>
      <c r="H7" s="18">
        <f t="shared" ref="H7:Q7" si="2">IF(G7="","",G7)</f>
        <v>0</v>
      </c>
      <c r="I7" s="18">
        <f t="shared" si="2"/>
        <v>0</v>
      </c>
      <c r="J7" s="18">
        <f t="shared" si="2"/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</row>
    <row r="8" spans="2:17" x14ac:dyDescent="0.25">
      <c r="D8" s="9" t="s">
        <v>236</v>
      </c>
      <c r="E8" s="9" t="s">
        <v>82</v>
      </c>
      <c r="F8" s="9" t="s">
        <v>339</v>
      </c>
      <c r="G8" s="18">
        <v>0</v>
      </c>
      <c r="H8" s="18">
        <f t="shared" ref="H8:Q8" si="3">IF(G8="","",G8)</f>
        <v>0</v>
      </c>
      <c r="I8" s="18">
        <f t="shared" si="3"/>
        <v>0</v>
      </c>
      <c r="J8" s="18">
        <f t="shared" si="3"/>
        <v>0</v>
      </c>
      <c r="K8" s="18">
        <f t="shared" si="3"/>
        <v>0</v>
      </c>
      <c r="L8" s="18">
        <f t="shared" si="3"/>
        <v>0</v>
      </c>
      <c r="M8" s="18">
        <f t="shared" si="3"/>
        <v>0</v>
      </c>
      <c r="N8" s="18">
        <f t="shared" si="3"/>
        <v>0</v>
      </c>
      <c r="O8" s="18">
        <f t="shared" si="3"/>
        <v>0</v>
      </c>
      <c r="P8" s="18">
        <f t="shared" si="3"/>
        <v>0</v>
      </c>
      <c r="Q8" s="18">
        <f t="shared" si="3"/>
        <v>0</v>
      </c>
    </row>
    <row r="9" spans="2:17" x14ac:dyDescent="0.2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2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2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2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2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2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2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2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2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2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2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2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25">
      <c r="D21" s="9"/>
      <c r="E21" s="9"/>
      <c r="F21" s="9"/>
      <c r="G21" s="18"/>
      <c r="H21" s="18" t="str">
        <f t="shared" ref="H21:Q36" si="4">IF(G21="","",G21)</f>
        <v/>
      </c>
      <c r="I21" s="18" t="str">
        <f t="shared" si="4"/>
        <v/>
      </c>
      <c r="J21" s="18" t="str">
        <f t="shared" si="4"/>
        <v/>
      </c>
      <c r="K21" s="18" t="str">
        <f t="shared" si="4"/>
        <v/>
      </c>
      <c r="L21" s="18" t="str">
        <f t="shared" si="4"/>
        <v/>
      </c>
      <c r="M21" s="18" t="str">
        <f t="shared" si="4"/>
        <v/>
      </c>
      <c r="N21" s="18" t="str">
        <f t="shared" si="4"/>
        <v/>
      </c>
      <c r="O21" s="18" t="str">
        <f t="shared" si="4"/>
        <v/>
      </c>
      <c r="P21" s="18" t="str">
        <f t="shared" si="4"/>
        <v/>
      </c>
      <c r="Q21" s="18" t="str">
        <f t="shared" si="4"/>
        <v/>
      </c>
    </row>
    <row r="22" spans="4:17" x14ac:dyDescent="0.25">
      <c r="D22" s="9"/>
      <c r="E22" s="9"/>
      <c r="F22" s="9"/>
      <c r="G22" s="18"/>
      <c r="H22" s="18" t="str">
        <f t="shared" si="4"/>
        <v/>
      </c>
      <c r="I22" s="18" t="str">
        <f t="shared" si="4"/>
        <v/>
      </c>
      <c r="J22" s="18" t="str">
        <f t="shared" si="4"/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</row>
    <row r="23" spans="4:17" x14ac:dyDescent="0.25">
      <c r="D23" s="9"/>
      <c r="E23" s="9"/>
      <c r="F23" s="9"/>
      <c r="G23" s="18"/>
      <c r="H23" s="18" t="str">
        <f t="shared" si="4"/>
        <v/>
      </c>
      <c r="I23" s="18" t="str">
        <f t="shared" si="4"/>
        <v/>
      </c>
      <c r="J23" s="18" t="str">
        <f t="shared" si="4"/>
        <v/>
      </c>
      <c r="K23" s="18" t="str">
        <f t="shared" si="4"/>
        <v/>
      </c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</row>
    <row r="24" spans="4:17" x14ac:dyDescent="0.25">
      <c r="D24" s="9"/>
      <c r="E24" s="9"/>
      <c r="F24" s="9"/>
      <c r="G24" s="18"/>
      <c r="H24" s="18" t="str">
        <f t="shared" si="4"/>
        <v/>
      </c>
      <c r="I24" s="18" t="str">
        <f t="shared" si="4"/>
        <v/>
      </c>
      <c r="J24" s="18" t="str">
        <f t="shared" si="4"/>
        <v/>
      </c>
      <c r="K24" s="18" t="str">
        <f t="shared" si="4"/>
        <v/>
      </c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</row>
    <row r="25" spans="4:17" x14ac:dyDescent="0.25">
      <c r="D25" s="9"/>
      <c r="E25" s="9"/>
      <c r="F25" s="9"/>
      <c r="G25" s="18"/>
      <c r="H25" s="18" t="str">
        <f t="shared" si="4"/>
        <v/>
      </c>
      <c r="I25" s="18" t="str">
        <f t="shared" si="4"/>
        <v/>
      </c>
      <c r="J25" s="18" t="str">
        <f t="shared" si="4"/>
        <v/>
      </c>
      <c r="K25" s="18" t="str">
        <f t="shared" si="4"/>
        <v/>
      </c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</row>
    <row r="26" spans="4:17" x14ac:dyDescent="0.25">
      <c r="D26" s="9"/>
      <c r="E26" s="9"/>
      <c r="F26" s="9"/>
      <c r="G26" s="18"/>
      <c r="H26" s="18" t="str">
        <f t="shared" si="4"/>
        <v/>
      </c>
      <c r="I26" s="18" t="str">
        <f t="shared" si="4"/>
        <v/>
      </c>
      <c r="J26" s="18" t="str">
        <f t="shared" si="4"/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</row>
    <row r="27" spans="4:17" x14ac:dyDescent="0.25">
      <c r="D27" s="9"/>
      <c r="E27" s="9"/>
      <c r="F27" s="9"/>
      <c r="G27" s="18"/>
      <c r="H27" s="18" t="str">
        <f t="shared" si="4"/>
        <v/>
      </c>
      <c r="I27" s="18" t="str">
        <f t="shared" si="4"/>
        <v/>
      </c>
      <c r="J27" s="18" t="str">
        <f t="shared" si="4"/>
        <v/>
      </c>
      <c r="K27" s="18" t="str">
        <f t="shared" si="4"/>
        <v/>
      </c>
      <c r="L27" s="18" t="str">
        <f t="shared" si="4"/>
        <v/>
      </c>
      <c r="M27" s="18" t="str">
        <f t="shared" si="4"/>
        <v/>
      </c>
      <c r="N27" s="18" t="str">
        <f t="shared" si="4"/>
        <v/>
      </c>
      <c r="O27" s="18" t="str">
        <f t="shared" si="4"/>
        <v/>
      </c>
      <c r="P27" s="18" t="str">
        <f t="shared" si="4"/>
        <v/>
      </c>
      <c r="Q27" s="18" t="str">
        <f t="shared" si="4"/>
        <v/>
      </c>
    </row>
    <row r="28" spans="4:17" x14ac:dyDescent="0.25">
      <c r="D28" s="9"/>
      <c r="E28" s="9"/>
      <c r="F28" s="9"/>
      <c r="G28" s="18"/>
      <c r="H28" s="18" t="str">
        <f t="shared" si="4"/>
        <v/>
      </c>
      <c r="I28" s="18" t="str">
        <f t="shared" si="4"/>
        <v/>
      </c>
      <c r="J28" s="18" t="str">
        <f t="shared" si="4"/>
        <v/>
      </c>
      <c r="K28" s="18" t="str">
        <f t="shared" si="4"/>
        <v/>
      </c>
      <c r="L28" s="18" t="str">
        <f t="shared" si="4"/>
        <v/>
      </c>
      <c r="M28" s="18" t="str">
        <f t="shared" si="4"/>
        <v/>
      </c>
      <c r="N28" s="18" t="str">
        <f t="shared" si="4"/>
        <v/>
      </c>
      <c r="O28" s="18" t="str">
        <f t="shared" si="4"/>
        <v/>
      </c>
      <c r="P28" s="18" t="str">
        <f t="shared" si="4"/>
        <v/>
      </c>
      <c r="Q28" s="18" t="str">
        <f t="shared" si="4"/>
        <v/>
      </c>
    </row>
    <row r="29" spans="4:17" x14ac:dyDescent="0.25">
      <c r="D29" s="9"/>
      <c r="E29" s="9"/>
      <c r="F29" s="9"/>
      <c r="G29" s="18"/>
      <c r="H29" s="18" t="str">
        <f t="shared" si="4"/>
        <v/>
      </c>
      <c r="I29" s="18" t="str">
        <f t="shared" si="4"/>
        <v/>
      </c>
      <c r="J29" s="18" t="str">
        <f t="shared" si="4"/>
        <v/>
      </c>
      <c r="K29" s="18" t="str">
        <f t="shared" si="4"/>
        <v/>
      </c>
      <c r="L29" s="18" t="str">
        <f t="shared" si="4"/>
        <v/>
      </c>
      <c r="M29" s="18" t="str">
        <f t="shared" si="4"/>
        <v/>
      </c>
      <c r="N29" s="18" t="str">
        <f t="shared" si="4"/>
        <v/>
      </c>
      <c r="O29" s="18" t="str">
        <f t="shared" si="4"/>
        <v/>
      </c>
      <c r="P29" s="18" t="str">
        <f t="shared" si="4"/>
        <v/>
      </c>
      <c r="Q29" s="18" t="str">
        <f t="shared" si="4"/>
        <v/>
      </c>
    </row>
    <row r="30" spans="4:17" x14ac:dyDescent="0.25">
      <c r="D30" s="9"/>
      <c r="E30" s="9"/>
      <c r="F30" s="9"/>
      <c r="G30" s="18"/>
      <c r="H30" s="18" t="str">
        <f t="shared" si="4"/>
        <v/>
      </c>
      <c r="I30" s="18" t="str">
        <f t="shared" si="4"/>
        <v/>
      </c>
      <c r="J30" s="18" t="str">
        <f t="shared" si="4"/>
        <v/>
      </c>
      <c r="K30" s="18" t="str">
        <f t="shared" si="4"/>
        <v/>
      </c>
      <c r="L30" s="18" t="str">
        <f t="shared" si="4"/>
        <v/>
      </c>
      <c r="M30" s="18" t="str">
        <f t="shared" si="4"/>
        <v/>
      </c>
      <c r="N30" s="18" t="str">
        <f t="shared" si="4"/>
        <v/>
      </c>
      <c r="O30" s="18" t="str">
        <f t="shared" si="4"/>
        <v/>
      </c>
      <c r="P30" s="18" t="str">
        <f t="shared" si="4"/>
        <v/>
      </c>
      <c r="Q30" s="18" t="str">
        <f t="shared" si="4"/>
        <v/>
      </c>
    </row>
    <row r="31" spans="4:17" x14ac:dyDescent="0.25">
      <c r="D31" s="9"/>
      <c r="E31" s="9"/>
      <c r="F31" s="9"/>
      <c r="G31" s="18"/>
      <c r="H31" s="18" t="str">
        <f t="shared" si="4"/>
        <v/>
      </c>
      <c r="I31" s="18" t="str">
        <f t="shared" si="4"/>
        <v/>
      </c>
      <c r="J31" s="18" t="str">
        <f t="shared" si="4"/>
        <v/>
      </c>
      <c r="K31" s="18" t="str">
        <f t="shared" si="4"/>
        <v/>
      </c>
      <c r="L31" s="18" t="str">
        <f t="shared" si="4"/>
        <v/>
      </c>
      <c r="M31" s="18" t="str">
        <f t="shared" si="4"/>
        <v/>
      </c>
      <c r="N31" s="18" t="str">
        <f t="shared" si="4"/>
        <v/>
      </c>
      <c r="O31" s="18" t="str">
        <f t="shared" si="4"/>
        <v/>
      </c>
      <c r="P31" s="18" t="str">
        <f t="shared" si="4"/>
        <v/>
      </c>
      <c r="Q31" s="18" t="str">
        <f t="shared" si="4"/>
        <v/>
      </c>
    </row>
    <row r="32" spans="4:17" x14ac:dyDescent="0.25">
      <c r="D32" s="9"/>
      <c r="E32" s="9"/>
      <c r="F32" s="9"/>
      <c r="G32" s="18"/>
      <c r="H32" s="18" t="str">
        <f t="shared" si="4"/>
        <v/>
      </c>
      <c r="I32" s="18" t="str">
        <f t="shared" si="4"/>
        <v/>
      </c>
      <c r="J32" s="18" t="str">
        <f t="shared" si="4"/>
        <v/>
      </c>
      <c r="K32" s="18" t="str">
        <f t="shared" si="4"/>
        <v/>
      </c>
      <c r="L32" s="18" t="str">
        <f t="shared" si="4"/>
        <v/>
      </c>
      <c r="M32" s="18" t="str">
        <f t="shared" si="4"/>
        <v/>
      </c>
      <c r="N32" s="18" t="str">
        <f t="shared" si="4"/>
        <v/>
      </c>
      <c r="O32" s="18" t="str">
        <f t="shared" si="4"/>
        <v/>
      </c>
      <c r="P32" s="18" t="str">
        <f t="shared" si="4"/>
        <v/>
      </c>
      <c r="Q32" s="18" t="str">
        <f t="shared" si="4"/>
        <v/>
      </c>
    </row>
    <row r="33" spans="4:17" x14ac:dyDescent="0.25">
      <c r="D33" s="9"/>
      <c r="E33" s="9"/>
      <c r="F33" s="9"/>
      <c r="G33" s="18"/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  <c r="L33" s="18" t="str">
        <f t="shared" si="4"/>
        <v/>
      </c>
      <c r="M33" s="18" t="str">
        <f t="shared" si="4"/>
        <v/>
      </c>
      <c r="N33" s="18" t="str">
        <f t="shared" si="4"/>
        <v/>
      </c>
      <c r="O33" s="18" t="str">
        <f t="shared" si="4"/>
        <v/>
      </c>
      <c r="P33" s="18" t="str">
        <f t="shared" si="4"/>
        <v/>
      </c>
      <c r="Q33" s="18" t="str">
        <f t="shared" si="4"/>
        <v/>
      </c>
    </row>
    <row r="34" spans="4:17" x14ac:dyDescent="0.25">
      <c r="D34" s="9"/>
      <c r="E34" s="9"/>
      <c r="F34" s="9"/>
      <c r="G34" s="18"/>
      <c r="H34" s="18" t="str">
        <f t="shared" si="4"/>
        <v/>
      </c>
      <c r="I34" s="18" t="str">
        <f t="shared" si="4"/>
        <v/>
      </c>
      <c r="J34" s="18" t="str">
        <f t="shared" si="4"/>
        <v/>
      </c>
      <c r="K34" s="18" t="str">
        <f t="shared" si="4"/>
        <v/>
      </c>
      <c r="L34" s="18" t="str">
        <f t="shared" si="4"/>
        <v/>
      </c>
      <c r="M34" s="18" t="str">
        <f t="shared" si="4"/>
        <v/>
      </c>
      <c r="N34" s="18" t="str">
        <f t="shared" si="4"/>
        <v/>
      </c>
      <c r="O34" s="18" t="str">
        <f t="shared" si="4"/>
        <v/>
      </c>
      <c r="P34" s="18" t="str">
        <f t="shared" si="4"/>
        <v/>
      </c>
      <c r="Q34" s="18" t="str">
        <f t="shared" si="4"/>
        <v/>
      </c>
    </row>
    <row r="35" spans="4:17" x14ac:dyDescent="0.25">
      <c r="D35" s="9"/>
      <c r="E35" s="9"/>
      <c r="F35" s="9"/>
      <c r="G35" s="18"/>
      <c r="H35" s="18" t="str">
        <f t="shared" si="4"/>
        <v/>
      </c>
      <c r="I35" s="18" t="str">
        <f t="shared" si="4"/>
        <v/>
      </c>
      <c r="J35" s="18" t="str">
        <f t="shared" si="4"/>
        <v/>
      </c>
      <c r="K35" s="18" t="str">
        <f t="shared" si="4"/>
        <v/>
      </c>
      <c r="L35" s="18" t="str">
        <f t="shared" si="4"/>
        <v/>
      </c>
      <c r="M35" s="18" t="str">
        <f t="shared" si="4"/>
        <v/>
      </c>
      <c r="N35" s="18" t="str">
        <f t="shared" si="4"/>
        <v/>
      </c>
      <c r="O35" s="18" t="str">
        <f t="shared" si="4"/>
        <v/>
      </c>
      <c r="P35" s="18" t="str">
        <f t="shared" si="4"/>
        <v/>
      </c>
      <c r="Q35" s="18" t="str">
        <f t="shared" si="4"/>
        <v/>
      </c>
    </row>
    <row r="36" spans="4:17" x14ac:dyDescent="0.25">
      <c r="D36" s="9"/>
      <c r="E36" s="9"/>
      <c r="F36" s="9"/>
      <c r="G36" s="18"/>
      <c r="H36" s="18" t="str">
        <f t="shared" si="4"/>
        <v/>
      </c>
      <c r="I36" s="18" t="str">
        <f t="shared" si="4"/>
        <v/>
      </c>
      <c r="J36" s="18" t="str">
        <f t="shared" si="4"/>
        <v/>
      </c>
      <c r="K36" s="18" t="str">
        <f t="shared" si="4"/>
        <v/>
      </c>
      <c r="L36" s="18" t="str">
        <f t="shared" si="4"/>
        <v/>
      </c>
      <c r="M36" s="18" t="str">
        <f t="shared" si="4"/>
        <v/>
      </c>
      <c r="N36" s="18" t="str">
        <f t="shared" si="4"/>
        <v/>
      </c>
      <c r="O36" s="18" t="str">
        <f t="shared" si="4"/>
        <v/>
      </c>
      <c r="P36" s="18" t="str">
        <f t="shared" si="4"/>
        <v/>
      </c>
      <c r="Q36" s="18" t="str">
        <f t="shared" si="4"/>
        <v/>
      </c>
    </row>
    <row r="37" spans="4:17" x14ac:dyDescent="0.25">
      <c r="D37" s="9"/>
      <c r="E37" s="9"/>
      <c r="F37" s="9"/>
      <c r="G37" s="18"/>
      <c r="H37" s="18" t="str">
        <f t="shared" ref="H37:Q50" si="5">IF(G37="","",G37)</f>
        <v/>
      </c>
      <c r="I37" s="18" t="str">
        <f t="shared" si="5"/>
        <v/>
      </c>
      <c r="J37" s="18" t="str">
        <f t="shared" si="5"/>
        <v/>
      </c>
      <c r="K37" s="18" t="str">
        <f t="shared" si="5"/>
        <v/>
      </c>
      <c r="L37" s="18" t="str">
        <f t="shared" si="5"/>
        <v/>
      </c>
      <c r="M37" s="18" t="str">
        <f t="shared" si="5"/>
        <v/>
      </c>
      <c r="N37" s="18" t="str">
        <f t="shared" si="5"/>
        <v/>
      </c>
      <c r="O37" s="18" t="str">
        <f t="shared" si="5"/>
        <v/>
      </c>
      <c r="P37" s="18" t="str">
        <f t="shared" si="5"/>
        <v/>
      </c>
      <c r="Q37" s="18" t="str">
        <f t="shared" si="5"/>
        <v/>
      </c>
    </row>
    <row r="38" spans="4:17" x14ac:dyDescent="0.25">
      <c r="D38" s="9"/>
      <c r="E38" s="9"/>
      <c r="F38" s="9"/>
      <c r="G38" s="18"/>
      <c r="H38" s="18" t="str">
        <f t="shared" si="5"/>
        <v/>
      </c>
      <c r="I38" s="18" t="str">
        <f t="shared" si="5"/>
        <v/>
      </c>
      <c r="J38" s="18" t="str">
        <f t="shared" si="5"/>
        <v/>
      </c>
      <c r="K38" s="18" t="str">
        <f t="shared" si="5"/>
        <v/>
      </c>
      <c r="L38" s="18" t="str">
        <f t="shared" si="5"/>
        <v/>
      </c>
      <c r="M38" s="18" t="str">
        <f t="shared" si="5"/>
        <v/>
      </c>
      <c r="N38" s="18" t="str">
        <f t="shared" si="5"/>
        <v/>
      </c>
      <c r="O38" s="18" t="str">
        <f t="shared" si="5"/>
        <v/>
      </c>
      <c r="P38" s="18" t="str">
        <f t="shared" si="5"/>
        <v/>
      </c>
      <c r="Q38" s="18" t="str">
        <f t="shared" si="5"/>
        <v/>
      </c>
    </row>
    <row r="39" spans="4:17" x14ac:dyDescent="0.25">
      <c r="D39" s="9"/>
      <c r="E39" s="9"/>
      <c r="F39" s="9"/>
      <c r="G39" s="18"/>
      <c r="H39" s="18" t="str">
        <f t="shared" si="5"/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str">
        <f t="shared" si="5"/>
        <v/>
      </c>
      <c r="M39" s="18" t="str">
        <f t="shared" si="5"/>
        <v/>
      </c>
      <c r="N39" s="18" t="str">
        <f t="shared" si="5"/>
        <v/>
      </c>
      <c r="O39" s="18" t="str">
        <f t="shared" si="5"/>
        <v/>
      </c>
      <c r="P39" s="18" t="str">
        <f t="shared" si="5"/>
        <v/>
      </c>
      <c r="Q39" s="18" t="str">
        <f t="shared" si="5"/>
        <v/>
      </c>
    </row>
    <row r="40" spans="4:17" x14ac:dyDescent="0.25">
      <c r="D40" s="9"/>
      <c r="E40" s="9"/>
      <c r="F40" s="9"/>
      <c r="G40" s="18"/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str">
        <f t="shared" si="5"/>
        <v/>
      </c>
      <c r="M40" s="18" t="str">
        <f t="shared" si="5"/>
        <v/>
      </c>
      <c r="N40" s="18" t="str">
        <f t="shared" si="5"/>
        <v/>
      </c>
      <c r="O40" s="18" t="str">
        <f t="shared" si="5"/>
        <v/>
      </c>
      <c r="P40" s="18" t="str">
        <f t="shared" si="5"/>
        <v/>
      </c>
      <c r="Q40" s="18" t="str">
        <f t="shared" si="5"/>
        <v/>
      </c>
    </row>
    <row r="41" spans="4:17" x14ac:dyDescent="0.25">
      <c r="D41" s="9"/>
      <c r="E41" s="9"/>
      <c r="F41" s="9"/>
      <c r="G41" s="18"/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str">
        <f t="shared" si="5"/>
        <v/>
      </c>
      <c r="M41" s="18" t="str">
        <f t="shared" si="5"/>
        <v/>
      </c>
      <c r="N41" s="18" t="str">
        <f t="shared" si="5"/>
        <v/>
      </c>
      <c r="O41" s="18" t="str">
        <f t="shared" si="5"/>
        <v/>
      </c>
      <c r="P41" s="18" t="str">
        <f t="shared" si="5"/>
        <v/>
      </c>
      <c r="Q41" s="18" t="str">
        <f t="shared" si="5"/>
        <v/>
      </c>
    </row>
    <row r="42" spans="4:17" x14ac:dyDescent="0.25">
      <c r="D42" s="9"/>
      <c r="E42" s="9"/>
      <c r="F42" s="9"/>
      <c r="G42" s="18"/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</row>
    <row r="43" spans="4:17" x14ac:dyDescent="0.25">
      <c r="D43" s="9"/>
      <c r="E43" s="9"/>
      <c r="F43" s="9"/>
      <c r="G43" s="18"/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str">
        <f t="shared" si="5"/>
        <v/>
      </c>
      <c r="M43" s="18" t="str">
        <f t="shared" si="5"/>
        <v/>
      </c>
      <c r="N43" s="18" t="str">
        <f t="shared" si="5"/>
        <v/>
      </c>
      <c r="O43" s="18" t="str">
        <f t="shared" si="5"/>
        <v/>
      </c>
      <c r="P43" s="18" t="str">
        <f t="shared" si="5"/>
        <v/>
      </c>
      <c r="Q43" s="18" t="str">
        <f t="shared" si="5"/>
        <v/>
      </c>
    </row>
    <row r="44" spans="4:17" x14ac:dyDescent="0.25">
      <c r="D44" s="9"/>
      <c r="E44" s="9"/>
      <c r="F44" s="9"/>
      <c r="G44" s="18"/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str">
        <f t="shared" si="5"/>
        <v/>
      </c>
      <c r="M44" s="18" t="str">
        <f t="shared" si="5"/>
        <v/>
      </c>
      <c r="N44" s="18" t="str">
        <f t="shared" si="5"/>
        <v/>
      </c>
      <c r="O44" s="18" t="str">
        <f t="shared" si="5"/>
        <v/>
      </c>
      <c r="P44" s="18" t="str">
        <f t="shared" si="5"/>
        <v/>
      </c>
      <c r="Q44" s="18" t="str">
        <f t="shared" si="5"/>
        <v/>
      </c>
    </row>
    <row r="45" spans="4:17" x14ac:dyDescent="0.25">
      <c r="D45" s="9"/>
      <c r="E45" s="9"/>
      <c r="F45" s="9"/>
      <c r="G45" s="18"/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str">
        <f t="shared" si="5"/>
        <v/>
      </c>
      <c r="M45" s="18" t="str">
        <f t="shared" si="5"/>
        <v/>
      </c>
      <c r="N45" s="18" t="str">
        <f t="shared" si="5"/>
        <v/>
      </c>
      <c r="O45" s="18" t="str">
        <f t="shared" si="5"/>
        <v/>
      </c>
      <c r="P45" s="18" t="str">
        <f t="shared" si="5"/>
        <v/>
      </c>
      <c r="Q45" s="18" t="str">
        <f t="shared" si="5"/>
        <v/>
      </c>
    </row>
    <row r="46" spans="4:17" x14ac:dyDescent="0.25">
      <c r="D46" s="9"/>
      <c r="E46" s="9"/>
      <c r="F46" s="9"/>
      <c r="G46" s="18"/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str">
        <f t="shared" si="5"/>
        <v/>
      </c>
      <c r="M46" s="18" t="str">
        <f t="shared" si="5"/>
        <v/>
      </c>
      <c r="N46" s="18" t="str">
        <f t="shared" si="5"/>
        <v/>
      </c>
      <c r="O46" s="18" t="str">
        <f t="shared" si="5"/>
        <v/>
      </c>
      <c r="P46" s="18" t="str">
        <f t="shared" si="5"/>
        <v/>
      </c>
      <c r="Q46" s="18" t="str">
        <f t="shared" si="5"/>
        <v/>
      </c>
    </row>
    <row r="47" spans="4:17" x14ac:dyDescent="0.25">
      <c r="D47" s="9"/>
      <c r="E47" s="9"/>
      <c r="F47" s="9"/>
      <c r="G47" s="18"/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str">
        <f t="shared" si="5"/>
        <v/>
      </c>
      <c r="M47" s="18" t="str">
        <f t="shared" si="5"/>
        <v/>
      </c>
      <c r="N47" s="18" t="str">
        <f t="shared" si="5"/>
        <v/>
      </c>
      <c r="O47" s="18" t="str">
        <f t="shared" si="5"/>
        <v/>
      </c>
      <c r="P47" s="18" t="str">
        <f t="shared" si="5"/>
        <v/>
      </c>
      <c r="Q47" s="18" t="str">
        <f t="shared" si="5"/>
        <v/>
      </c>
    </row>
    <row r="48" spans="4:17" x14ac:dyDescent="0.25">
      <c r="D48" s="9"/>
      <c r="E48" s="9"/>
      <c r="F48" s="9"/>
      <c r="G48" s="18"/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str">
        <f t="shared" si="5"/>
        <v/>
      </c>
      <c r="M48" s="18" t="str">
        <f t="shared" si="5"/>
        <v/>
      </c>
      <c r="N48" s="18" t="str">
        <f t="shared" si="5"/>
        <v/>
      </c>
      <c r="O48" s="18" t="str">
        <f t="shared" si="5"/>
        <v/>
      </c>
      <c r="P48" s="18" t="str">
        <f t="shared" si="5"/>
        <v/>
      </c>
      <c r="Q48" s="18" t="str">
        <f t="shared" si="5"/>
        <v/>
      </c>
    </row>
    <row r="49" spans="4:17" x14ac:dyDescent="0.25">
      <c r="D49" s="9"/>
      <c r="E49" s="9"/>
      <c r="F49" s="9"/>
      <c r="G49" s="18"/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str">
        <f t="shared" si="5"/>
        <v/>
      </c>
      <c r="M49" s="18" t="str">
        <f t="shared" si="5"/>
        <v/>
      </c>
      <c r="N49" s="18" t="str">
        <f t="shared" si="5"/>
        <v/>
      </c>
      <c r="O49" s="18" t="str">
        <f t="shared" si="5"/>
        <v/>
      </c>
      <c r="P49" s="18" t="str">
        <f t="shared" si="5"/>
        <v/>
      </c>
      <c r="Q49" s="18" t="str">
        <f t="shared" si="5"/>
        <v/>
      </c>
    </row>
    <row r="50" spans="4:17" ht="15.75" thickBot="1" x14ac:dyDescent="0.3">
      <c r="D50" s="10"/>
      <c r="E50" s="10"/>
      <c r="F50" s="10"/>
      <c r="G50" s="46"/>
      <c r="H50" s="46" t="str">
        <f t="shared" si="5"/>
        <v/>
      </c>
      <c r="I50" s="46" t="str">
        <f t="shared" si="5"/>
        <v/>
      </c>
      <c r="J50" s="46" t="str">
        <f t="shared" si="5"/>
        <v/>
      </c>
      <c r="K50" s="46" t="str">
        <f t="shared" si="5"/>
        <v/>
      </c>
      <c r="L50" s="46" t="str">
        <f t="shared" si="5"/>
        <v/>
      </c>
      <c r="M50" s="46" t="str">
        <f t="shared" si="5"/>
        <v/>
      </c>
      <c r="N50" s="46" t="str">
        <f t="shared" si="5"/>
        <v/>
      </c>
      <c r="O50" s="46" t="str">
        <f t="shared" si="5"/>
        <v/>
      </c>
      <c r="P50" s="46" t="str">
        <f t="shared" si="5"/>
        <v/>
      </c>
      <c r="Q50" s="46" t="str">
        <f t="shared" si="5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U8" sqref="U8"/>
    </sheetView>
  </sheetViews>
  <sheetFormatPr baseColWidth="10" defaultColWidth="11.5703125" defaultRowHeight="15" x14ac:dyDescent="0.25"/>
  <cols>
    <col min="1" max="3" width="3.85546875" style="5" customWidth="1"/>
    <col min="4" max="4" width="17.140625" style="5" bestFit="1" customWidth="1"/>
    <col min="5" max="5" width="15.85546875" style="5" customWidth="1"/>
    <col min="6" max="16" width="8.85546875" style="5" customWidth="1"/>
    <col min="17" max="16384" width="11.5703125" style="5"/>
  </cols>
  <sheetData>
    <row r="1" spans="2:16" s="62" customFormat="1" ht="24.95" customHeight="1" x14ac:dyDescent="0.25">
      <c r="B1" s="61" t="s">
        <v>183</v>
      </c>
    </row>
    <row r="3" spans="2:16" ht="15.75" thickBot="1" x14ac:dyDescent="0.3">
      <c r="D3" s="38" t="str">
        <f>JESA_UploadTable("raw_materials",D4:P15,db)</f>
        <v>raw_materials @17:32:54</v>
      </c>
    </row>
    <row r="4" spans="2:16" ht="30" customHeight="1" thickBot="1" x14ac:dyDescent="0.3">
      <c r="D4" s="63" t="s">
        <v>12</v>
      </c>
      <c r="E4" s="63" t="s">
        <v>17</v>
      </c>
      <c r="F4" s="64" t="s">
        <v>37</v>
      </c>
      <c r="G4" s="64" t="s">
        <v>38</v>
      </c>
      <c r="H4" s="64" t="s">
        <v>39</v>
      </c>
      <c r="I4" s="64" t="s">
        <v>40</v>
      </c>
      <c r="J4" s="64" t="s">
        <v>41</v>
      </c>
      <c r="K4" s="64" t="s">
        <v>42</v>
      </c>
      <c r="L4" s="64" t="s">
        <v>43</v>
      </c>
      <c r="M4" s="64" t="s">
        <v>44</v>
      </c>
      <c r="N4" s="64" t="s">
        <v>45</v>
      </c>
      <c r="O4" s="64" t="s">
        <v>46</v>
      </c>
      <c r="P4" s="64" t="s">
        <v>47</v>
      </c>
    </row>
    <row r="5" spans="2:16" x14ac:dyDescent="0.25">
      <c r="D5" s="9" t="s">
        <v>347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25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25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25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25">
      <c r="D9" s="9" t="s">
        <v>342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25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25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2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2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2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2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2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2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2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2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2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2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2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2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2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2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2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2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2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2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2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2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2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2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2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2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2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2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2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2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2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2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2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2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2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2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25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25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25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25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25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25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4"/>
  <sheetViews>
    <sheetView workbookViewId="0">
      <selection activeCell="D3" sqref="D3"/>
    </sheetView>
  </sheetViews>
  <sheetFormatPr baseColWidth="10" defaultColWidth="11.5703125" defaultRowHeight="15" x14ac:dyDescent="0.25"/>
  <cols>
    <col min="1" max="2" width="3.85546875" style="5" customWidth="1"/>
    <col min="3" max="3" width="14.42578125" style="5" bestFit="1" customWidth="1"/>
    <col min="4" max="4" width="17.140625" style="5" bestFit="1" customWidth="1"/>
    <col min="5" max="5" width="15.85546875" style="5" customWidth="1"/>
    <col min="6" max="6" width="15.7109375" style="5" bestFit="1" customWidth="1"/>
    <col min="7" max="16" width="8.85546875" style="5" customWidth="1"/>
    <col min="17" max="16384" width="11.5703125" style="5"/>
  </cols>
  <sheetData>
    <row r="1" spans="2:10" s="62" customFormat="1" ht="24.95" customHeight="1" x14ac:dyDescent="0.25">
      <c r="B1" s="61" t="s">
        <v>367</v>
      </c>
    </row>
    <row r="3" spans="2:10" ht="15.75" thickBot="1" x14ac:dyDescent="0.3">
      <c r="D3" s="38" t="str">
        <f>JESA_UploadTable("conv_matrix",D4:F44,db)</f>
        <v>conv_matrix @17:32:54</v>
      </c>
    </row>
    <row r="4" spans="2:10" ht="30" customHeight="1" thickBot="1" x14ac:dyDescent="0.3">
      <c r="D4" s="63" t="s">
        <v>17</v>
      </c>
      <c r="E4" s="63" t="s">
        <v>368</v>
      </c>
      <c r="F4" s="64" t="s">
        <v>369</v>
      </c>
    </row>
    <row r="5" spans="2:10" x14ac:dyDescent="0.25">
      <c r="D5" s="8" t="s">
        <v>55</v>
      </c>
      <c r="E5" s="8" t="s">
        <v>55</v>
      </c>
      <c r="F5" s="140">
        <v>1</v>
      </c>
    </row>
    <row r="6" spans="2:10" x14ac:dyDescent="0.25">
      <c r="D6" s="9" t="s">
        <v>56</v>
      </c>
      <c r="E6" s="9" t="s">
        <v>56</v>
      </c>
      <c r="F6" s="141">
        <v>1</v>
      </c>
      <c r="J6" s="5" t="s">
        <v>378</v>
      </c>
    </row>
    <row r="7" spans="2:10" x14ac:dyDescent="0.25">
      <c r="D7" s="9" t="s">
        <v>57</v>
      </c>
      <c r="E7" s="9" t="s">
        <v>57</v>
      </c>
      <c r="F7" s="141">
        <v>1</v>
      </c>
    </row>
    <row r="8" spans="2:10" x14ac:dyDescent="0.25">
      <c r="D8" s="9" t="s">
        <v>59</v>
      </c>
      <c r="E8" s="9" t="s">
        <v>59</v>
      </c>
      <c r="F8" s="141">
        <v>1</v>
      </c>
    </row>
    <row r="9" spans="2:10" x14ac:dyDescent="0.25">
      <c r="D9" s="9" t="s">
        <v>60</v>
      </c>
      <c r="E9" s="9" t="s">
        <v>60</v>
      </c>
      <c r="F9" s="141">
        <v>1</v>
      </c>
    </row>
    <row r="10" spans="2:10" x14ac:dyDescent="0.25">
      <c r="D10" s="9" t="s">
        <v>61</v>
      </c>
      <c r="E10" s="9" t="s">
        <v>61</v>
      </c>
      <c r="F10" s="141">
        <v>1</v>
      </c>
    </row>
    <row r="11" spans="2:10" x14ac:dyDescent="0.25">
      <c r="D11" s="9" t="s">
        <v>63</v>
      </c>
      <c r="E11" s="9" t="s">
        <v>63</v>
      </c>
      <c r="F11" s="141">
        <v>1</v>
      </c>
    </row>
    <row r="12" spans="2:10" x14ac:dyDescent="0.25">
      <c r="D12" s="9" t="s">
        <v>64</v>
      </c>
      <c r="E12" s="9" t="s">
        <v>64</v>
      </c>
      <c r="F12" s="141">
        <v>1</v>
      </c>
    </row>
    <row r="13" spans="2:10" x14ac:dyDescent="0.25">
      <c r="D13" s="9" t="s">
        <v>65</v>
      </c>
      <c r="E13" s="9" t="s">
        <v>65</v>
      </c>
      <c r="F13" s="141">
        <v>1</v>
      </c>
    </row>
    <row r="14" spans="2:10" x14ac:dyDescent="0.25">
      <c r="D14" s="9" t="s">
        <v>50</v>
      </c>
      <c r="E14" s="9" t="s">
        <v>370</v>
      </c>
      <c r="F14" s="141">
        <v>1000000</v>
      </c>
    </row>
    <row r="15" spans="2:10" x14ac:dyDescent="0.25">
      <c r="D15" s="9" t="s">
        <v>51</v>
      </c>
      <c r="E15" s="9" t="s">
        <v>371</v>
      </c>
      <c r="F15" s="141">
        <v>1000000</v>
      </c>
    </row>
    <row r="16" spans="2:10" x14ac:dyDescent="0.25">
      <c r="D16" s="9" t="s">
        <v>66</v>
      </c>
      <c r="E16" s="9" t="s">
        <v>370</v>
      </c>
      <c r="F16" s="141">
        <v>1000</v>
      </c>
    </row>
    <row r="17" spans="4:6" x14ac:dyDescent="0.25">
      <c r="D17" s="9" t="s">
        <v>67</v>
      </c>
      <c r="E17" s="9" t="s">
        <v>372</v>
      </c>
      <c r="F17" s="141">
        <v>1000</v>
      </c>
    </row>
    <row r="18" spans="4:6" x14ac:dyDescent="0.25">
      <c r="D18" s="9" t="s">
        <v>86</v>
      </c>
      <c r="E18" s="9" t="s">
        <v>373</v>
      </c>
      <c r="F18" s="141">
        <v>1000000</v>
      </c>
    </row>
    <row r="19" spans="4:6" x14ac:dyDescent="0.25">
      <c r="D19" s="9" t="s">
        <v>88</v>
      </c>
      <c r="E19" s="9" t="s">
        <v>88</v>
      </c>
      <c r="F19" s="141">
        <v>1</v>
      </c>
    </row>
    <row r="20" spans="4:6" x14ac:dyDescent="0.25">
      <c r="D20" s="9" t="s">
        <v>89</v>
      </c>
      <c r="E20" s="9" t="s">
        <v>89</v>
      </c>
      <c r="F20" s="141">
        <v>1</v>
      </c>
    </row>
    <row r="21" spans="4:6" x14ac:dyDescent="0.25">
      <c r="D21" s="9" t="s">
        <v>133</v>
      </c>
      <c r="E21" s="9" t="s">
        <v>133</v>
      </c>
      <c r="F21" s="141">
        <v>1</v>
      </c>
    </row>
    <row r="22" spans="4:6" x14ac:dyDescent="0.25">
      <c r="D22" s="9" t="s">
        <v>100</v>
      </c>
      <c r="E22" s="9" t="s">
        <v>100</v>
      </c>
      <c r="F22" s="141">
        <v>1</v>
      </c>
    </row>
    <row r="23" spans="4:6" x14ac:dyDescent="0.25">
      <c r="D23" s="9" t="s">
        <v>129</v>
      </c>
      <c r="E23" s="9" t="s">
        <v>129</v>
      </c>
      <c r="F23" s="141">
        <v>1</v>
      </c>
    </row>
    <row r="24" spans="4:6" x14ac:dyDescent="0.25">
      <c r="D24" s="9" t="s">
        <v>130</v>
      </c>
      <c r="E24" s="9" t="s">
        <v>129</v>
      </c>
      <c r="F24" s="141">
        <v>1</v>
      </c>
    </row>
    <row r="25" spans="4:6" x14ac:dyDescent="0.25">
      <c r="D25" s="9" t="s">
        <v>131</v>
      </c>
      <c r="E25" s="9" t="s">
        <v>131</v>
      </c>
      <c r="F25" s="141">
        <v>1</v>
      </c>
    </row>
    <row r="26" spans="4:6" x14ac:dyDescent="0.25">
      <c r="D26" s="9" t="s">
        <v>132</v>
      </c>
      <c r="E26" s="9" t="s">
        <v>132</v>
      </c>
      <c r="F26" s="141">
        <v>1</v>
      </c>
    </row>
    <row r="27" spans="4:6" x14ac:dyDescent="0.25">
      <c r="D27" s="9" t="s">
        <v>136</v>
      </c>
      <c r="E27" s="9" t="s">
        <v>136</v>
      </c>
      <c r="F27" s="141">
        <v>1</v>
      </c>
    </row>
    <row r="28" spans="4:6" x14ac:dyDescent="0.25">
      <c r="D28" s="9" t="s">
        <v>139</v>
      </c>
      <c r="E28" s="9" t="s">
        <v>374</v>
      </c>
      <c r="F28" s="141">
        <v>1000000</v>
      </c>
    </row>
    <row r="29" spans="4:6" x14ac:dyDescent="0.25">
      <c r="D29" s="9" t="s">
        <v>339</v>
      </c>
      <c r="E29" s="9" t="s">
        <v>374</v>
      </c>
      <c r="F29" s="141">
        <v>1000</v>
      </c>
    </row>
    <row r="30" spans="4:6" x14ac:dyDescent="0.25">
      <c r="D30" s="9" t="s">
        <v>143</v>
      </c>
      <c r="E30" s="9" t="s">
        <v>375</v>
      </c>
      <c r="F30" s="141">
        <v>1000</v>
      </c>
    </row>
    <row r="31" spans="4:6" x14ac:dyDescent="0.25">
      <c r="D31" s="9" t="s">
        <v>147</v>
      </c>
      <c r="E31" s="9" t="s">
        <v>147</v>
      </c>
      <c r="F31" s="141">
        <v>1</v>
      </c>
    </row>
    <row r="32" spans="4:6" x14ac:dyDescent="0.25">
      <c r="D32" s="9" t="s">
        <v>154</v>
      </c>
      <c r="E32" s="9" t="s">
        <v>154</v>
      </c>
      <c r="F32" s="141">
        <v>1</v>
      </c>
    </row>
    <row r="33" spans="4:6" x14ac:dyDescent="0.25">
      <c r="D33" s="9" t="s">
        <v>155</v>
      </c>
      <c r="E33" s="9" t="s">
        <v>155</v>
      </c>
      <c r="F33" s="141">
        <v>1</v>
      </c>
    </row>
    <row r="34" spans="4:6" x14ac:dyDescent="0.25">
      <c r="D34" s="9" t="s">
        <v>188</v>
      </c>
      <c r="E34" s="9" t="s">
        <v>188</v>
      </c>
      <c r="F34" s="141">
        <v>1</v>
      </c>
    </row>
    <row r="35" spans="4:6" x14ac:dyDescent="0.25">
      <c r="D35" s="9" t="s">
        <v>359</v>
      </c>
      <c r="E35" s="9" t="s">
        <v>133</v>
      </c>
      <c r="F35" s="141">
        <v>1</v>
      </c>
    </row>
    <row r="36" spans="4:6" x14ac:dyDescent="0.25">
      <c r="D36" s="9" t="s">
        <v>182</v>
      </c>
      <c r="E36" s="9" t="s">
        <v>376</v>
      </c>
      <c r="F36" s="141">
        <v>1000000</v>
      </c>
    </row>
    <row r="37" spans="4:6" x14ac:dyDescent="0.25">
      <c r="D37" s="9" t="s">
        <v>69</v>
      </c>
      <c r="E37" s="9" t="s">
        <v>377</v>
      </c>
      <c r="F37" s="141">
        <v>1</v>
      </c>
    </row>
    <row r="38" spans="4:6" x14ac:dyDescent="0.25">
      <c r="D38" s="9" t="s">
        <v>302</v>
      </c>
      <c r="E38" s="9" t="s">
        <v>377</v>
      </c>
      <c r="F38" s="141">
        <v>1</v>
      </c>
    </row>
    <row r="39" spans="4:6" x14ac:dyDescent="0.25">
      <c r="D39" s="9" t="s">
        <v>187</v>
      </c>
      <c r="E39" s="9" t="s">
        <v>187</v>
      </c>
      <c r="F39" s="141">
        <v>1</v>
      </c>
    </row>
    <row r="40" spans="4:6" x14ac:dyDescent="0.25">
      <c r="D40" s="9" t="s">
        <v>274</v>
      </c>
      <c r="E40" s="9" t="s">
        <v>274</v>
      </c>
      <c r="F40" s="141">
        <v>1</v>
      </c>
    </row>
    <row r="41" spans="4:6" x14ac:dyDescent="0.25">
      <c r="D41" s="9" t="s">
        <v>80</v>
      </c>
      <c r="E41" s="9" t="s">
        <v>377</v>
      </c>
      <c r="F41" s="141">
        <v>1</v>
      </c>
    </row>
    <row r="42" spans="4:6" x14ac:dyDescent="0.25">
      <c r="D42" s="9" t="s">
        <v>341</v>
      </c>
      <c r="E42" s="9" t="s">
        <v>341</v>
      </c>
      <c r="F42" s="141">
        <v>1</v>
      </c>
    </row>
    <row r="43" spans="4:6" x14ac:dyDescent="0.25">
      <c r="D43" s="9" t="s">
        <v>345</v>
      </c>
      <c r="E43" s="9" t="s">
        <v>345</v>
      </c>
      <c r="F43" s="141">
        <v>1</v>
      </c>
    </row>
    <row r="44" spans="4:6" x14ac:dyDescent="0.25">
      <c r="D44" s="9" t="s">
        <v>377</v>
      </c>
      <c r="E44" s="9" t="s">
        <v>377</v>
      </c>
      <c r="F44" s="14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600075</xdr:colOff>
                    <xdr:row>6</xdr:row>
                    <xdr:rowOff>180975</xdr:rowOff>
                  </from>
                  <to>
                    <xdr:col>10</xdr:col>
                    <xdr:colOff>161925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85546875" style="1" customWidth="1"/>
    <col min="15" max="15" width="1.85546875" style="1" customWidth="1"/>
    <col min="16" max="16" width="20.85546875" style="1" customWidth="1"/>
    <col min="17" max="16384" width="11.5703125" style="1"/>
  </cols>
  <sheetData>
    <row r="1" spans="1:16" s="23" customFormat="1" ht="24.95" customHeight="1" x14ac:dyDescent="0.25">
      <c r="B1" s="22" t="s">
        <v>52</v>
      </c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.75" thickBot="1" x14ac:dyDescent="0.3">
      <c r="A3" s="31"/>
      <c r="B3" s="31"/>
      <c r="C3" s="31"/>
      <c r="D3" s="31" t="str">
        <f>JESA_UploadTable(D4,D4:D40,db)</f>
        <v>Location @17:32:53</v>
      </c>
      <c r="E3" s="31"/>
      <c r="F3" s="31" t="str">
        <f>JESA_UploadTable(F4,F4:F40,db)</f>
        <v>OPEX @17:32:54</v>
      </c>
      <c r="G3" s="31"/>
      <c r="H3" s="31" t="str">
        <f>JESA_UploadTable(H4,H4:H40,db)</f>
        <v>Unit @17:32:53</v>
      </c>
      <c r="I3" s="31"/>
      <c r="J3" s="31" t="str">
        <f>JESA_UploadTable(J4,J4:J40,db)</f>
        <v>Currency @17:32:54</v>
      </c>
      <c r="K3" s="31"/>
      <c r="L3" s="31" t="str">
        <f>JESA_UploadTable(L4,L4:L40,db)</f>
        <v>Output @17:32:54</v>
      </c>
      <c r="M3" s="31"/>
      <c r="N3" s="31" t="str">
        <f>JESA_UploadTable(N4,N4:N40,db)</f>
        <v>Names @17:32:53</v>
      </c>
      <c r="O3" s="31"/>
      <c r="P3" s="31" t="str">
        <f>JESA_UploadTable(P4,P4:P40,db)</f>
        <v>Products @17:32:53</v>
      </c>
    </row>
    <row r="4" spans="1:16" ht="30" customHeight="1" thickBot="1" x14ac:dyDescent="0.3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.75" thickBot="1" x14ac:dyDescent="0.3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2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2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377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2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259</v>
      </c>
    </row>
    <row r="9" spans="1:16" x14ac:dyDescent="0.2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2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2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2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2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2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25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25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25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25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25">
      <c r="A19" s="31"/>
      <c r="B19" s="31"/>
      <c r="C19" s="31"/>
      <c r="D19" s="33"/>
      <c r="E19" s="31"/>
      <c r="F19" s="33" t="s">
        <v>259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25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25">
      <c r="A21" s="31"/>
      <c r="B21" s="31"/>
      <c r="C21" s="31"/>
      <c r="D21" s="33"/>
      <c r="E21" s="31"/>
      <c r="F21" s="33" t="s">
        <v>280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25">
      <c r="A22" s="31"/>
      <c r="B22" s="31"/>
      <c r="C22" s="31"/>
      <c r="D22" s="33"/>
      <c r="E22" s="31"/>
      <c r="F22" s="33" t="s">
        <v>292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25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25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25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25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25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25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25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25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25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25">
      <c r="A32" s="31"/>
      <c r="B32" s="31"/>
      <c r="C32" s="31"/>
      <c r="D32" s="33"/>
      <c r="E32" s="31"/>
      <c r="F32" s="33"/>
      <c r="G32" s="31"/>
      <c r="H32" s="33" t="s">
        <v>339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25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25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25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25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25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25">
      <c r="A38" s="31"/>
      <c r="B38" s="31"/>
      <c r="C38" s="31"/>
      <c r="D38" s="33"/>
      <c r="E38" s="31"/>
      <c r="F38" s="33"/>
      <c r="G38" s="31"/>
      <c r="H38" s="33" t="s">
        <v>359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25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.75" thickBot="1" x14ac:dyDescent="0.3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31" customWidth="1"/>
    <col min="4" max="4" width="20.85546875" style="31" customWidth="1"/>
    <col min="5" max="5" width="1.85546875" style="31" customWidth="1"/>
    <col min="6" max="6" width="20.85546875" style="31" customWidth="1"/>
    <col min="7" max="7" width="1.85546875" style="31" customWidth="1"/>
    <col min="8" max="8" width="20.85546875" style="31" customWidth="1"/>
    <col min="9" max="9" width="1.85546875" style="31" customWidth="1"/>
    <col min="10" max="10" width="20.85546875" style="31" customWidth="1"/>
    <col min="11" max="11" width="1.85546875" style="31" customWidth="1"/>
    <col min="12" max="16384" width="11.5703125" style="31"/>
  </cols>
  <sheetData>
    <row r="1" spans="2:10" s="36" customFormat="1" ht="24.95" customHeight="1" x14ac:dyDescent="0.25">
      <c r="B1" s="35" t="s">
        <v>7</v>
      </c>
    </row>
    <row r="3" spans="2:10" ht="15.75" thickBot="1" x14ac:dyDescent="0.3">
      <c r="D3" s="31" t="str">
        <f>JESA_UploadTable(D4,D4:D40,db)</f>
        <v>Mine/Name @17:32:56</v>
      </c>
      <c r="F3" s="31" t="str">
        <f>JESA_UploadTable(F4,F4:F40,db)</f>
        <v>Mine/Extraction @17:32:54</v>
      </c>
      <c r="H3" s="31" t="str">
        <f>JESA_UploadTable(H4,H4:H40,db)</f>
        <v>Mine/Quality @17:32:54</v>
      </c>
      <c r="J3" s="31" t="str">
        <f>JESA_UploadTable(J4,J4:J40,db)</f>
        <v>Mine/CAPEX @17:32:55</v>
      </c>
    </row>
    <row r="4" spans="2:10" ht="30" customHeight="1" thickBot="1" x14ac:dyDescent="0.3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25">
      <c r="D5" s="29" t="s">
        <v>354</v>
      </c>
      <c r="F5" s="29" t="s">
        <v>304</v>
      </c>
      <c r="H5" s="29" t="s">
        <v>18</v>
      </c>
      <c r="J5" s="30" t="s">
        <v>22</v>
      </c>
    </row>
    <row r="6" spans="2:10" x14ac:dyDescent="0.25">
      <c r="D6" s="33" t="s">
        <v>355</v>
      </c>
      <c r="F6" s="33"/>
      <c r="H6" s="33" t="s">
        <v>19</v>
      </c>
      <c r="J6" s="33"/>
    </row>
    <row r="7" spans="2:10" x14ac:dyDescent="0.25">
      <c r="D7" s="33" t="s">
        <v>2</v>
      </c>
      <c r="F7" s="33"/>
      <c r="H7" s="33" t="s">
        <v>20</v>
      </c>
      <c r="J7" s="33"/>
    </row>
    <row r="8" spans="2:10" x14ac:dyDescent="0.25">
      <c r="D8" s="33" t="s">
        <v>3</v>
      </c>
      <c r="F8" s="33"/>
      <c r="H8" s="33" t="s">
        <v>305</v>
      </c>
      <c r="J8" s="33"/>
    </row>
    <row r="9" spans="2:10" x14ac:dyDescent="0.25">
      <c r="D9" s="33" t="s">
        <v>356</v>
      </c>
      <c r="F9" s="33"/>
      <c r="H9" s="33"/>
      <c r="J9" s="33"/>
    </row>
    <row r="10" spans="2:10" x14ac:dyDescent="0.25">
      <c r="D10" s="33" t="s">
        <v>357</v>
      </c>
      <c r="F10" s="33"/>
      <c r="H10" s="33"/>
      <c r="J10" s="33"/>
    </row>
    <row r="11" spans="2:10" x14ac:dyDescent="0.25">
      <c r="D11" s="33" t="s">
        <v>358</v>
      </c>
      <c r="F11" s="33"/>
      <c r="H11" s="33"/>
      <c r="J11" s="33"/>
    </row>
    <row r="12" spans="2:10" x14ac:dyDescent="0.25">
      <c r="D12" s="33" t="s">
        <v>6</v>
      </c>
      <c r="F12" s="33"/>
      <c r="H12" s="33"/>
      <c r="J12" s="33"/>
    </row>
    <row r="13" spans="2:10" x14ac:dyDescent="0.25">
      <c r="D13" s="33" t="s">
        <v>10</v>
      </c>
      <c r="F13" s="33"/>
      <c r="H13" s="33"/>
      <c r="J13" s="33"/>
    </row>
    <row r="14" spans="2:10" x14ac:dyDescent="0.25">
      <c r="D14" s="33"/>
      <c r="F14" s="33"/>
      <c r="H14" s="33"/>
      <c r="J14" s="33"/>
    </row>
    <row r="15" spans="2:10" x14ac:dyDescent="0.25">
      <c r="D15" s="33"/>
      <c r="F15" s="33"/>
      <c r="H15" s="33"/>
      <c r="J15" s="33"/>
    </row>
    <row r="16" spans="2:10" x14ac:dyDescent="0.25">
      <c r="D16" s="33"/>
      <c r="F16" s="33"/>
      <c r="H16" s="33"/>
      <c r="J16" s="33"/>
    </row>
    <row r="17" spans="4:10" x14ac:dyDescent="0.25">
      <c r="D17" s="33"/>
      <c r="F17" s="33"/>
      <c r="H17" s="33"/>
      <c r="J17" s="33"/>
    </row>
    <row r="18" spans="4:10" x14ac:dyDescent="0.25">
      <c r="D18" s="33"/>
      <c r="F18" s="33"/>
      <c r="H18" s="33"/>
      <c r="J18" s="33"/>
    </row>
    <row r="19" spans="4:10" x14ac:dyDescent="0.25">
      <c r="D19" s="33"/>
      <c r="F19" s="33"/>
      <c r="H19" s="33"/>
      <c r="J19" s="33"/>
    </row>
    <row r="20" spans="4:10" x14ac:dyDescent="0.25">
      <c r="D20" s="33"/>
      <c r="F20" s="33"/>
      <c r="H20" s="33"/>
      <c r="J20" s="33"/>
    </row>
    <row r="21" spans="4:10" x14ac:dyDescent="0.25">
      <c r="D21" s="33"/>
      <c r="F21" s="33"/>
      <c r="H21" s="33"/>
      <c r="J21" s="33"/>
    </row>
    <row r="22" spans="4:10" x14ac:dyDescent="0.25">
      <c r="D22" s="33"/>
      <c r="F22" s="33"/>
      <c r="H22" s="33"/>
      <c r="J22" s="33"/>
    </row>
    <row r="23" spans="4:10" x14ac:dyDescent="0.25">
      <c r="D23" s="33"/>
      <c r="F23" s="33"/>
      <c r="H23" s="33"/>
      <c r="J23" s="33"/>
    </row>
    <row r="24" spans="4:10" x14ac:dyDescent="0.25">
      <c r="D24" s="33"/>
      <c r="F24" s="33"/>
      <c r="H24" s="33"/>
      <c r="J24" s="33"/>
    </row>
    <row r="25" spans="4:10" x14ac:dyDescent="0.25">
      <c r="D25" s="33"/>
      <c r="F25" s="33"/>
      <c r="H25" s="33"/>
      <c r="J25" s="33"/>
    </row>
    <row r="26" spans="4:10" x14ac:dyDescent="0.25">
      <c r="D26" s="33"/>
      <c r="F26" s="33"/>
      <c r="H26" s="33"/>
      <c r="J26" s="33"/>
    </row>
    <row r="27" spans="4:10" x14ac:dyDescent="0.25">
      <c r="D27" s="33"/>
      <c r="F27" s="33"/>
      <c r="H27" s="33"/>
      <c r="J27" s="33"/>
    </row>
    <row r="28" spans="4:10" x14ac:dyDescent="0.25">
      <c r="D28" s="33"/>
      <c r="F28" s="33"/>
      <c r="H28" s="33"/>
      <c r="J28" s="33"/>
    </row>
    <row r="29" spans="4:10" x14ac:dyDescent="0.25">
      <c r="D29" s="33"/>
      <c r="F29" s="33"/>
      <c r="H29" s="33"/>
      <c r="J29" s="33"/>
    </row>
    <row r="30" spans="4:10" x14ac:dyDescent="0.25">
      <c r="D30" s="33"/>
      <c r="F30" s="33"/>
      <c r="H30" s="33"/>
      <c r="J30" s="33"/>
    </row>
    <row r="31" spans="4:10" x14ac:dyDescent="0.25">
      <c r="D31" s="33"/>
      <c r="F31" s="33"/>
      <c r="H31" s="33"/>
      <c r="J31" s="33"/>
    </row>
    <row r="32" spans="4:10" x14ac:dyDescent="0.25">
      <c r="D32" s="33"/>
      <c r="F32" s="33"/>
      <c r="H32" s="33"/>
      <c r="J32" s="33"/>
    </row>
    <row r="33" spans="4:10" x14ac:dyDescent="0.25">
      <c r="D33" s="33"/>
      <c r="F33" s="33"/>
      <c r="H33" s="33"/>
      <c r="J33" s="33"/>
    </row>
    <row r="34" spans="4:10" x14ac:dyDescent="0.25">
      <c r="D34" s="33"/>
      <c r="F34" s="33"/>
      <c r="H34" s="33"/>
      <c r="J34" s="33"/>
    </row>
    <row r="35" spans="4:10" x14ac:dyDescent="0.25">
      <c r="D35" s="33"/>
      <c r="F35" s="33"/>
      <c r="H35" s="33"/>
      <c r="J35" s="33"/>
    </row>
    <row r="36" spans="4:10" x14ac:dyDescent="0.25">
      <c r="D36" s="33"/>
      <c r="F36" s="33"/>
      <c r="H36" s="33"/>
      <c r="J36" s="33"/>
    </row>
    <row r="37" spans="4:10" x14ac:dyDescent="0.25">
      <c r="D37" s="33"/>
      <c r="F37" s="33"/>
      <c r="H37" s="33"/>
      <c r="J37" s="33"/>
    </row>
    <row r="38" spans="4:10" x14ac:dyDescent="0.25">
      <c r="D38" s="33"/>
      <c r="F38" s="33"/>
      <c r="H38" s="33"/>
      <c r="J38" s="33"/>
    </row>
    <row r="39" spans="4:10" x14ac:dyDescent="0.25">
      <c r="D39" s="33"/>
      <c r="F39" s="33"/>
      <c r="H39" s="33"/>
      <c r="J39" s="33"/>
    </row>
    <row r="40" spans="4:10" ht="15.75" thickBot="1" x14ac:dyDescent="0.3">
      <c r="D40" s="34"/>
      <c r="F40" s="34"/>
      <c r="H40" s="34"/>
      <c r="J40" s="34"/>
    </row>
    <row r="41" spans="4:10" x14ac:dyDescent="0.25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G12" sqref="G12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12" width="56" style="5" bestFit="1" customWidth="1"/>
    <col min="13" max="16384" width="11.5703125" style="5"/>
  </cols>
  <sheetData>
    <row r="1" spans="2:12" s="3" customFormat="1" ht="24.95" customHeight="1" x14ac:dyDescent="0.25">
      <c r="B1" s="2" t="s">
        <v>11</v>
      </c>
    </row>
    <row r="2" spans="2:12" ht="15.75" thickBot="1" x14ac:dyDescent="0.3">
      <c r="D2" s="5" t="str">
        <f>JESA_UploadTable(D3,D3:D5,db)</f>
        <v>PriorityMines @17:32:55</v>
      </c>
    </row>
    <row r="3" spans="2:12" ht="16.5" thickBot="1" x14ac:dyDescent="0.3">
      <c r="D3" s="6" t="s">
        <v>379</v>
      </c>
    </row>
    <row r="4" spans="2:12" x14ac:dyDescent="0.25">
      <c r="D4" s="8" t="s">
        <v>3</v>
      </c>
    </row>
    <row r="5" spans="2:12" ht="15.75" thickBot="1" x14ac:dyDescent="0.3">
      <c r="D5" s="10" t="s">
        <v>9</v>
      </c>
    </row>
    <row r="7" spans="2:12" ht="15.75" thickBot="1" x14ac:dyDescent="0.3">
      <c r="D7" s="38" t="str">
        <f>JESA_UploadTable(B1,D8:L50,db)</f>
        <v>MINING options @17:32:56</v>
      </c>
    </row>
    <row r="8" spans="2:12" ht="30" customHeight="1" thickBot="1" x14ac:dyDescent="0.3">
      <c r="D8" s="6" t="s">
        <v>8</v>
      </c>
      <c r="E8" s="7" t="s">
        <v>30</v>
      </c>
      <c r="F8" s="6" t="s">
        <v>49</v>
      </c>
      <c r="G8" s="4" t="s">
        <v>270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25">
      <c r="D9" s="8" t="s">
        <v>3</v>
      </c>
      <c r="E9" s="8" t="s">
        <v>3</v>
      </c>
      <c r="F9" s="8" t="s">
        <v>304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/Mine/Mzinda/Mzinda/Definie/4/Existing/2018/2100</v>
      </c>
    </row>
    <row r="10" spans="2:12" x14ac:dyDescent="0.25">
      <c r="D10" s="9" t="s">
        <v>9</v>
      </c>
      <c r="E10" s="9" t="s">
        <v>354</v>
      </c>
      <c r="F10" s="9" t="s">
        <v>304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1/Definie/2,77/Existing/2018/2100</v>
      </c>
    </row>
    <row r="11" spans="2:12" x14ac:dyDescent="0.25">
      <c r="D11" s="9" t="s">
        <v>9</v>
      </c>
      <c r="E11" s="9" t="s">
        <v>354</v>
      </c>
      <c r="F11" s="9" t="s">
        <v>304</v>
      </c>
      <c r="G11" s="11">
        <v>9</v>
      </c>
      <c r="H11" s="11" t="s">
        <v>139</v>
      </c>
      <c r="I11" s="11" t="s">
        <v>473</v>
      </c>
      <c r="J11" s="15">
        <v>2023</v>
      </c>
      <c r="K11" s="15">
        <v>2100</v>
      </c>
      <c r="L11" s="9" t="str">
        <f t="shared" si="0"/>
        <v>/Mine/Benguerir/Benguerir 1/Definie/9/Extension/2023/2100</v>
      </c>
    </row>
    <row r="12" spans="2:12" x14ac:dyDescent="0.25">
      <c r="D12" s="9" t="s">
        <v>6</v>
      </c>
      <c r="E12" s="9" t="s">
        <v>6</v>
      </c>
      <c r="F12" s="9" t="s">
        <v>304</v>
      </c>
      <c r="G12" s="11">
        <v>4.5</v>
      </c>
      <c r="H12" s="11" t="s">
        <v>139</v>
      </c>
      <c r="I12" s="11" t="s">
        <v>146</v>
      </c>
      <c r="J12" s="15">
        <v>2023</v>
      </c>
      <c r="K12" s="15">
        <v>2100</v>
      </c>
      <c r="L12" s="9" t="str">
        <f t="shared" si="0"/>
        <v>/Mine/Louta/Louta/Definie/4,5/New/2023/2100</v>
      </c>
    </row>
    <row r="13" spans="2:12" x14ac:dyDescent="0.25">
      <c r="D13" s="9" t="s">
        <v>10</v>
      </c>
      <c r="E13" s="9" t="s">
        <v>10</v>
      </c>
      <c r="F13" s="9" t="s">
        <v>304</v>
      </c>
      <c r="G13" s="11">
        <v>5.5</v>
      </c>
      <c r="H13" s="11" t="s">
        <v>139</v>
      </c>
      <c r="I13" s="11" t="s">
        <v>146</v>
      </c>
      <c r="J13" s="15">
        <v>2023</v>
      </c>
      <c r="K13" s="15">
        <v>2100</v>
      </c>
      <c r="L13" s="9" t="str">
        <f t="shared" si="0"/>
        <v>/Mine/Nzalat/Nzalat/Definie/5,5/New/2023/2100</v>
      </c>
    </row>
    <row r="14" spans="2:12" x14ac:dyDescent="0.25">
      <c r="D14" s="9" t="s">
        <v>4</v>
      </c>
      <c r="E14" s="9" t="s">
        <v>356</v>
      </c>
      <c r="F14" s="9" t="s">
        <v>304</v>
      </c>
      <c r="G14" s="11">
        <v>10</v>
      </c>
      <c r="H14" s="11" t="s">
        <v>139</v>
      </c>
      <c r="I14" s="11" t="s">
        <v>146</v>
      </c>
      <c r="J14" s="15">
        <v>2023</v>
      </c>
      <c r="K14" s="15">
        <v>2100</v>
      </c>
      <c r="L14" s="9" t="str">
        <f t="shared" si="0"/>
        <v>/Mine/Tassaout/Tassaout 1/Definie/10/New/2023/2100</v>
      </c>
    </row>
    <row r="15" spans="2:12" x14ac:dyDescent="0.25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25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25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25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25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.75" thickBot="1" x14ac:dyDescent="0.3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19" width="8.85546875" style="5" customWidth="1"/>
    <col min="20" max="16384" width="11.5703125" style="5"/>
  </cols>
  <sheetData>
    <row r="1" spans="2:18" s="3" customFormat="1" ht="24.95" customHeight="1" x14ac:dyDescent="0.25">
      <c r="B1" s="2" t="s">
        <v>135</v>
      </c>
    </row>
    <row r="3" spans="2:18" ht="15.75" thickBot="1" x14ac:dyDescent="0.3">
      <c r="D3" s="38" t="str">
        <f>JESA_UploadTable(B1,D4:R50,db)</f>
        <v>MINING specific production @17:32:57</v>
      </c>
    </row>
    <row r="4" spans="2:18" ht="30" customHeight="1" thickBot="1" x14ac:dyDescent="0.3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25">
      <c r="D5" s="8" t="s">
        <v>3</v>
      </c>
      <c r="E5" s="8" t="s">
        <v>304</v>
      </c>
      <c r="F5" s="8" t="s">
        <v>20</v>
      </c>
      <c r="G5" s="8" t="s">
        <v>132</v>
      </c>
      <c r="H5" s="27">
        <v>0</v>
      </c>
      <c r="I5" s="27">
        <f t="shared" ref="I5:R5" si="0">IF(H5="","",H5)</f>
        <v>0</v>
      </c>
      <c r="J5" s="27">
        <f t="shared" si="0"/>
        <v>0</v>
      </c>
      <c r="K5" s="27">
        <f t="shared" si="0"/>
        <v>0</v>
      </c>
      <c r="L5" s="27">
        <f t="shared" si="0"/>
        <v>0</v>
      </c>
      <c r="M5" s="27">
        <f t="shared" si="0"/>
        <v>0</v>
      </c>
      <c r="N5" s="27">
        <f t="shared" si="0"/>
        <v>0</v>
      </c>
      <c r="O5" s="27">
        <f t="shared" si="0"/>
        <v>0</v>
      </c>
      <c r="P5" s="27">
        <f t="shared" si="0"/>
        <v>0</v>
      </c>
      <c r="Q5" s="27">
        <f t="shared" si="0"/>
        <v>0</v>
      </c>
      <c r="R5" s="27">
        <f t="shared" si="0"/>
        <v>0</v>
      </c>
    </row>
    <row r="6" spans="2:18" x14ac:dyDescent="0.25">
      <c r="D6" s="9" t="s">
        <v>3</v>
      </c>
      <c r="E6" s="9" t="s">
        <v>304</v>
      </c>
      <c r="F6" s="9" t="s">
        <v>19</v>
      </c>
      <c r="G6" s="9" t="s">
        <v>132</v>
      </c>
      <c r="H6" s="27">
        <v>0</v>
      </c>
      <c r="I6" s="27">
        <f t="shared" ref="I6:R6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25">
      <c r="D7" s="9" t="s">
        <v>3</v>
      </c>
      <c r="E7" s="9" t="s">
        <v>304</v>
      </c>
      <c r="F7" s="9" t="s">
        <v>18</v>
      </c>
      <c r="G7" s="9" t="s">
        <v>132</v>
      </c>
      <c r="H7" s="27">
        <v>0</v>
      </c>
      <c r="I7" s="27">
        <f t="shared" ref="I7:R7" si="2">IF(H7="","",H7)</f>
        <v>0</v>
      </c>
      <c r="J7" s="27">
        <f t="shared" si="2"/>
        <v>0</v>
      </c>
      <c r="K7" s="27">
        <f t="shared" si="2"/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  <c r="P7" s="27">
        <f t="shared" si="2"/>
        <v>0</v>
      </c>
      <c r="Q7" s="27">
        <f t="shared" si="2"/>
        <v>0</v>
      </c>
      <c r="R7" s="27">
        <f t="shared" si="2"/>
        <v>0</v>
      </c>
    </row>
    <row r="8" spans="2:18" x14ac:dyDescent="0.25">
      <c r="D8" s="9" t="s">
        <v>3</v>
      </c>
      <c r="E8" s="9" t="s">
        <v>304</v>
      </c>
      <c r="F8" s="9" t="s">
        <v>305</v>
      </c>
      <c r="G8" s="9" t="s">
        <v>132</v>
      </c>
      <c r="H8" s="27">
        <v>1</v>
      </c>
      <c r="I8" s="27">
        <f t="shared" ref="I8:R8" si="3">IF(H8="","",H8)</f>
        <v>1</v>
      </c>
      <c r="J8" s="27">
        <f t="shared" si="3"/>
        <v>1</v>
      </c>
      <c r="K8" s="27">
        <f t="shared" si="3"/>
        <v>1</v>
      </c>
      <c r="L8" s="27">
        <f t="shared" si="3"/>
        <v>1</v>
      </c>
      <c r="M8" s="27">
        <f t="shared" si="3"/>
        <v>1</v>
      </c>
      <c r="N8" s="27">
        <f t="shared" si="3"/>
        <v>1</v>
      </c>
      <c r="O8" s="27">
        <f t="shared" si="3"/>
        <v>1</v>
      </c>
      <c r="P8" s="27">
        <f t="shared" si="3"/>
        <v>1</v>
      </c>
      <c r="Q8" s="27">
        <f t="shared" si="3"/>
        <v>1</v>
      </c>
      <c r="R8" s="27">
        <f t="shared" si="3"/>
        <v>1</v>
      </c>
    </row>
    <row r="9" spans="2:18" x14ac:dyDescent="0.25">
      <c r="D9" s="9" t="s">
        <v>2</v>
      </c>
      <c r="E9" s="9" t="s">
        <v>304</v>
      </c>
      <c r="F9" s="9" t="s">
        <v>20</v>
      </c>
      <c r="G9" s="9" t="s">
        <v>132</v>
      </c>
      <c r="H9" s="27">
        <v>0</v>
      </c>
      <c r="I9" s="27">
        <f t="shared" ref="I9:R9" si="4">IF(H9="","",H9)</f>
        <v>0</v>
      </c>
      <c r="J9" s="27">
        <f t="shared" si="4"/>
        <v>0</v>
      </c>
      <c r="K9" s="27">
        <f t="shared" si="4"/>
        <v>0</v>
      </c>
      <c r="L9" s="27">
        <f t="shared" si="4"/>
        <v>0</v>
      </c>
      <c r="M9" s="27">
        <f t="shared" si="4"/>
        <v>0</v>
      </c>
      <c r="N9" s="27">
        <f t="shared" si="4"/>
        <v>0</v>
      </c>
      <c r="O9" s="27">
        <f t="shared" si="4"/>
        <v>0</v>
      </c>
      <c r="P9" s="27">
        <f t="shared" si="4"/>
        <v>0</v>
      </c>
      <c r="Q9" s="27">
        <f t="shared" si="4"/>
        <v>0</v>
      </c>
      <c r="R9" s="27">
        <f t="shared" si="4"/>
        <v>0</v>
      </c>
    </row>
    <row r="10" spans="2:18" x14ac:dyDescent="0.25">
      <c r="D10" s="9" t="s">
        <v>2</v>
      </c>
      <c r="E10" s="9" t="s">
        <v>304</v>
      </c>
      <c r="F10" s="9" t="s">
        <v>19</v>
      </c>
      <c r="G10" s="9" t="s">
        <v>132</v>
      </c>
      <c r="H10" s="27">
        <v>0</v>
      </c>
      <c r="I10" s="27">
        <f t="shared" ref="I10:R10" si="5">IF(H10="","",H10)</f>
        <v>0</v>
      </c>
      <c r="J10" s="27">
        <f t="shared" si="5"/>
        <v>0</v>
      </c>
      <c r="K10" s="27">
        <f t="shared" si="5"/>
        <v>0</v>
      </c>
      <c r="L10" s="27">
        <f t="shared" si="5"/>
        <v>0</v>
      </c>
      <c r="M10" s="27">
        <f t="shared" si="5"/>
        <v>0</v>
      </c>
      <c r="N10" s="27">
        <f t="shared" si="5"/>
        <v>0</v>
      </c>
      <c r="O10" s="27">
        <f t="shared" si="5"/>
        <v>0</v>
      </c>
      <c r="P10" s="27">
        <f t="shared" si="5"/>
        <v>0</v>
      </c>
      <c r="Q10" s="27">
        <f t="shared" si="5"/>
        <v>0</v>
      </c>
      <c r="R10" s="27">
        <f t="shared" si="5"/>
        <v>0</v>
      </c>
    </row>
    <row r="11" spans="2:18" x14ac:dyDescent="0.25">
      <c r="D11" s="9" t="s">
        <v>2</v>
      </c>
      <c r="E11" s="9" t="s">
        <v>304</v>
      </c>
      <c r="F11" s="9" t="s">
        <v>18</v>
      </c>
      <c r="G11" s="9" t="s">
        <v>132</v>
      </c>
      <c r="H11" s="27">
        <v>0</v>
      </c>
      <c r="I11" s="27">
        <f t="shared" ref="I11:I40" si="6">IF(H11="","",H11)</f>
        <v>0</v>
      </c>
      <c r="J11" s="27">
        <f t="shared" ref="J11:J40" si="7">IF(I11="","",I11)</f>
        <v>0</v>
      </c>
      <c r="K11" s="27">
        <f t="shared" ref="K11:K40" si="8">IF(J11="","",J11)</f>
        <v>0</v>
      </c>
      <c r="L11" s="27">
        <f t="shared" ref="L11:L40" si="9">IF(K11="","",K11)</f>
        <v>0</v>
      </c>
      <c r="M11" s="27">
        <f t="shared" ref="M11:M40" si="10">IF(L11="","",L11)</f>
        <v>0</v>
      </c>
      <c r="N11" s="27">
        <f t="shared" ref="N11:N40" si="11">IF(M11="","",M11)</f>
        <v>0</v>
      </c>
      <c r="O11" s="27">
        <f t="shared" ref="O11:O40" si="12">IF(N11="","",N11)</f>
        <v>0</v>
      </c>
      <c r="P11" s="27">
        <f t="shared" ref="P11:P40" si="13">IF(O11="","",O11)</f>
        <v>0</v>
      </c>
      <c r="Q11" s="27">
        <f t="shared" ref="Q11:Q40" si="14">IF(P11="","",P11)</f>
        <v>0</v>
      </c>
      <c r="R11" s="27">
        <f t="shared" ref="R11:R40" si="15">IF(Q11="","",Q11)</f>
        <v>0</v>
      </c>
    </row>
    <row r="12" spans="2:18" x14ac:dyDescent="0.25">
      <c r="D12" s="9" t="s">
        <v>2</v>
      </c>
      <c r="E12" s="9" t="s">
        <v>304</v>
      </c>
      <c r="F12" s="9" t="s">
        <v>305</v>
      </c>
      <c r="G12" s="9" t="s">
        <v>132</v>
      </c>
      <c r="H12" s="27">
        <v>1</v>
      </c>
      <c r="I12" s="27">
        <f t="shared" si="6"/>
        <v>1</v>
      </c>
      <c r="J12" s="27">
        <f t="shared" si="7"/>
        <v>1</v>
      </c>
      <c r="K12" s="27">
        <f t="shared" si="8"/>
        <v>1</v>
      </c>
      <c r="L12" s="27">
        <f t="shared" si="9"/>
        <v>1</v>
      </c>
      <c r="M12" s="27">
        <f t="shared" si="10"/>
        <v>1</v>
      </c>
      <c r="N12" s="27">
        <f t="shared" si="11"/>
        <v>1</v>
      </c>
      <c r="O12" s="27">
        <f t="shared" si="12"/>
        <v>1</v>
      </c>
      <c r="P12" s="27">
        <f t="shared" si="13"/>
        <v>1</v>
      </c>
      <c r="Q12" s="27">
        <f t="shared" si="14"/>
        <v>1</v>
      </c>
      <c r="R12" s="27">
        <f t="shared" si="15"/>
        <v>1</v>
      </c>
    </row>
    <row r="13" spans="2:18" x14ac:dyDescent="0.25">
      <c r="D13" s="9" t="s">
        <v>354</v>
      </c>
      <c r="E13" s="9" t="s">
        <v>304</v>
      </c>
      <c r="F13" s="9" t="s">
        <v>20</v>
      </c>
      <c r="G13" s="9" t="s">
        <v>132</v>
      </c>
      <c r="H13" s="27">
        <v>0</v>
      </c>
      <c r="I13" s="27">
        <f t="shared" si="6"/>
        <v>0</v>
      </c>
      <c r="J13" s="27">
        <f t="shared" si="7"/>
        <v>0</v>
      </c>
      <c r="K13" s="27">
        <f t="shared" si="8"/>
        <v>0</v>
      </c>
      <c r="L13" s="27">
        <f t="shared" si="9"/>
        <v>0</v>
      </c>
      <c r="M13" s="27">
        <f t="shared" si="10"/>
        <v>0</v>
      </c>
      <c r="N13" s="27">
        <f t="shared" si="11"/>
        <v>0</v>
      </c>
      <c r="O13" s="27">
        <f t="shared" si="12"/>
        <v>0</v>
      </c>
      <c r="P13" s="27">
        <f t="shared" si="13"/>
        <v>0</v>
      </c>
      <c r="Q13" s="27">
        <f t="shared" si="14"/>
        <v>0</v>
      </c>
      <c r="R13" s="27">
        <f t="shared" si="15"/>
        <v>0</v>
      </c>
    </row>
    <row r="14" spans="2:18" x14ac:dyDescent="0.25">
      <c r="D14" s="9" t="s">
        <v>354</v>
      </c>
      <c r="E14" s="9" t="s">
        <v>304</v>
      </c>
      <c r="F14" s="9" t="s">
        <v>19</v>
      </c>
      <c r="G14" s="9" t="s">
        <v>132</v>
      </c>
      <c r="H14" s="27">
        <v>0</v>
      </c>
      <c r="I14" s="27">
        <f t="shared" si="6"/>
        <v>0</v>
      </c>
      <c r="J14" s="27">
        <f t="shared" si="7"/>
        <v>0</v>
      </c>
      <c r="K14" s="27">
        <f t="shared" si="8"/>
        <v>0</v>
      </c>
      <c r="L14" s="27">
        <f t="shared" si="9"/>
        <v>0</v>
      </c>
      <c r="M14" s="27">
        <f t="shared" si="10"/>
        <v>0</v>
      </c>
      <c r="N14" s="27">
        <f t="shared" si="11"/>
        <v>0</v>
      </c>
      <c r="O14" s="27">
        <f t="shared" si="12"/>
        <v>0</v>
      </c>
      <c r="P14" s="27">
        <f t="shared" si="13"/>
        <v>0</v>
      </c>
      <c r="Q14" s="27">
        <f t="shared" si="14"/>
        <v>0</v>
      </c>
      <c r="R14" s="27">
        <f t="shared" si="15"/>
        <v>0</v>
      </c>
    </row>
    <row r="15" spans="2:18" x14ac:dyDescent="0.25">
      <c r="D15" s="9" t="s">
        <v>354</v>
      </c>
      <c r="E15" s="9" t="s">
        <v>304</v>
      </c>
      <c r="F15" s="9" t="s">
        <v>18</v>
      </c>
      <c r="G15" s="9" t="s">
        <v>132</v>
      </c>
      <c r="H15" s="27">
        <v>0</v>
      </c>
      <c r="I15" s="27">
        <f t="shared" si="6"/>
        <v>0</v>
      </c>
      <c r="J15" s="27">
        <f t="shared" si="7"/>
        <v>0</v>
      </c>
      <c r="K15" s="27">
        <f t="shared" si="8"/>
        <v>0</v>
      </c>
      <c r="L15" s="27">
        <f t="shared" si="9"/>
        <v>0</v>
      </c>
      <c r="M15" s="27">
        <f t="shared" si="10"/>
        <v>0</v>
      </c>
      <c r="N15" s="27">
        <f t="shared" si="11"/>
        <v>0</v>
      </c>
      <c r="O15" s="27">
        <f t="shared" si="12"/>
        <v>0</v>
      </c>
      <c r="P15" s="27">
        <f t="shared" si="13"/>
        <v>0</v>
      </c>
      <c r="Q15" s="27">
        <f t="shared" si="14"/>
        <v>0</v>
      </c>
      <c r="R15" s="27">
        <f t="shared" si="15"/>
        <v>0</v>
      </c>
    </row>
    <row r="16" spans="2:18" x14ac:dyDescent="0.25">
      <c r="D16" s="9" t="s">
        <v>354</v>
      </c>
      <c r="E16" s="9" t="s">
        <v>304</v>
      </c>
      <c r="F16" s="9" t="s">
        <v>305</v>
      </c>
      <c r="G16" s="9" t="s">
        <v>132</v>
      </c>
      <c r="H16" s="27">
        <v>1</v>
      </c>
      <c r="I16" s="27">
        <f t="shared" si="6"/>
        <v>1</v>
      </c>
      <c r="J16" s="27">
        <f t="shared" si="7"/>
        <v>1</v>
      </c>
      <c r="K16" s="27">
        <f t="shared" si="8"/>
        <v>1</v>
      </c>
      <c r="L16" s="27">
        <f t="shared" si="9"/>
        <v>1</v>
      </c>
      <c r="M16" s="27">
        <f t="shared" si="10"/>
        <v>1</v>
      </c>
      <c r="N16" s="27">
        <f t="shared" si="11"/>
        <v>1</v>
      </c>
      <c r="O16" s="27">
        <f t="shared" si="12"/>
        <v>1</v>
      </c>
      <c r="P16" s="27">
        <f t="shared" si="13"/>
        <v>1</v>
      </c>
      <c r="Q16" s="27">
        <f t="shared" si="14"/>
        <v>1</v>
      </c>
      <c r="R16" s="27">
        <f t="shared" si="15"/>
        <v>1</v>
      </c>
    </row>
    <row r="17" spans="4:18" x14ac:dyDescent="0.25">
      <c r="D17" s="9" t="s">
        <v>355</v>
      </c>
      <c r="E17" s="9" t="s">
        <v>304</v>
      </c>
      <c r="F17" s="9" t="s">
        <v>20</v>
      </c>
      <c r="G17" s="9" t="s">
        <v>132</v>
      </c>
      <c r="H17" s="27">
        <v>0</v>
      </c>
      <c r="I17" s="27">
        <f t="shared" si="6"/>
        <v>0</v>
      </c>
      <c r="J17" s="27">
        <f t="shared" si="7"/>
        <v>0</v>
      </c>
      <c r="K17" s="27">
        <f t="shared" si="8"/>
        <v>0</v>
      </c>
      <c r="L17" s="27">
        <f t="shared" si="9"/>
        <v>0</v>
      </c>
      <c r="M17" s="27">
        <f t="shared" si="10"/>
        <v>0</v>
      </c>
      <c r="N17" s="27">
        <f t="shared" si="11"/>
        <v>0</v>
      </c>
      <c r="O17" s="27">
        <f t="shared" si="12"/>
        <v>0</v>
      </c>
      <c r="P17" s="27">
        <f t="shared" si="13"/>
        <v>0</v>
      </c>
      <c r="Q17" s="27">
        <f t="shared" si="14"/>
        <v>0</v>
      </c>
      <c r="R17" s="27">
        <f t="shared" si="15"/>
        <v>0</v>
      </c>
    </row>
    <row r="18" spans="4:18" x14ac:dyDescent="0.25">
      <c r="D18" s="9" t="s">
        <v>355</v>
      </c>
      <c r="E18" s="9" t="s">
        <v>304</v>
      </c>
      <c r="F18" s="9" t="s">
        <v>19</v>
      </c>
      <c r="G18" s="9" t="s">
        <v>132</v>
      </c>
      <c r="H18" s="27">
        <v>0</v>
      </c>
      <c r="I18" s="27">
        <f t="shared" si="6"/>
        <v>0</v>
      </c>
      <c r="J18" s="27">
        <f t="shared" si="7"/>
        <v>0</v>
      </c>
      <c r="K18" s="27">
        <f t="shared" si="8"/>
        <v>0</v>
      </c>
      <c r="L18" s="27">
        <f t="shared" si="9"/>
        <v>0</v>
      </c>
      <c r="M18" s="27">
        <f t="shared" si="10"/>
        <v>0</v>
      </c>
      <c r="N18" s="27">
        <f t="shared" si="11"/>
        <v>0</v>
      </c>
      <c r="O18" s="27">
        <f t="shared" si="12"/>
        <v>0</v>
      </c>
      <c r="P18" s="27">
        <f t="shared" si="13"/>
        <v>0</v>
      </c>
      <c r="Q18" s="27">
        <f t="shared" si="14"/>
        <v>0</v>
      </c>
      <c r="R18" s="27">
        <f t="shared" si="15"/>
        <v>0</v>
      </c>
    </row>
    <row r="19" spans="4:18" x14ac:dyDescent="0.25">
      <c r="D19" s="9" t="s">
        <v>355</v>
      </c>
      <c r="E19" s="9" t="s">
        <v>304</v>
      </c>
      <c r="F19" s="9" t="s">
        <v>18</v>
      </c>
      <c r="G19" s="9" t="s">
        <v>132</v>
      </c>
      <c r="H19" s="27">
        <v>0</v>
      </c>
      <c r="I19" s="27">
        <f t="shared" si="6"/>
        <v>0</v>
      </c>
      <c r="J19" s="27">
        <f t="shared" si="7"/>
        <v>0</v>
      </c>
      <c r="K19" s="27">
        <f t="shared" si="8"/>
        <v>0</v>
      </c>
      <c r="L19" s="27">
        <f t="shared" si="9"/>
        <v>0</v>
      </c>
      <c r="M19" s="27">
        <f t="shared" si="10"/>
        <v>0</v>
      </c>
      <c r="N19" s="27">
        <f t="shared" si="11"/>
        <v>0</v>
      </c>
      <c r="O19" s="27">
        <f t="shared" si="12"/>
        <v>0</v>
      </c>
      <c r="P19" s="27">
        <f t="shared" si="13"/>
        <v>0</v>
      </c>
      <c r="Q19" s="27">
        <f t="shared" si="14"/>
        <v>0</v>
      </c>
      <c r="R19" s="27">
        <f t="shared" si="15"/>
        <v>0</v>
      </c>
    </row>
    <row r="20" spans="4:18" x14ac:dyDescent="0.25">
      <c r="D20" s="9" t="s">
        <v>355</v>
      </c>
      <c r="E20" s="9" t="s">
        <v>304</v>
      </c>
      <c r="F20" s="9" t="s">
        <v>305</v>
      </c>
      <c r="G20" s="9" t="s">
        <v>132</v>
      </c>
      <c r="H20" s="27">
        <v>1</v>
      </c>
      <c r="I20" s="27">
        <f t="shared" si="6"/>
        <v>1</v>
      </c>
      <c r="J20" s="27">
        <f t="shared" si="7"/>
        <v>1</v>
      </c>
      <c r="K20" s="27">
        <f t="shared" si="8"/>
        <v>1</v>
      </c>
      <c r="L20" s="27">
        <f t="shared" si="9"/>
        <v>1</v>
      </c>
      <c r="M20" s="27">
        <f t="shared" si="10"/>
        <v>1</v>
      </c>
      <c r="N20" s="27">
        <f t="shared" si="11"/>
        <v>1</v>
      </c>
      <c r="O20" s="27">
        <f t="shared" si="12"/>
        <v>1</v>
      </c>
      <c r="P20" s="27">
        <f t="shared" si="13"/>
        <v>1</v>
      </c>
      <c r="Q20" s="27">
        <f t="shared" si="14"/>
        <v>1</v>
      </c>
      <c r="R20" s="27">
        <f t="shared" si="15"/>
        <v>1</v>
      </c>
    </row>
    <row r="21" spans="4:18" x14ac:dyDescent="0.25">
      <c r="D21" s="9" t="s">
        <v>6</v>
      </c>
      <c r="E21" s="9" t="s">
        <v>304</v>
      </c>
      <c r="F21" s="9" t="s">
        <v>20</v>
      </c>
      <c r="G21" s="9" t="s">
        <v>132</v>
      </c>
      <c r="H21" s="27">
        <v>0</v>
      </c>
      <c r="I21" s="27">
        <f t="shared" si="6"/>
        <v>0</v>
      </c>
      <c r="J21" s="27">
        <f t="shared" si="7"/>
        <v>0</v>
      </c>
      <c r="K21" s="27">
        <f t="shared" si="8"/>
        <v>0</v>
      </c>
      <c r="L21" s="27">
        <f t="shared" si="9"/>
        <v>0</v>
      </c>
      <c r="M21" s="27">
        <f t="shared" si="10"/>
        <v>0</v>
      </c>
      <c r="N21" s="27">
        <f t="shared" si="11"/>
        <v>0</v>
      </c>
      <c r="O21" s="27">
        <f t="shared" si="12"/>
        <v>0</v>
      </c>
      <c r="P21" s="27">
        <f t="shared" si="13"/>
        <v>0</v>
      </c>
      <c r="Q21" s="27">
        <f t="shared" si="14"/>
        <v>0</v>
      </c>
      <c r="R21" s="27">
        <f t="shared" si="15"/>
        <v>0</v>
      </c>
    </row>
    <row r="22" spans="4:18" x14ac:dyDescent="0.25">
      <c r="D22" s="9" t="s">
        <v>6</v>
      </c>
      <c r="E22" s="9" t="s">
        <v>304</v>
      </c>
      <c r="F22" s="9" t="s">
        <v>19</v>
      </c>
      <c r="G22" s="9" t="s">
        <v>132</v>
      </c>
      <c r="H22" s="27">
        <v>0</v>
      </c>
      <c r="I22" s="27">
        <f t="shared" si="6"/>
        <v>0</v>
      </c>
      <c r="J22" s="27">
        <f t="shared" si="7"/>
        <v>0</v>
      </c>
      <c r="K22" s="27">
        <f t="shared" si="8"/>
        <v>0</v>
      </c>
      <c r="L22" s="27">
        <f t="shared" si="9"/>
        <v>0</v>
      </c>
      <c r="M22" s="27">
        <f t="shared" si="10"/>
        <v>0</v>
      </c>
      <c r="N22" s="27">
        <f t="shared" si="11"/>
        <v>0</v>
      </c>
      <c r="O22" s="27">
        <f t="shared" si="12"/>
        <v>0</v>
      </c>
      <c r="P22" s="27">
        <f t="shared" si="13"/>
        <v>0</v>
      </c>
      <c r="Q22" s="27">
        <f t="shared" si="14"/>
        <v>0</v>
      </c>
      <c r="R22" s="27">
        <f t="shared" si="15"/>
        <v>0</v>
      </c>
    </row>
    <row r="23" spans="4:18" x14ac:dyDescent="0.25">
      <c r="D23" s="9" t="s">
        <v>6</v>
      </c>
      <c r="E23" s="9" t="s">
        <v>304</v>
      </c>
      <c r="F23" s="9" t="s">
        <v>18</v>
      </c>
      <c r="G23" s="9" t="s">
        <v>132</v>
      </c>
      <c r="H23" s="27">
        <v>0</v>
      </c>
      <c r="I23" s="27">
        <f t="shared" si="6"/>
        <v>0</v>
      </c>
      <c r="J23" s="27">
        <f t="shared" si="7"/>
        <v>0</v>
      </c>
      <c r="K23" s="27">
        <f t="shared" si="8"/>
        <v>0</v>
      </c>
      <c r="L23" s="27">
        <f t="shared" si="9"/>
        <v>0</v>
      </c>
      <c r="M23" s="27">
        <f t="shared" si="10"/>
        <v>0</v>
      </c>
      <c r="N23" s="27">
        <f t="shared" si="11"/>
        <v>0</v>
      </c>
      <c r="O23" s="27">
        <f t="shared" si="12"/>
        <v>0</v>
      </c>
      <c r="P23" s="27">
        <f t="shared" si="13"/>
        <v>0</v>
      </c>
      <c r="Q23" s="27">
        <f t="shared" si="14"/>
        <v>0</v>
      </c>
      <c r="R23" s="27">
        <f t="shared" si="15"/>
        <v>0</v>
      </c>
    </row>
    <row r="24" spans="4:18" x14ac:dyDescent="0.25">
      <c r="D24" s="9" t="s">
        <v>6</v>
      </c>
      <c r="E24" s="9" t="s">
        <v>304</v>
      </c>
      <c r="F24" s="9" t="s">
        <v>305</v>
      </c>
      <c r="G24" s="9" t="s">
        <v>132</v>
      </c>
      <c r="H24" s="27">
        <v>1</v>
      </c>
      <c r="I24" s="27">
        <f t="shared" si="6"/>
        <v>1</v>
      </c>
      <c r="J24" s="27">
        <f t="shared" si="7"/>
        <v>1</v>
      </c>
      <c r="K24" s="27">
        <f t="shared" si="8"/>
        <v>1</v>
      </c>
      <c r="L24" s="27">
        <f t="shared" si="9"/>
        <v>1</v>
      </c>
      <c r="M24" s="27">
        <f t="shared" si="10"/>
        <v>1</v>
      </c>
      <c r="N24" s="27">
        <f t="shared" si="11"/>
        <v>1</v>
      </c>
      <c r="O24" s="27">
        <f t="shared" si="12"/>
        <v>1</v>
      </c>
      <c r="P24" s="27">
        <f t="shared" si="13"/>
        <v>1</v>
      </c>
      <c r="Q24" s="27">
        <f t="shared" si="14"/>
        <v>1</v>
      </c>
      <c r="R24" s="27">
        <f t="shared" si="15"/>
        <v>1</v>
      </c>
    </row>
    <row r="25" spans="4:18" x14ac:dyDescent="0.25">
      <c r="D25" s="9" t="s">
        <v>10</v>
      </c>
      <c r="E25" s="9" t="s">
        <v>304</v>
      </c>
      <c r="F25" s="9" t="s">
        <v>20</v>
      </c>
      <c r="G25" s="9" t="s">
        <v>132</v>
      </c>
      <c r="H25" s="27">
        <v>0</v>
      </c>
      <c r="I25" s="27">
        <f t="shared" si="6"/>
        <v>0</v>
      </c>
      <c r="J25" s="27">
        <f t="shared" si="7"/>
        <v>0</v>
      </c>
      <c r="K25" s="27">
        <f t="shared" si="8"/>
        <v>0</v>
      </c>
      <c r="L25" s="27">
        <f t="shared" si="9"/>
        <v>0</v>
      </c>
      <c r="M25" s="27">
        <f t="shared" si="10"/>
        <v>0</v>
      </c>
      <c r="N25" s="27">
        <f t="shared" si="11"/>
        <v>0</v>
      </c>
      <c r="O25" s="27">
        <f t="shared" si="12"/>
        <v>0</v>
      </c>
      <c r="P25" s="27">
        <f t="shared" si="13"/>
        <v>0</v>
      </c>
      <c r="Q25" s="27">
        <f t="shared" si="14"/>
        <v>0</v>
      </c>
      <c r="R25" s="27">
        <f t="shared" si="15"/>
        <v>0</v>
      </c>
    </row>
    <row r="26" spans="4:18" x14ac:dyDescent="0.25">
      <c r="D26" s="9" t="s">
        <v>10</v>
      </c>
      <c r="E26" s="9" t="s">
        <v>304</v>
      </c>
      <c r="F26" s="9" t="s">
        <v>19</v>
      </c>
      <c r="G26" s="9" t="s">
        <v>132</v>
      </c>
      <c r="H26" s="27">
        <v>0</v>
      </c>
      <c r="I26" s="27">
        <f t="shared" si="6"/>
        <v>0</v>
      </c>
      <c r="J26" s="27">
        <f t="shared" si="7"/>
        <v>0</v>
      </c>
      <c r="K26" s="27">
        <f t="shared" si="8"/>
        <v>0</v>
      </c>
      <c r="L26" s="27">
        <f t="shared" si="9"/>
        <v>0</v>
      </c>
      <c r="M26" s="27">
        <f t="shared" si="10"/>
        <v>0</v>
      </c>
      <c r="N26" s="27">
        <f t="shared" si="11"/>
        <v>0</v>
      </c>
      <c r="O26" s="27">
        <f t="shared" si="12"/>
        <v>0</v>
      </c>
      <c r="P26" s="27">
        <f t="shared" si="13"/>
        <v>0</v>
      </c>
      <c r="Q26" s="27">
        <f t="shared" si="14"/>
        <v>0</v>
      </c>
      <c r="R26" s="27">
        <f t="shared" si="15"/>
        <v>0</v>
      </c>
    </row>
    <row r="27" spans="4:18" x14ac:dyDescent="0.25">
      <c r="D27" s="9" t="s">
        <v>10</v>
      </c>
      <c r="E27" s="9" t="s">
        <v>304</v>
      </c>
      <c r="F27" s="9" t="s">
        <v>18</v>
      </c>
      <c r="G27" s="9" t="s">
        <v>132</v>
      </c>
      <c r="H27" s="27">
        <v>0</v>
      </c>
      <c r="I27" s="27">
        <f t="shared" si="6"/>
        <v>0</v>
      </c>
      <c r="J27" s="27">
        <f t="shared" si="7"/>
        <v>0</v>
      </c>
      <c r="K27" s="27">
        <f t="shared" si="8"/>
        <v>0</v>
      </c>
      <c r="L27" s="27">
        <f t="shared" si="9"/>
        <v>0</v>
      </c>
      <c r="M27" s="27">
        <f t="shared" si="10"/>
        <v>0</v>
      </c>
      <c r="N27" s="27">
        <f t="shared" si="11"/>
        <v>0</v>
      </c>
      <c r="O27" s="27">
        <f t="shared" si="12"/>
        <v>0</v>
      </c>
      <c r="P27" s="27">
        <f t="shared" si="13"/>
        <v>0</v>
      </c>
      <c r="Q27" s="27">
        <f t="shared" si="14"/>
        <v>0</v>
      </c>
      <c r="R27" s="27">
        <f t="shared" si="15"/>
        <v>0</v>
      </c>
    </row>
    <row r="28" spans="4:18" x14ac:dyDescent="0.25">
      <c r="D28" s="9" t="s">
        <v>10</v>
      </c>
      <c r="E28" s="9" t="s">
        <v>304</v>
      </c>
      <c r="F28" s="9" t="s">
        <v>305</v>
      </c>
      <c r="G28" s="9" t="s">
        <v>132</v>
      </c>
      <c r="H28" s="27">
        <v>1</v>
      </c>
      <c r="I28" s="27">
        <f t="shared" si="6"/>
        <v>1</v>
      </c>
      <c r="J28" s="27">
        <f t="shared" si="7"/>
        <v>1</v>
      </c>
      <c r="K28" s="27">
        <f t="shared" si="8"/>
        <v>1</v>
      </c>
      <c r="L28" s="27">
        <f t="shared" si="9"/>
        <v>1</v>
      </c>
      <c r="M28" s="27">
        <f t="shared" si="10"/>
        <v>1</v>
      </c>
      <c r="N28" s="27">
        <f t="shared" si="11"/>
        <v>1</v>
      </c>
      <c r="O28" s="27">
        <f t="shared" si="12"/>
        <v>1</v>
      </c>
      <c r="P28" s="27">
        <f t="shared" si="13"/>
        <v>1</v>
      </c>
      <c r="Q28" s="27">
        <f t="shared" si="14"/>
        <v>1</v>
      </c>
      <c r="R28" s="27">
        <f t="shared" si="15"/>
        <v>1</v>
      </c>
    </row>
    <row r="29" spans="4:18" x14ac:dyDescent="0.25">
      <c r="D29" s="9" t="s">
        <v>356</v>
      </c>
      <c r="E29" s="9" t="s">
        <v>304</v>
      </c>
      <c r="F29" s="9" t="s">
        <v>20</v>
      </c>
      <c r="G29" s="9" t="s">
        <v>132</v>
      </c>
      <c r="H29" s="27">
        <v>0</v>
      </c>
      <c r="I29" s="27">
        <f t="shared" si="6"/>
        <v>0</v>
      </c>
      <c r="J29" s="27">
        <f t="shared" si="7"/>
        <v>0</v>
      </c>
      <c r="K29" s="27">
        <f t="shared" si="8"/>
        <v>0</v>
      </c>
      <c r="L29" s="27">
        <f t="shared" si="9"/>
        <v>0</v>
      </c>
      <c r="M29" s="27">
        <f t="shared" si="10"/>
        <v>0</v>
      </c>
      <c r="N29" s="27">
        <f t="shared" si="11"/>
        <v>0</v>
      </c>
      <c r="O29" s="27">
        <f t="shared" si="12"/>
        <v>0</v>
      </c>
      <c r="P29" s="27">
        <f t="shared" si="13"/>
        <v>0</v>
      </c>
      <c r="Q29" s="27">
        <f t="shared" si="14"/>
        <v>0</v>
      </c>
      <c r="R29" s="27">
        <f t="shared" si="15"/>
        <v>0</v>
      </c>
    </row>
    <row r="30" spans="4:18" x14ac:dyDescent="0.25">
      <c r="D30" s="9" t="s">
        <v>356</v>
      </c>
      <c r="E30" s="9" t="s">
        <v>304</v>
      </c>
      <c r="F30" s="9" t="s">
        <v>19</v>
      </c>
      <c r="G30" s="9" t="s">
        <v>132</v>
      </c>
      <c r="H30" s="27">
        <v>0</v>
      </c>
      <c r="I30" s="27">
        <f t="shared" si="6"/>
        <v>0</v>
      </c>
      <c r="J30" s="27">
        <f t="shared" si="7"/>
        <v>0</v>
      </c>
      <c r="K30" s="27">
        <f t="shared" si="8"/>
        <v>0</v>
      </c>
      <c r="L30" s="27">
        <f t="shared" si="9"/>
        <v>0</v>
      </c>
      <c r="M30" s="27">
        <f t="shared" si="10"/>
        <v>0</v>
      </c>
      <c r="N30" s="27">
        <f t="shared" si="11"/>
        <v>0</v>
      </c>
      <c r="O30" s="27">
        <f t="shared" si="12"/>
        <v>0</v>
      </c>
      <c r="P30" s="27">
        <f t="shared" si="13"/>
        <v>0</v>
      </c>
      <c r="Q30" s="27">
        <f t="shared" si="14"/>
        <v>0</v>
      </c>
      <c r="R30" s="27">
        <f t="shared" si="15"/>
        <v>0</v>
      </c>
    </row>
    <row r="31" spans="4:18" x14ac:dyDescent="0.25">
      <c r="D31" s="9" t="s">
        <v>356</v>
      </c>
      <c r="E31" s="9" t="s">
        <v>304</v>
      </c>
      <c r="F31" s="9" t="s">
        <v>18</v>
      </c>
      <c r="G31" s="9" t="s">
        <v>132</v>
      </c>
      <c r="H31" s="27">
        <v>0</v>
      </c>
      <c r="I31" s="27">
        <f t="shared" si="6"/>
        <v>0</v>
      </c>
      <c r="J31" s="27">
        <f t="shared" si="7"/>
        <v>0</v>
      </c>
      <c r="K31" s="27">
        <f t="shared" si="8"/>
        <v>0</v>
      </c>
      <c r="L31" s="27">
        <f t="shared" si="9"/>
        <v>0</v>
      </c>
      <c r="M31" s="27">
        <f t="shared" si="10"/>
        <v>0</v>
      </c>
      <c r="N31" s="27">
        <f t="shared" si="11"/>
        <v>0</v>
      </c>
      <c r="O31" s="27">
        <f t="shared" si="12"/>
        <v>0</v>
      </c>
      <c r="P31" s="27">
        <f t="shared" si="13"/>
        <v>0</v>
      </c>
      <c r="Q31" s="27">
        <f t="shared" si="14"/>
        <v>0</v>
      </c>
      <c r="R31" s="27">
        <f t="shared" si="15"/>
        <v>0</v>
      </c>
    </row>
    <row r="32" spans="4:18" x14ac:dyDescent="0.25">
      <c r="D32" s="9" t="s">
        <v>356</v>
      </c>
      <c r="E32" s="9" t="s">
        <v>304</v>
      </c>
      <c r="F32" s="9" t="s">
        <v>305</v>
      </c>
      <c r="G32" s="9" t="s">
        <v>132</v>
      </c>
      <c r="H32" s="27">
        <v>1</v>
      </c>
      <c r="I32" s="27">
        <f t="shared" si="6"/>
        <v>1</v>
      </c>
      <c r="J32" s="27">
        <f t="shared" si="7"/>
        <v>1</v>
      </c>
      <c r="K32" s="27">
        <f t="shared" si="8"/>
        <v>1</v>
      </c>
      <c r="L32" s="27">
        <f t="shared" si="9"/>
        <v>1</v>
      </c>
      <c r="M32" s="27">
        <f t="shared" si="10"/>
        <v>1</v>
      </c>
      <c r="N32" s="27">
        <f t="shared" si="11"/>
        <v>1</v>
      </c>
      <c r="O32" s="27">
        <f t="shared" si="12"/>
        <v>1</v>
      </c>
      <c r="P32" s="27">
        <f t="shared" si="13"/>
        <v>1</v>
      </c>
      <c r="Q32" s="27">
        <f t="shared" si="14"/>
        <v>1</v>
      </c>
      <c r="R32" s="27">
        <f t="shared" si="15"/>
        <v>1</v>
      </c>
    </row>
    <row r="33" spans="4:18" x14ac:dyDescent="0.25">
      <c r="D33" s="9" t="s">
        <v>357</v>
      </c>
      <c r="E33" s="9" t="s">
        <v>304</v>
      </c>
      <c r="F33" s="9" t="s">
        <v>20</v>
      </c>
      <c r="G33" s="9" t="s">
        <v>132</v>
      </c>
      <c r="H33" s="27">
        <v>0</v>
      </c>
      <c r="I33" s="27">
        <f t="shared" si="6"/>
        <v>0</v>
      </c>
      <c r="J33" s="27">
        <f t="shared" si="7"/>
        <v>0</v>
      </c>
      <c r="K33" s="27">
        <f t="shared" si="8"/>
        <v>0</v>
      </c>
      <c r="L33" s="27">
        <f t="shared" si="9"/>
        <v>0</v>
      </c>
      <c r="M33" s="27">
        <f t="shared" si="10"/>
        <v>0</v>
      </c>
      <c r="N33" s="27">
        <f t="shared" si="11"/>
        <v>0</v>
      </c>
      <c r="O33" s="27">
        <f t="shared" si="12"/>
        <v>0</v>
      </c>
      <c r="P33" s="27">
        <f t="shared" si="13"/>
        <v>0</v>
      </c>
      <c r="Q33" s="27">
        <f t="shared" si="14"/>
        <v>0</v>
      </c>
      <c r="R33" s="27">
        <f t="shared" si="15"/>
        <v>0</v>
      </c>
    </row>
    <row r="34" spans="4:18" x14ac:dyDescent="0.25">
      <c r="D34" s="9" t="s">
        <v>357</v>
      </c>
      <c r="E34" s="9" t="s">
        <v>304</v>
      </c>
      <c r="F34" s="9" t="s">
        <v>19</v>
      </c>
      <c r="G34" s="9" t="s">
        <v>132</v>
      </c>
      <c r="H34" s="27">
        <v>0</v>
      </c>
      <c r="I34" s="27">
        <f t="shared" si="6"/>
        <v>0</v>
      </c>
      <c r="J34" s="27">
        <f t="shared" si="7"/>
        <v>0</v>
      </c>
      <c r="K34" s="27">
        <f t="shared" si="8"/>
        <v>0</v>
      </c>
      <c r="L34" s="27">
        <f t="shared" si="9"/>
        <v>0</v>
      </c>
      <c r="M34" s="27">
        <f t="shared" si="10"/>
        <v>0</v>
      </c>
      <c r="N34" s="27">
        <f t="shared" si="11"/>
        <v>0</v>
      </c>
      <c r="O34" s="27">
        <f t="shared" si="12"/>
        <v>0</v>
      </c>
      <c r="P34" s="27">
        <f t="shared" si="13"/>
        <v>0</v>
      </c>
      <c r="Q34" s="27">
        <f t="shared" si="14"/>
        <v>0</v>
      </c>
      <c r="R34" s="27">
        <f t="shared" si="15"/>
        <v>0</v>
      </c>
    </row>
    <row r="35" spans="4:18" x14ac:dyDescent="0.25">
      <c r="D35" s="9" t="s">
        <v>357</v>
      </c>
      <c r="E35" s="9" t="s">
        <v>304</v>
      </c>
      <c r="F35" s="9" t="s">
        <v>18</v>
      </c>
      <c r="G35" s="9" t="s">
        <v>132</v>
      </c>
      <c r="H35" s="27">
        <v>0</v>
      </c>
      <c r="I35" s="27">
        <f t="shared" si="6"/>
        <v>0</v>
      </c>
      <c r="J35" s="27">
        <f t="shared" si="7"/>
        <v>0</v>
      </c>
      <c r="K35" s="27">
        <f t="shared" si="8"/>
        <v>0</v>
      </c>
      <c r="L35" s="27">
        <f t="shared" si="9"/>
        <v>0</v>
      </c>
      <c r="M35" s="27">
        <f t="shared" si="10"/>
        <v>0</v>
      </c>
      <c r="N35" s="27">
        <f t="shared" si="11"/>
        <v>0</v>
      </c>
      <c r="O35" s="27">
        <f t="shared" si="12"/>
        <v>0</v>
      </c>
      <c r="P35" s="27">
        <f t="shared" si="13"/>
        <v>0</v>
      </c>
      <c r="Q35" s="27">
        <f t="shared" si="14"/>
        <v>0</v>
      </c>
      <c r="R35" s="27">
        <f t="shared" si="15"/>
        <v>0</v>
      </c>
    </row>
    <row r="36" spans="4:18" x14ac:dyDescent="0.25">
      <c r="D36" s="9" t="s">
        <v>357</v>
      </c>
      <c r="E36" s="9" t="s">
        <v>304</v>
      </c>
      <c r="F36" s="9" t="s">
        <v>305</v>
      </c>
      <c r="G36" s="9" t="s">
        <v>132</v>
      </c>
      <c r="H36" s="27">
        <v>1</v>
      </c>
      <c r="I36" s="27">
        <f t="shared" si="6"/>
        <v>1</v>
      </c>
      <c r="J36" s="27">
        <f t="shared" si="7"/>
        <v>1</v>
      </c>
      <c r="K36" s="27">
        <f t="shared" si="8"/>
        <v>1</v>
      </c>
      <c r="L36" s="27">
        <f t="shared" si="9"/>
        <v>1</v>
      </c>
      <c r="M36" s="27">
        <f t="shared" si="10"/>
        <v>1</v>
      </c>
      <c r="N36" s="27">
        <f t="shared" si="11"/>
        <v>1</v>
      </c>
      <c r="O36" s="27">
        <f t="shared" si="12"/>
        <v>1</v>
      </c>
      <c r="P36" s="27">
        <f t="shared" si="13"/>
        <v>1</v>
      </c>
      <c r="Q36" s="27">
        <f t="shared" si="14"/>
        <v>1</v>
      </c>
      <c r="R36" s="27">
        <f t="shared" si="15"/>
        <v>1</v>
      </c>
    </row>
    <row r="37" spans="4:18" x14ac:dyDescent="0.25">
      <c r="D37" s="9" t="s">
        <v>358</v>
      </c>
      <c r="E37" s="9" t="s">
        <v>304</v>
      </c>
      <c r="F37" s="9" t="s">
        <v>20</v>
      </c>
      <c r="G37" s="9" t="s">
        <v>132</v>
      </c>
      <c r="H37" s="27">
        <v>0</v>
      </c>
      <c r="I37" s="27">
        <f t="shared" si="6"/>
        <v>0</v>
      </c>
      <c r="J37" s="27">
        <f t="shared" si="7"/>
        <v>0</v>
      </c>
      <c r="K37" s="27">
        <f t="shared" si="8"/>
        <v>0</v>
      </c>
      <c r="L37" s="27">
        <f t="shared" si="9"/>
        <v>0</v>
      </c>
      <c r="M37" s="27">
        <f t="shared" si="10"/>
        <v>0</v>
      </c>
      <c r="N37" s="27">
        <f t="shared" si="11"/>
        <v>0</v>
      </c>
      <c r="O37" s="27">
        <f t="shared" si="12"/>
        <v>0</v>
      </c>
      <c r="P37" s="27">
        <f t="shared" si="13"/>
        <v>0</v>
      </c>
      <c r="Q37" s="27">
        <f t="shared" si="14"/>
        <v>0</v>
      </c>
      <c r="R37" s="27">
        <f t="shared" si="15"/>
        <v>0</v>
      </c>
    </row>
    <row r="38" spans="4:18" x14ac:dyDescent="0.25">
      <c r="D38" s="9" t="s">
        <v>358</v>
      </c>
      <c r="E38" s="9" t="s">
        <v>304</v>
      </c>
      <c r="F38" s="9" t="s">
        <v>19</v>
      </c>
      <c r="G38" s="9" t="s">
        <v>132</v>
      </c>
      <c r="H38" s="27">
        <v>0</v>
      </c>
      <c r="I38" s="27">
        <f t="shared" si="6"/>
        <v>0</v>
      </c>
      <c r="J38" s="27">
        <f t="shared" si="7"/>
        <v>0</v>
      </c>
      <c r="K38" s="27">
        <f t="shared" si="8"/>
        <v>0</v>
      </c>
      <c r="L38" s="27">
        <f t="shared" si="9"/>
        <v>0</v>
      </c>
      <c r="M38" s="27">
        <f t="shared" si="10"/>
        <v>0</v>
      </c>
      <c r="N38" s="27">
        <f t="shared" si="11"/>
        <v>0</v>
      </c>
      <c r="O38" s="27">
        <f t="shared" si="12"/>
        <v>0</v>
      </c>
      <c r="P38" s="27">
        <f t="shared" si="13"/>
        <v>0</v>
      </c>
      <c r="Q38" s="27">
        <f t="shared" si="14"/>
        <v>0</v>
      </c>
      <c r="R38" s="27">
        <f t="shared" si="15"/>
        <v>0</v>
      </c>
    </row>
    <row r="39" spans="4:18" x14ac:dyDescent="0.25">
      <c r="D39" s="9" t="s">
        <v>358</v>
      </c>
      <c r="E39" s="9" t="s">
        <v>304</v>
      </c>
      <c r="F39" s="9" t="s">
        <v>18</v>
      </c>
      <c r="G39" s="9" t="s">
        <v>132</v>
      </c>
      <c r="H39" s="27">
        <v>0</v>
      </c>
      <c r="I39" s="27">
        <f t="shared" si="6"/>
        <v>0</v>
      </c>
      <c r="J39" s="27">
        <f t="shared" si="7"/>
        <v>0</v>
      </c>
      <c r="K39" s="27">
        <f t="shared" si="8"/>
        <v>0</v>
      </c>
      <c r="L39" s="27">
        <f t="shared" si="9"/>
        <v>0</v>
      </c>
      <c r="M39" s="27">
        <f t="shared" si="10"/>
        <v>0</v>
      </c>
      <c r="N39" s="27">
        <f t="shared" si="11"/>
        <v>0</v>
      </c>
      <c r="O39" s="27">
        <f t="shared" si="12"/>
        <v>0</v>
      </c>
      <c r="P39" s="27">
        <f t="shared" si="13"/>
        <v>0</v>
      </c>
      <c r="Q39" s="27">
        <f t="shared" si="14"/>
        <v>0</v>
      </c>
      <c r="R39" s="27">
        <f t="shared" si="15"/>
        <v>0</v>
      </c>
    </row>
    <row r="40" spans="4:18" x14ac:dyDescent="0.25">
      <c r="D40" s="9" t="s">
        <v>358</v>
      </c>
      <c r="E40" s="9" t="s">
        <v>304</v>
      </c>
      <c r="F40" s="9" t="s">
        <v>305</v>
      </c>
      <c r="G40" s="9" t="s">
        <v>132</v>
      </c>
      <c r="H40" s="27">
        <v>1</v>
      </c>
      <c r="I40" s="27">
        <f t="shared" si="6"/>
        <v>1</v>
      </c>
      <c r="J40" s="27">
        <f t="shared" si="7"/>
        <v>1</v>
      </c>
      <c r="K40" s="27">
        <f t="shared" si="8"/>
        <v>1</v>
      </c>
      <c r="L40" s="27">
        <f t="shared" si="9"/>
        <v>1</v>
      </c>
      <c r="M40" s="27">
        <f t="shared" si="10"/>
        <v>1</v>
      </c>
      <c r="N40" s="27">
        <f t="shared" si="11"/>
        <v>1</v>
      </c>
      <c r="O40" s="27">
        <f t="shared" si="12"/>
        <v>1</v>
      </c>
      <c r="P40" s="27">
        <f t="shared" si="13"/>
        <v>1</v>
      </c>
      <c r="Q40" s="27">
        <f t="shared" si="14"/>
        <v>1</v>
      </c>
      <c r="R40" s="27">
        <f t="shared" si="15"/>
        <v>1</v>
      </c>
    </row>
    <row r="41" spans="4:18" x14ac:dyDescent="0.25">
      <c r="D41" s="9"/>
      <c r="E41" s="9"/>
      <c r="F41" s="9"/>
      <c r="G41" s="9"/>
      <c r="H41" s="27"/>
      <c r="I41" s="27" t="str">
        <f t="shared" ref="I41:R50" si="16">IF(H41="","",H41)</f>
        <v/>
      </c>
      <c r="J41" s="27" t="str">
        <f t="shared" si="16"/>
        <v/>
      </c>
      <c r="K41" s="27" t="str">
        <f t="shared" si="16"/>
        <v/>
      </c>
      <c r="L41" s="27" t="str">
        <f t="shared" si="16"/>
        <v/>
      </c>
      <c r="M41" s="27" t="str">
        <f t="shared" si="16"/>
        <v/>
      </c>
      <c r="N41" s="27" t="str">
        <f t="shared" si="16"/>
        <v/>
      </c>
      <c r="O41" s="27" t="str">
        <f t="shared" si="16"/>
        <v/>
      </c>
      <c r="P41" s="27" t="str">
        <f t="shared" si="16"/>
        <v/>
      </c>
      <c r="Q41" s="27" t="str">
        <f t="shared" si="16"/>
        <v/>
      </c>
      <c r="R41" s="27" t="str">
        <f t="shared" si="16"/>
        <v/>
      </c>
    </row>
    <row r="42" spans="4:18" x14ac:dyDescent="0.25">
      <c r="D42" s="9"/>
      <c r="E42" s="9"/>
      <c r="F42" s="9"/>
      <c r="G42" s="9"/>
      <c r="H42" s="27"/>
      <c r="I42" s="27" t="str">
        <f t="shared" si="16"/>
        <v/>
      </c>
      <c r="J42" s="27" t="str">
        <f t="shared" si="16"/>
        <v/>
      </c>
      <c r="K42" s="27" t="str">
        <f t="shared" si="16"/>
        <v/>
      </c>
      <c r="L42" s="27" t="str">
        <f t="shared" si="16"/>
        <v/>
      </c>
      <c r="M42" s="27" t="str">
        <f t="shared" si="16"/>
        <v/>
      </c>
      <c r="N42" s="27" t="str">
        <f t="shared" si="16"/>
        <v/>
      </c>
      <c r="O42" s="27" t="str">
        <f t="shared" si="16"/>
        <v/>
      </c>
      <c r="P42" s="27" t="str">
        <f t="shared" si="16"/>
        <v/>
      </c>
      <c r="Q42" s="27" t="str">
        <f t="shared" si="16"/>
        <v/>
      </c>
      <c r="R42" s="27" t="str">
        <f t="shared" si="16"/>
        <v/>
      </c>
    </row>
    <row r="43" spans="4:18" x14ac:dyDescent="0.25">
      <c r="D43" s="9"/>
      <c r="E43" s="9"/>
      <c r="F43" s="9"/>
      <c r="G43" s="9"/>
      <c r="H43" s="27"/>
      <c r="I43" s="27" t="str">
        <f t="shared" si="16"/>
        <v/>
      </c>
      <c r="J43" s="27" t="str">
        <f t="shared" si="16"/>
        <v/>
      </c>
      <c r="K43" s="27" t="str">
        <f t="shared" si="16"/>
        <v/>
      </c>
      <c r="L43" s="27" t="str">
        <f t="shared" si="16"/>
        <v/>
      </c>
      <c r="M43" s="27" t="str">
        <f t="shared" si="16"/>
        <v/>
      </c>
      <c r="N43" s="27" t="str">
        <f t="shared" si="16"/>
        <v/>
      </c>
      <c r="O43" s="27" t="str">
        <f t="shared" si="16"/>
        <v/>
      </c>
      <c r="P43" s="27" t="str">
        <f t="shared" si="16"/>
        <v/>
      </c>
      <c r="Q43" s="27" t="str">
        <f t="shared" si="16"/>
        <v/>
      </c>
      <c r="R43" s="27" t="str">
        <f t="shared" si="16"/>
        <v/>
      </c>
    </row>
    <row r="44" spans="4:18" x14ac:dyDescent="0.25">
      <c r="D44" s="9"/>
      <c r="E44" s="9"/>
      <c r="F44" s="9"/>
      <c r="G44" s="9"/>
      <c r="H44" s="27"/>
      <c r="I44" s="27" t="str">
        <f t="shared" si="16"/>
        <v/>
      </c>
      <c r="J44" s="27" t="str">
        <f t="shared" si="16"/>
        <v/>
      </c>
      <c r="K44" s="27" t="str">
        <f t="shared" si="16"/>
        <v/>
      </c>
      <c r="L44" s="27" t="str">
        <f t="shared" si="16"/>
        <v/>
      </c>
      <c r="M44" s="27" t="str">
        <f t="shared" si="16"/>
        <v/>
      </c>
      <c r="N44" s="27" t="str">
        <f t="shared" si="16"/>
        <v/>
      </c>
      <c r="O44" s="27" t="str">
        <f t="shared" si="16"/>
        <v/>
      </c>
      <c r="P44" s="27" t="str">
        <f t="shared" si="16"/>
        <v/>
      </c>
      <c r="Q44" s="27" t="str">
        <f t="shared" si="16"/>
        <v/>
      </c>
      <c r="R44" s="27" t="str">
        <f t="shared" si="16"/>
        <v/>
      </c>
    </row>
    <row r="45" spans="4:18" x14ac:dyDescent="0.25">
      <c r="D45" s="9"/>
      <c r="E45" s="9"/>
      <c r="F45" s="9"/>
      <c r="G45" s="9"/>
      <c r="H45" s="27"/>
      <c r="I45" s="27" t="str">
        <f t="shared" si="16"/>
        <v/>
      </c>
      <c r="J45" s="27" t="str">
        <f t="shared" si="16"/>
        <v/>
      </c>
      <c r="K45" s="27" t="str">
        <f t="shared" si="16"/>
        <v/>
      </c>
      <c r="L45" s="27" t="str">
        <f t="shared" si="16"/>
        <v/>
      </c>
      <c r="M45" s="27" t="str">
        <f t="shared" si="16"/>
        <v/>
      </c>
      <c r="N45" s="27" t="str">
        <f t="shared" si="16"/>
        <v/>
      </c>
      <c r="O45" s="27" t="str">
        <f t="shared" si="16"/>
        <v/>
      </c>
      <c r="P45" s="27" t="str">
        <f t="shared" si="16"/>
        <v/>
      </c>
      <c r="Q45" s="27" t="str">
        <f t="shared" si="16"/>
        <v/>
      </c>
      <c r="R45" s="27" t="str">
        <f t="shared" si="16"/>
        <v/>
      </c>
    </row>
    <row r="46" spans="4:18" x14ac:dyDescent="0.25">
      <c r="D46" s="9"/>
      <c r="E46" s="9"/>
      <c r="F46" s="9"/>
      <c r="G46" s="9"/>
      <c r="H46" s="27"/>
      <c r="I46" s="27" t="str">
        <f t="shared" si="16"/>
        <v/>
      </c>
      <c r="J46" s="27" t="str">
        <f t="shared" si="16"/>
        <v/>
      </c>
      <c r="K46" s="27" t="str">
        <f t="shared" si="16"/>
        <v/>
      </c>
      <c r="L46" s="27" t="str">
        <f t="shared" si="16"/>
        <v/>
      </c>
      <c r="M46" s="27" t="str">
        <f t="shared" si="16"/>
        <v/>
      </c>
      <c r="N46" s="27" t="str">
        <f t="shared" si="16"/>
        <v/>
      </c>
      <c r="O46" s="27" t="str">
        <f t="shared" si="16"/>
        <v/>
      </c>
      <c r="P46" s="27" t="str">
        <f t="shared" si="16"/>
        <v/>
      </c>
      <c r="Q46" s="27" t="str">
        <f t="shared" si="16"/>
        <v/>
      </c>
      <c r="R46" s="27" t="str">
        <f t="shared" si="16"/>
        <v/>
      </c>
    </row>
    <row r="47" spans="4:18" x14ac:dyDescent="0.25">
      <c r="D47" s="9"/>
      <c r="E47" s="9"/>
      <c r="F47" s="9"/>
      <c r="G47" s="9"/>
      <c r="H47" s="27"/>
      <c r="I47" s="27" t="str">
        <f t="shared" si="16"/>
        <v/>
      </c>
      <c r="J47" s="27" t="str">
        <f t="shared" si="16"/>
        <v/>
      </c>
      <c r="K47" s="27" t="str">
        <f t="shared" si="16"/>
        <v/>
      </c>
      <c r="L47" s="27" t="str">
        <f t="shared" si="16"/>
        <v/>
      </c>
      <c r="M47" s="27" t="str">
        <f t="shared" si="16"/>
        <v/>
      </c>
      <c r="N47" s="27" t="str">
        <f t="shared" si="16"/>
        <v/>
      </c>
      <c r="O47" s="27" t="str">
        <f t="shared" si="16"/>
        <v/>
      </c>
      <c r="P47" s="27" t="str">
        <f t="shared" si="16"/>
        <v/>
      </c>
      <c r="Q47" s="27" t="str">
        <f t="shared" si="16"/>
        <v/>
      </c>
      <c r="R47" s="27" t="str">
        <f t="shared" si="16"/>
        <v/>
      </c>
    </row>
    <row r="48" spans="4:18" x14ac:dyDescent="0.25">
      <c r="D48" s="9"/>
      <c r="E48" s="9"/>
      <c r="F48" s="9"/>
      <c r="G48" s="9"/>
      <c r="H48" s="27"/>
      <c r="I48" s="27" t="str">
        <f t="shared" si="16"/>
        <v/>
      </c>
      <c r="J48" s="27" t="str">
        <f t="shared" si="16"/>
        <v/>
      </c>
      <c r="K48" s="27" t="str">
        <f t="shared" si="16"/>
        <v/>
      </c>
      <c r="L48" s="27" t="str">
        <f t="shared" si="16"/>
        <v/>
      </c>
      <c r="M48" s="27" t="str">
        <f t="shared" si="16"/>
        <v/>
      </c>
      <c r="N48" s="27" t="str">
        <f t="shared" si="16"/>
        <v/>
      </c>
      <c r="O48" s="27" t="str">
        <f t="shared" si="16"/>
        <v/>
      </c>
      <c r="P48" s="27" t="str">
        <f t="shared" si="16"/>
        <v/>
      </c>
      <c r="Q48" s="27" t="str">
        <f t="shared" si="16"/>
        <v/>
      </c>
      <c r="R48" s="27" t="str">
        <f t="shared" si="16"/>
        <v/>
      </c>
    </row>
    <row r="49" spans="4:18" x14ac:dyDescent="0.25">
      <c r="D49" s="9"/>
      <c r="E49" s="9"/>
      <c r="F49" s="9"/>
      <c r="G49" s="9"/>
      <c r="H49" s="27"/>
      <c r="I49" s="27" t="str">
        <f t="shared" si="16"/>
        <v/>
      </c>
      <c r="J49" s="27" t="str">
        <f t="shared" si="16"/>
        <v/>
      </c>
      <c r="K49" s="27" t="str">
        <f t="shared" si="16"/>
        <v/>
      </c>
      <c r="L49" s="27" t="str">
        <f t="shared" si="16"/>
        <v/>
      </c>
      <c r="M49" s="27" t="str">
        <f t="shared" si="16"/>
        <v/>
      </c>
      <c r="N49" s="27" t="str">
        <f t="shared" si="16"/>
        <v/>
      </c>
      <c r="O49" s="27" t="str">
        <f t="shared" si="16"/>
        <v/>
      </c>
      <c r="P49" s="27" t="str">
        <f t="shared" si="16"/>
        <v/>
      </c>
      <c r="Q49" s="27" t="str">
        <f t="shared" si="16"/>
        <v/>
      </c>
      <c r="R49" s="27" t="str">
        <f t="shared" si="16"/>
        <v/>
      </c>
    </row>
    <row r="50" spans="4:18" ht="15.75" thickBot="1" x14ac:dyDescent="0.3">
      <c r="D50" s="10"/>
      <c r="E50" s="10"/>
      <c r="F50" s="10"/>
      <c r="G50" s="10"/>
      <c r="H50" s="44"/>
      <c r="I50" s="44" t="str">
        <f t="shared" si="16"/>
        <v/>
      </c>
      <c r="J50" s="44" t="str">
        <f t="shared" si="16"/>
        <v/>
      </c>
      <c r="K50" s="44" t="str">
        <f t="shared" si="16"/>
        <v/>
      </c>
      <c r="L50" s="44" t="str">
        <f t="shared" si="16"/>
        <v/>
      </c>
      <c r="M50" s="44" t="str">
        <f t="shared" si="16"/>
        <v/>
      </c>
      <c r="N50" s="44" t="str">
        <f t="shared" si="16"/>
        <v/>
      </c>
      <c r="O50" s="44" t="str">
        <f t="shared" si="16"/>
        <v/>
      </c>
      <c r="P50" s="44" t="str">
        <f t="shared" si="16"/>
        <v/>
      </c>
      <c r="Q50" s="44" t="str">
        <f t="shared" si="16"/>
        <v/>
      </c>
      <c r="R50" s="44" t="str">
        <f t="shared" si="16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F8" sqref="F8"/>
    </sheetView>
  </sheetViews>
  <sheetFormatPr baseColWidth="10" defaultColWidth="11.5703125" defaultRowHeight="15" x14ac:dyDescent="0.25"/>
  <cols>
    <col min="1" max="3" width="3.85546875" style="5" customWidth="1"/>
    <col min="4" max="8" width="15.85546875" style="5" customWidth="1"/>
    <col min="9" max="19" width="8.85546875" style="5" customWidth="1"/>
    <col min="20" max="16384" width="11.5703125" style="5"/>
  </cols>
  <sheetData>
    <row r="1" spans="2:19" s="3" customFormat="1" ht="24.95" customHeight="1" x14ac:dyDescent="0.25">
      <c r="B1" s="2" t="s">
        <v>134</v>
      </c>
    </row>
    <row r="3" spans="2:19" ht="15.75" thickBot="1" x14ac:dyDescent="0.3">
      <c r="D3" s="38" t="str">
        <f>JESA_UploadTable(B1,D4:S50,db)</f>
        <v>MINING opex &amp; specific consumptions @17:32:56</v>
      </c>
    </row>
    <row r="4" spans="2:19" ht="30" customHeight="1" thickBot="1" x14ac:dyDescent="0.3">
      <c r="D4" s="6" t="s">
        <v>30</v>
      </c>
      <c r="E4" s="6" t="s">
        <v>49</v>
      </c>
      <c r="F4" s="4" t="s">
        <v>270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25">
      <c r="D5" s="9" t="s">
        <v>3</v>
      </c>
      <c r="E5" s="9" t="s">
        <v>304</v>
      </c>
      <c r="F5" s="11">
        <v>4</v>
      </c>
      <c r="G5" s="9" t="s">
        <v>22</v>
      </c>
      <c r="H5" s="11" t="s">
        <v>133</v>
      </c>
      <c r="I5" s="17">
        <v>4.84</v>
      </c>
      <c r="J5" s="17">
        <f t="shared" ref="J5:J10" si="0">IF(I5="","",I5)</f>
        <v>4.84</v>
      </c>
      <c r="K5" s="17">
        <f t="shared" ref="K5:K10" si="1">IF(J5="","",J5)</f>
        <v>4.84</v>
      </c>
      <c r="L5" s="17">
        <f t="shared" ref="L5:L10" si="2">IF(K5="","",K5)</f>
        <v>4.84</v>
      </c>
      <c r="M5" s="17">
        <f t="shared" ref="M5:M10" si="3">IF(L5="","",L5)</f>
        <v>4.84</v>
      </c>
      <c r="N5" s="17">
        <f t="shared" ref="N5:N10" si="4">IF(M5="","",M5)</f>
        <v>4.84</v>
      </c>
      <c r="O5" s="17">
        <f t="shared" ref="O5:O10" si="5">IF(N5="","",N5)</f>
        <v>4.84</v>
      </c>
      <c r="P5" s="17">
        <f t="shared" ref="P5:P10" si="6">IF(O5="","",O5)</f>
        <v>4.84</v>
      </c>
      <c r="Q5" s="17">
        <f t="shared" ref="Q5:Q10" si="7">IF(P5="","",P5)</f>
        <v>4.84</v>
      </c>
      <c r="R5" s="17">
        <f t="shared" ref="R5:R10" si="8">IF(Q5="","",Q5)</f>
        <v>4.84</v>
      </c>
      <c r="S5" s="17">
        <f t="shared" ref="S5:S10" si="9">IF(R5="","",R5)</f>
        <v>4.84</v>
      </c>
    </row>
    <row r="6" spans="2:19" x14ac:dyDescent="0.25">
      <c r="D6" s="9" t="s">
        <v>354</v>
      </c>
      <c r="E6" s="9" t="s">
        <v>304</v>
      </c>
      <c r="F6" s="11">
        <v>2.77</v>
      </c>
      <c r="G6" s="9" t="s">
        <v>22</v>
      </c>
      <c r="H6" s="11" t="s">
        <v>133</v>
      </c>
      <c r="I6" s="18">
        <v>7.0849999999999991</v>
      </c>
      <c r="J6" s="18">
        <f t="shared" si="0"/>
        <v>7.0849999999999991</v>
      </c>
      <c r="K6" s="18">
        <f t="shared" si="1"/>
        <v>7.0849999999999991</v>
      </c>
      <c r="L6" s="18">
        <f t="shared" si="2"/>
        <v>7.0849999999999991</v>
      </c>
      <c r="M6" s="18">
        <f t="shared" si="3"/>
        <v>7.0849999999999991</v>
      </c>
      <c r="N6" s="18">
        <f t="shared" si="4"/>
        <v>7.0849999999999991</v>
      </c>
      <c r="O6" s="18">
        <f t="shared" si="5"/>
        <v>7.0849999999999991</v>
      </c>
      <c r="P6" s="18">
        <f t="shared" si="6"/>
        <v>7.0849999999999991</v>
      </c>
      <c r="Q6" s="18">
        <f t="shared" si="7"/>
        <v>7.0849999999999991</v>
      </c>
      <c r="R6" s="18">
        <f t="shared" si="8"/>
        <v>7.0849999999999991</v>
      </c>
      <c r="S6" s="18">
        <f t="shared" si="9"/>
        <v>7.0849999999999991</v>
      </c>
    </row>
    <row r="7" spans="2:19" x14ac:dyDescent="0.25">
      <c r="D7" s="9" t="s">
        <v>354</v>
      </c>
      <c r="E7" s="9" t="s">
        <v>304</v>
      </c>
      <c r="F7" s="11">
        <v>9</v>
      </c>
      <c r="G7" s="9" t="s">
        <v>22</v>
      </c>
      <c r="H7" s="11" t="s">
        <v>133</v>
      </c>
      <c r="I7" s="18">
        <v>6.4349999999999996</v>
      </c>
      <c r="J7" s="18">
        <f t="shared" si="0"/>
        <v>6.4349999999999996</v>
      </c>
      <c r="K7" s="18">
        <f t="shared" si="1"/>
        <v>6.4349999999999996</v>
      </c>
      <c r="L7" s="18">
        <f t="shared" si="2"/>
        <v>6.4349999999999996</v>
      </c>
      <c r="M7" s="18">
        <f t="shared" si="3"/>
        <v>6.4349999999999996</v>
      </c>
      <c r="N7" s="18">
        <f t="shared" si="4"/>
        <v>6.4349999999999996</v>
      </c>
      <c r="O7" s="18">
        <f t="shared" si="5"/>
        <v>6.4349999999999996</v>
      </c>
      <c r="P7" s="18">
        <f t="shared" si="6"/>
        <v>6.4349999999999996</v>
      </c>
      <c r="Q7" s="18">
        <f t="shared" si="7"/>
        <v>6.4349999999999996</v>
      </c>
      <c r="R7" s="18">
        <f t="shared" si="8"/>
        <v>6.4349999999999996</v>
      </c>
      <c r="S7" s="18">
        <f t="shared" si="9"/>
        <v>6.4349999999999996</v>
      </c>
    </row>
    <row r="8" spans="2:19" x14ac:dyDescent="0.25">
      <c r="D8" s="9" t="s">
        <v>6</v>
      </c>
      <c r="E8" s="9" t="s">
        <v>304</v>
      </c>
      <c r="F8" s="11">
        <v>4.5</v>
      </c>
      <c r="G8" s="9" t="s">
        <v>22</v>
      </c>
      <c r="H8" s="11" t="s">
        <v>133</v>
      </c>
      <c r="I8" s="18">
        <v>7.08</v>
      </c>
      <c r="J8" s="18">
        <f t="shared" si="0"/>
        <v>7.08</v>
      </c>
      <c r="K8" s="18">
        <f t="shared" si="1"/>
        <v>7.08</v>
      </c>
      <c r="L8" s="18">
        <f t="shared" si="2"/>
        <v>7.08</v>
      </c>
      <c r="M8" s="18">
        <f t="shared" si="3"/>
        <v>7.08</v>
      </c>
      <c r="N8" s="18">
        <f t="shared" si="4"/>
        <v>7.08</v>
      </c>
      <c r="O8" s="18">
        <f t="shared" si="5"/>
        <v>7.08</v>
      </c>
      <c r="P8" s="18">
        <f t="shared" si="6"/>
        <v>7.08</v>
      </c>
      <c r="Q8" s="18">
        <f t="shared" si="7"/>
        <v>7.08</v>
      </c>
      <c r="R8" s="18">
        <f t="shared" si="8"/>
        <v>7.08</v>
      </c>
      <c r="S8" s="18">
        <f t="shared" si="9"/>
        <v>7.08</v>
      </c>
    </row>
    <row r="9" spans="2:19" x14ac:dyDescent="0.25">
      <c r="D9" s="9" t="s">
        <v>10</v>
      </c>
      <c r="E9" s="9" t="s">
        <v>304</v>
      </c>
      <c r="F9" s="11">
        <v>5.5</v>
      </c>
      <c r="G9" s="9" t="s">
        <v>22</v>
      </c>
      <c r="H9" s="11" t="s">
        <v>133</v>
      </c>
      <c r="I9" s="18">
        <v>7.2799999999999994</v>
      </c>
      <c r="J9" s="18">
        <f t="shared" si="0"/>
        <v>7.2799999999999994</v>
      </c>
      <c r="K9" s="18">
        <f t="shared" si="1"/>
        <v>7.2799999999999994</v>
      </c>
      <c r="L9" s="18">
        <f t="shared" si="2"/>
        <v>7.2799999999999994</v>
      </c>
      <c r="M9" s="18">
        <f t="shared" si="3"/>
        <v>7.2799999999999994</v>
      </c>
      <c r="N9" s="18">
        <f t="shared" si="4"/>
        <v>7.2799999999999994</v>
      </c>
      <c r="O9" s="18">
        <f t="shared" si="5"/>
        <v>7.2799999999999994</v>
      </c>
      <c r="P9" s="18">
        <f t="shared" si="6"/>
        <v>7.2799999999999994</v>
      </c>
      <c r="Q9" s="18">
        <f t="shared" si="7"/>
        <v>7.2799999999999994</v>
      </c>
      <c r="R9" s="18">
        <f t="shared" si="8"/>
        <v>7.2799999999999994</v>
      </c>
      <c r="S9" s="18">
        <f t="shared" si="9"/>
        <v>7.2799999999999994</v>
      </c>
    </row>
    <row r="10" spans="2:19" x14ac:dyDescent="0.25">
      <c r="D10" s="9" t="s">
        <v>356</v>
      </c>
      <c r="E10" s="9" t="s">
        <v>304</v>
      </c>
      <c r="F10" s="11">
        <v>10</v>
      </c>
      <c r="G10" s="9" t="s">
        <v>22</v>
      </c>
      <c r="H10" s="11" t="s">
        <v>133</v>
      </c>
      <c r="I10" s="18">
        <v>4.7450000000000001</v>
      </c>
      <c r="J10" s="18">
        <f t="shared" si="0"/>
        <v>4.7450000000000001</v>
      </c>
      <c r="K10" s="18">
        <f t="shared" si="1"/>
        <v>4.7450000000000001</v>
      </c>
      <c r="L10" s="18">
        <f t="shared" si="2"/>
        <v>4.7450000000000001</v>
      </c>
      <c r="M10" s="18">
        <f t="shared" si="3"/>
        <v>4.7450000000000001</v>
      </c>
      <c r="N10" s="18">
        <f t="shared" si="4"/>
        <v>4.7450000000000001</v>
      </c>
      <c r="O10" s="18">
        <f t="shared" si="5"/>
        <v>4.7450000000000001</v>
      </c>
      <c r="P10" s="18">
        <f t="shared" si="6"/>
        <v>4.7450000000000001</v>
      </c>
      <c r="Q10" s="18">
        <f t="shared" si="7"/>
        <v>4.7450000000000001</v>
      </c>
      <c r="R10" s="18">
        <f t="shared" si="8"/>
        <v>4.7450000000000001</v>
      </c>
      <c r="S10" s="18">
        <f t="shared" si="9"/>
        <v>4.7450000000000001</v>
      </c>
    </row>
    <row r="11" spans="2:19" x14ac:dyDescent="0.25">
      <c r="D11" s="9"/>
      <c r="E11" s="9"/>
      <c r="F11" s="43"/>
      <c r="G11" s="9"/>
      <c r="H11" s="11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25">
      <c r="D12" s="9"/>
      <c r="E12" s="9"/>
      <c r="F12" s="43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25">
      <c r="D13" s="9"/>
      <c r="E13" s="9"/>
      <c r="F13" s="43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25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25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25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25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25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25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25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25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25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25">
      <c r="D23" s="9"/>
      <c r="E23" s="9"/>
      <c r="F23" s="43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25">
      <c r="D24" s="9"/>
      <c r="E24" s="9"/>
      <c r="F24" s="43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25">
      <c r="D25" s="9"/>
      <c r="E25" s="9"/>
      <c r="F25" s="43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25">
      <c r="D26" s="9"/>
      <c r="E26" s="9"/>
      <c r="F26" s="43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25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25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25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25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25">
      <c r="D31" s="9"/>
      <c r="E31" s="9"/>
      <c r="F31" s="11"/>
      <c r="G31" s="9"/>
      <c r="H31" s="11"/>
      <c r="I31" s="18"/>
      <c r="J31" s="18" t="str">
        <f t="shared" ref="J31:S31" si="10">IF(I31="","",I31)</f>
        <v/>
      </c>
      <c r="K31" s="18" t="str">
        <f t="shared" si="10"/>
        <v/>
      </c>
      <c r="L31" s="18" t="str">
        <f t="shared" si="10"/>
        <v/>
      </c>
      <c r="M31" s="18" t="str">
        <f t="shared" si="10"/>
        <v/>
      </c>
      <c r="N31" s="18" t="str">
        <f t="shared" si="10"/>
        <v/>
      </c>
      <c r="O31" s="18" t="str">
        <f t="shared" si="10"/>
        <v/>
      </c>
      <c r="P31" s="18" t="str">
        <f t="shared" si="10"/>
        <v/>
      </c>
      <c r="Q31" s="18" t="str">
        <f t="shared" si="10"/>
        <v/>
      </c>
      <c r="R31" s="18" t="str">
        <f t="shared" si="10"/>
        <v/>
      </c>
      <c r="S31" s="18" t="str">
        <f t="shared" si="10"/>
        <v/>
      </c>
    </row>
    <row r="32" spans="4:19" ht="15.75" thickBot="1" x14ac:dyDescent="0.3">
      <c r="D32" s="9"/>
      <c r="E32" s="9"/>
      <c r="F32" s="11"/>
      <c r="G32" s="9"/>
      <c r="H32" s="11"/>
      <c r="I32" s="18"/>
      <c r="J32" s="18" t="str">
        <f t="shared" ref="J32:S32" si="11">IF(I32="","",I32)</f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  <c r="R32" s="18" t="str">
        <f t="shared" si="11"/>
        <v/>
      </c>
      <c r="S32" s="18" t="str">
        <f t="shared" si="11"/>
        <v/>
      </c>
    </row>
    <row r="33" spans="4:19" x14ac:dyDescent="0.25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25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9"/>
      <c r="F39" s="11"/>
      <c r="G39" s="9"/>
      <c r="H39" s="11"/>
      <c r="I39" s="18"/>
      <c r="J39" s="18" t="str">
        <f t="shared" ref="J39:S39" si="12">IF(I39="","",I39)</f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  <c r="R39" s="18" t="str">
        <f t="shared" si="12"/>
        <v/>
      </c>
      <c r="S39" s="18" t="str">
        <f t="shared" si="12"/>
        <v/>
      </c>
    </row>
    <row r="40" spans="4:19" x14ac:dyDescent="0.25">
      <c r="D40" s="9"/>
      <c r="E40" s="9"/>
      <c r="F40" s="11"/>
      <c r="G40" s="9"/>
      <c r="H40" s="11"/>
      <c r="I40" s="18"/>
      <c r="J40" s="18" t="str">
        <f t="shared" ref="J40:S40" si="13">IF(I40="","",I40)</f>
        <v/>
      </c>
      <c r="K40" s="18" t="str">
        <f t="shared" si="13"/>
        <v/>
      </c>
      <c r="L40" s="18" t="str">
        <f t="shared" si="13"/>
        <v/>
      </c>
      <c r="M40" s="18" t="str">
        <f t="shared" si="13"/>
        <v/>
      </c>
      <c r="N40" s="18" t="str">
        <f t="shared" si="13"/>
        <v/>
      </c>
      <c r="O40" s="18" t="str">
        <f t="shared" si="13"/>
        <v/>
      </c>
      <c r="P40" s="18" t="str">
        <f t="shared" si="13"/>
        <v/>
      </c>
      <c r="Q40" s="18" t="str">
        <f t="shared" si="13"/>
        <v/>
      </c>
      <c r="R40" s="18" t="str">
        <f t="shared" si="13"/>
        <v/>
      </c>
      <c r="S40" s="18" t="str">
        <f t="shared" si="13"/>
        <v/>
      </c>
    </row>
    <row r="41" spans="4:19" x14ac:dyDescent="0.25">
      <c r="D41" s="9"/>
      <c r="E41" s="9"/>
      <c r="F41" s="11"/>
      <c r="G41" s="9"/>
      <c r="H41" s="11"/>
      <c r="I41" s="18"/>
      <c r="J41" s="18" t="str">
        <f t="shared" ref="J41:S41" si="14">IF(I41="","",I41)</f>
        <v/>
      </c>
      <c r="K41" s="18" t="str">
        <f t="shared" si="14"/>
        <v/>
      </c>
      <c r="L41" s="18" t="str">
        <f t="shared" si="14"/>
        <v/>
      </c>
      <c r="M41" s="18" t="str">
        <f t="shared" si="14"/>
        <v/>
      </c>
      <c r="N41" s="18" t="str">
        <f t="shared" si="14"/>
        <v/>
      </c>
      <c r="O41" s="18" t="str">
        <f t="shared" si="14"/>
        <v/>
      </c>
      <c r="P41" s="18" t="str">
        <f t="shared" si="14"/>
        <v/>
      </c>
      <c r="Q41" s="18" t="str">
        <f t="shared" si="14"/>
        <v/>
      </c>
      <c r="R41" s="18" t="str">
        <f t="shared" si="14"/>
        <v/>
      </c>
      <c r="S41" s="18" t="str">
        <f t="shared" si="14"/>
        <v/>
      </c>
    </row>
    <row r="42" spans="4:19" x14ac:dyDescent="0.25">
      <c r="D42" s="9"/>
      <c r="E42" s="9"/>
      <c r="F42" s="11"/>
      <c r="G42" s="9"/>
      <c r="H42" s="11"/>
      <c r="I42" s="18"/>
      <c r="J42" s="18" t="str">
        <f t="shared" ref="J42:S42" si="15">IF(I42="","",I42)</f>
        <v/>
      </c>
      <c r="K42" s="18" t="str">
        <f t="shared" si="15"/>
        <v/>
      </c>
      <c r="L42" s="18" t="str">
        <f t="shared" si="15"/>
        <v/>
      </c>
      <c r="M42" s="18" t="str">
        <f t="shared" si="15"/>
        <v/>
      </c>
      <c r="N42" s="18" t="str">
        <f t="shared" si="15"/>
        <v/>
      </c>
      <c r="O42" s="18" t="str">
        <f t="shared" si="15"/>
        <v/>
      </c>
      <c r="P42" s="18" t="str">
        <f t="shared" si="15"/>
        <v/>
      </c>
      <c r="Q42" s="18" t="str">
        <f t="shared" si="15"/>
        <v/>
      </c>
      <c r="R42" s="18" t="str">
        <f t="shared" si="15"/>
        <v/>
      </c>
      <c r="S42" s="18" t="str">
        <f t="shared" si="15"/>
        <v/>
      </c>
    </row>
    <row r="43" spans="4:19" x14ac:dyDescent="0.25">
      <c r="D43" s="9"/>
      <c r="E43" s="9"/>
      <c r="F43" s="11"/>
      <c r="G43" s="9"/>
      <c r="H43" s="11"/>
      <c r="I43" s="18"/>
      <c r="J43" s="18" t="str">
        <f t="shared" ref="J43:S43" si="16">IF(I43="","",I43)</f>
        <v/>
      </c>
      <c r="K43" s="18" t="str">
        <f t="shared" si="16"/>
        <v/>
      </c>
      <c r="L43" s="18" t="str">
        <f t="shared" si="16"/>
        <v/>
      </c>
      <c r="M43" s="18" t="str">
        <f t="shared" si="16"/>
        <v/>
      </c>
      <c r="N43" s="18" t="str">
        <f t="shared" si="16"/>
        <v/>
      </c>
      <c r="O43" s="18" t="str">
        <f t="shared" si="16"/>
        <v/>
      </c>
      <c r="P43" s="18" t="str">
        <f t="shared" si="16"/>
        <v/>
      </c>
      <c r="Q43" s="18" t="str">
        <f t="shared" si="16"/>
        <v/>
      </c>
      <c r="R43" s="18" t="str">
        <f t="shared" si="16"/>
        <v/>
      </c>
      <c r="S43" s="18" t="str">
        <f t="shared" si="16"/>
        <v/>
      </c>
    </row>
    <row r="44" spans="4:19" x14ac:dyDescent="0.25">
      <c r="D44" s="9"/>
      <c r="E44" s="9"/>
      <c r="F44" s="11"/>
      <c r="G44" s="9"/>
      <c r="H44" s="11"/>
      <c r="I44" s="18"/>
      <c r="J44" s="18" t="str">
        <f t="shared" ref="J44:S44" si="17">IF(I44="","",I44)</f>
        <v/>
      </c>
      <c r="K44" s="18" t="str">
        <f t="shared" si="17"/>
        <v/>
      </c>
      <c r="L44" s="18" t="str">
        <f t="shared" si="17"/>
        <v/>
      </c>
      <c r="M44" s="18" t="str">
        <f t="shared" si="17"/>
        <v/>
      </c>
      <c r="N44" s="18" t="str">
        <f t="shared" si="17"/>
        <v/>
      </c>
      <c r="O44" s="18" t="str">
        <f t="shared" si="17"/>
        <v/>
      </c>
      <c r="P44" s="18" t="str">
        <f t="shared" si="17"/>
        <v/>
      </c>
      <c r="Q44" s="18" t="str">
        <f t="shared" si="17"/>
        <v/>
      </c>
      <c r="R44" s="18" t="str">
        <f t="shared" si="17"/>
        <v/>
      </c>
      <c r="S44" s="18" t="str">
        <f t="shared" si="17"/>
        <v/>
      </c>
    </row>
    <row r="45" spans="4:19" x14ac:dyDescent="0.25">
      <c r="D45" s="9"/>
      <c r="E45" s="9"/>
      <c r="F45" s="11"/>
      <c r="G45" s="9"/>
      <c r="H45" s="11"/>
      <c r="I45" s="18"/>
      <c r="J45" s="18" t="str">
        <f t="shared" ref="J45:S45" si="18">IF(I45="","",I45)</f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  <c r="R45" s="18" t="str">
        <f t="shared" si="18"/>
        <v/>
      </c>
      <c r="S45" s="18" t="str">
        <f t="shared" si="18"/>
        <v/>
      </c>
    </row>
    <row r="46" spans="4:19" x14ac:dyDescent="0.25">
      <c r="D46" s="9"/>
      <c r="E46" s="9"/>
      <c r="F46" s="11"/>
      <c r="G46" s="9"/>
      <c r="H46" s="11"/>
      <c r="I46" s="18"/>
      <c r="J46" s="18" t="str">
        <f t="shared" ref="J46:S46" si="19">IF(I46="","",I46)</f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  <c r="R46" s="18" t="str">
        <f t="shared" si="19"/>
        <v/>
      </c>
      <c r="S46" s="18" t="str">
        <f t="shared" si="19"/>
        <v/>
      </c>
    </row>
    <row r="47" spans="4:19" x14ac:dyDescent="0.25">
      <c r="D47" s="9"/>
      <c r="E47" s="9"/>
      <c r="F47" s="11"/>
      <c r="G47" s="9"/>
      <c r="H47" s="11"/>
      <c r="I47" s="18"/>
      <c r="J47" s="18" t="str">
        <f t="shared" ref="J47:S47" si="20">IF(I47="","",I47)</f>
        <v/>
      </c>
      <c r="K47" s="18" t="str">
        <f t="shared" si="20"/>
        <v/>
      </c>
      <c r="L47" s="18" t="str">
        <f t="shared" si="20"/>
        <v/>
      </c>
      <c r="M47" s="18" t="str">
        <f t="shared" si="20"/>
        <v/>
      </c>
      <c r="N47" s="18" t="str">
        <f t="shared" si="20"/>
        <v/>
      </c>
      <c r="O47" s="18" t="str">
        <f t="shared" si="20"/>
        <v/>
      </c>
      <c r="P47" s="18" t="str">
        <f t="shared" si="20"/>
        <v/>
      </c>
      <c r="Q47" s="18" t="str">
        <f t="shared" si="20"/>
        <v/>
      </c>
      <c r="R47" s="18" t="str">
        <f t="shared" si="20"/>
        <v/>
      </c>
      <c r="S47" s="18" t="str">
        <f t="shared" si="20"/>
        <v/>
      </c>
    </row>
    <row r="48" spans="4:19" x14ac:dyDescent="0.25">
      <c r="D48" s="9"/>
      <c r="E48" s="9"/>
      <c r="F48" s="11"/>
      <c r="G48" s="9"/>
      <c r="H48" s="11"/>
      <c r="I48" s="18"/>
      <c r="J48" s="18" t="str">
        <f t="shared" ref="J48:S48" si="21">IF(I48="","",I48)</f>
        <v/>
      </c>
      <c r="K48" s="18" t="str">
        <f t="shared" si="21"/>
        <v/>
      </c>
      <c r="L48" s="18" t="str">
        <f t="shared" si="21"/>
        <v/>
      </c>
      <c r="M48" s="18" t="str">
        <f t="shared" si="21"/>
        <v/>
      </c>
      <c r="N48" s="18" t="str">
        <f t="shared" si="21"/>
        <v/>
      </c>
      <c r="O48" s="18" t="str">
        <f t="shared" si="21"/>
        <v/>
      </c>
      <c r="P48" s="18" t="str">
        <f t="shared" si="21"/>
        <v/>
      </c>
      <c r="Q48" s="18" t="str">
        <f t="shared" si="21"/>
        <v/>
      </c>
      <c r="R48" s="18" t="str">
        <f t="shared" si="21"/>
        <v/>
      </c>
      <c r="S48" s="18" t="str">
        <f t="shared" si="21"/>
        <v/>
      </c>
    </row>
    <row r="49" spans="4:19" x14ac:dyDescent="0.25">
      <c r="D49" s="9"/>
      <c r="E49" s="9"/>
      <c r="F49" s="11"/>
      <c r="G49" s="9"/>
      <c r="H49" s="11"/>
      <c r="I49" s="18"/>
      <c r="J49" s="18" t="str">
        <f t="shared" ref="J49:S49" si="22">IF(I49="","",I49)</f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  <c r="S49" s="18" t="str">
        <f t="shared" si="22"/>
        <v/>
      </c>
    </row>
    <row r="50" spans="4:19" ht="15.75" thickBot="1" x14ac:dyDescent="0.3">
      <c r="D50" s="10"/>
      <c r="E50" s="10"/>
      <c r="F50" s="12"/>
      <c r="G50" s="10"/>
      <c r="H50" s="10"/>
      <c r="I50" s="46"/>
      <c r="J50" s="46" t="str">
        <f t="shared" ref="J50:S50" si="23">IF(I50="","",I50)</f>
        <v/>
      </c>
      <c r="K50" s="46" t="str">
        <f t="shared" si="23"/>
        <v/>
      </c>
      <c r="L50" s="46" t="str">
        <f t="shared" si="23"/>
        <v/>
      </c>
      <c r="M50" s="46" t="str">
        <f t="shared" si="23"/>
        <v/>
      </c>
      <c r="N50" s="46" t="str">
        <f t="shared" si="23"/>
        <v/>
      </c>
      <c r="O50" s="46" t="str">
        <f t="shared" si="23"/>
        <v/>
      </c>
      <c r="P50" s="46" t="str">
        <f t="shared" si="23"/>
        <v/>
      </c>
      <c r="Q50" s="46" t="str">
        <f t="shared" si="23"/>
        <v/>
      </c>
      <c r="R50" s="46" t="str">
        <f t="shared" si="23"/>
        <v/>
      </c>
      <c r="S50" s="46" t="str">
        <f t="shared" si="2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8"/>
  <sheetViews>
    <sheetView zoomScaleNormal="100" workbookViewId="0">
      <selection activeCell="N15" sqref="N15"/>
    </sheetView>
  </sheetViews>
  <sheetFormatPr baseColWidth="10" defaultColWidth="11.5703125" defaultRowHeight="15" x14ac:dyDescent="0.25"/>
  <cols>
    <col min="1" max="3" width="3.85546875" style="5" customWidth="1"/>
    <col min="4" max="9" width="15.85546875" style="5" customWidth="1"/>
    <col min="10" max="20" width="8.85546875" style="5" customWidth="1"/>
    <col min="21" max="16384" width="11.5703125" style="5"/>
  </cols>
  <sheetData>
    <row r="1" spans="2:19" s="3" customFormat="1" ht="24.95" customHeight="1" x14ac:dyDescent="0.25">
      <c r="B1" s="2" t="s">
        <v>21</v>
      </c>
    </row>
    <row r="3" spans="2:19" ht="15.75" thickBot="1" x14ac:dyDescent="0.3">
      <c r="D3" s="38" t="str">
        <f>JESA_UploadTable(B1,D4:S48,db)</f>
        <v>MINING capex @17:32:55</v>
      </c>
    </row>
    <row r="4" spans="2:19" ht="30" customHeight="1" thickBot="1" x14ac:dyDescent="0.3">
      <c r="D4" s="6" t="s">
        <v>30</v>
      </c>
      <c r="E4" s="6" t="s">
        <v>49</v>
      </c>
      <c r="F4" s="4" t="s">
        <v>270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364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.75" thickBot="1" x14ac:dyDescent="0.3">
      <c r="D5" s="8" t="s">
        <v>3</v>
      </c>
      <c r="E5" s="8" t="s">
        <v>304</v>
      </c>
      <c r="F5" s="13">
        <v>4</v>
      </c>
      <c r="G5" s="8" t="s">
        <v>22</v>
      </c>
      <c r="H5" s="9" t="s">
        <v>377</v>
      </c>
      <c r="I5" s="108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.75" thickBot="1" x14ac:dyDescent="0.3">
      <c r="D6" s="9" t="s">
        <v>354</v>
      </c>
      <c r="E6" s="9" t="s">
        <v>304</v>
      </c>
      <c r="F6" s="11">
        <v>9</v>
      </c>
      <c r="G6" s="9" t="s">
        <v>22</v>
      </c>
      <c r="H6" s="9" t="s">
        <v>377</v>
      </c>
      <c r="I6" s="109">
        <v>281000000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.75" thickBot="1" x14ac:dyDescent="0.3">
      <c r="D7" s="9" t="s">
        <v>6</v>
      </c>
      <c r="E7" s="9" t="s">
        <v>304</v>
      </c>
      <c r="F7" s="11">
        <v>4.5</v>
      </c>
      <c r="G7" s="9" t="s">
        <v>22</v>
      </c>
      <c r="H7" s="9" t="s">
        <v>377</v>
      </c>
      <c r="I7" s="109">
        <v>138000000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.75" thickBot="1" x14ac:dyDescent="0.3">
      <c r="D8" s="9" t="s">
        <v>10</v>
      </c>
      <c r="E8" s="9" t="s">
        <v>304</v>
      </c>
      <c r="F8" s="11">
        <v>5.5</v>
      </c>
      <c r="G8" s="9" t="s">
        <v>22</v>
      </c>
      <c r="H8" s="9" t="s">
        <v>377</v>
      </c>
      <c r="I8" s="109">
        <v>40900000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x14ac:dyDescent="0.25">
      <c r="D9" s="9" t="s">
        <v>356</v>
      </c>
      <c r="E9" s="9" t="s">
        <v>304</v>
      </c>
      <c r="F9" s="11">
        <v>10</v>
      </c>
      <c r="G9" s="9" t="s">
        <v>22</v>
      </c>
      <c r="H9" s="9" t="s">
        <v>377</v>
      </c>
      <c r="I9" s="109">
        <v>232600000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x14ac:dyDescent="0.25">
      <c r="D10" s="9"/>
      <c r="E10" s="9"/>
      <c r="F10" s="11"/>
      <c r="G10" s="9"/>
      <c r="H10" s="9"/>
      <c r="I10" s="10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1"/>
      <c r="G11" s="9"/>
      <c r="H11" s="9"/>
      <c r="I11" s="10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1"/>
      <c r="G12" s="9"/>
      <c r="H12" s="9"/>
      <c r="I12" s="10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1"/>
      <c r="G13" s="9"/>
      <c r="H13" s="9"/>
      <c r="I13" s="10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1"/>
      <c r="G14" s="9"/>
      <c r="H14" s="9"/>
      <c r="I14" s="10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1"/>
      <c r="G15" s="9"/>
      <c r="H15" s="9"/>
      <c r="I15" s="10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1"/>
      <c r="G16" s="9"/>
      <c r="H16" s="9"/>
      <c r="I16" s="10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1"/>
      <c r="G17" s="9"/>
      <c r="H17" s="9"/>
      <c r="I17" s="10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1"/>
      <c r="G18" s="9"/>
      <c r="H18" s="9"/>
      <c r="I18" s="10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1"/>
      <c r="G19" s="9"/>
      <c r="H19" s="9"/>
      <c r="I19" s="10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1"/>
      <c r="G20" s="9"/>
      <c r="H20" s="9"/>
      <c r="I20" s="10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11"/>
      <c r="G21" s="9"/>
      <c r="H21" s="9"/>
      <c r="I21" s="10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11"/>
      <c r="G22" s="9"/>
      <c r="H22" s="9"/>
      <c r="I22" s="10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11"/>
      <c r="G23" s="9"/>
      <c r="H23" s="9"/>
      <c r="I23" s="10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11"/>
      <c r="G24" s="9"/>
      <c r="H24" s="9"/>
      <c r="I24" s="10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11"/>
      <c r="G25" s="9"/>
      <c r="H25" s="9"/>
      <c r="I25" s="10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11"/>
      <c r="G26" s="9"/>
      <c r="H26" s="9"/>
      <c r="I26" s="10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11"/>
      <c r="G27" s="9"/>
      <c r="H27" s="9"/>
      <c r="I27" s="10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11"/>
      <c r="G28" s="9"/>
      <c r="H28" s="9"/>
      <c r="I28" s="10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11"/>
      <c r="G29" s="9"/>
      <c r="H29" s="9"/>
      <c r="I29" s="10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11"/>
      <c r="G30" s="9"/>
      <c r="H30" s="9"/>
      <c r="I30" s="10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11"/>
      <c r="G31" s="9"/>
      <c r="H31" s="9"/>
      <c r="I31" s="10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11"/>
      <c r="G32" s="9"/>
      <c r="H32" s="9"/>
      <c r="I32" s="10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</sheetData>
  <dataValidations count="3">
    <dataValidation type="list" allowBlank="1" showInputMessage="1" showErrorMessage="1" sqref="H5:H48">
      <formula1>Currency</formula1>
    </dataValidation>
    <dataValidation type="list" allowBlank="1" showInputMessage="1" showErrorMessage="1" sqref="D5:D48">
      <formula1>MineName</formula1>
    </dataValidation>
    <dataValidation type="list" allowBlank="1" showInputMessage="1" showErrorMessage="1" sqref="E5:E48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G5:G48</xm:sqref>
        </x14:dataValidation>
        <x14:dataValidation type="list" allowBlank="1" showInputMessage="1" showErrorMessage="1">
          <x14:formula1>
            <xm:f>'MINING options'!$G$9:$G$46</xm:f>
          </x14:formula1>
          <xm:sqref>F5:F45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12" width="10.85546875" style="5" customWidth="1"/>
    <col min="13" max="19" width="9.85546875" style="5" customWidth="1"/>
    <col min="20" max="20" width="8.85546875" style="5" customWidth="1"/>
    <col min="21" max="16384" width="11.5703125" style="5"/>
  </cols>
  <sheetData>
    <row r="1" spans="2:19" s="62" customFormat="1" ht="24.95" customHeight="1" x14ac:dyDescent="0.25">
      <c r="B1" s="61" t="s">
        <v>360</v>
      </c>
    </row>
    <row r="3" spans="2:19" ht="15.75" thickBot="1" x14ac:dyDescent="0.3">
      <c r="D3" s="38" t="str">
        <f>JESA_UploadTable("mining_wp_connections",D4:L12,db)</f>
        <v>mining_wp_connections @17:32:55</v>
      </c>
    </row>
    <row r="4" spans="2:19" ht="30" customHeight="1" thickBot="1" x14ac:dyDescent="0.3">
      <c r="D4" s="133" t="s">
        <v>361</v>
      </c>
      <c r="E4" s="123" t="s">
        <v>9</v>
      </c>
      <c r="F4" s="124" t="s">
        <v>2</v>
      </c>
      <c r="G4" s="123" t="s">
        <v>3</v>
      </c>
      <c r="H4" s="124" t="s">
        <v>10</v>
      </c>
      <c r="I4" s="125" t="s">
        <v>4</v>
      </c>
      <c r="J4" s="125" t="s">
        <v>6</v>
      </c>
      <c r="K4" s="125" t="s">
        <v>26</v>
      </c>
      <c r="L4" s="125" t="s">
        <v>90</v>
      </c>
      <c r="M4" s="125"/>
      <c r="N4" s="125"/>
      <c r="O4" s="125"/>
      <c r="P4" s="125"/>
      <c r="Q4" s="125"/>
      <c r="R4" s="125"/>
      <c r="S4" s="125"/>
    </row>
    <row r="5" spans="2:19" ht="30" customHeight="1" thickBot="1" x14ac:dyDescent="0.3">
      <c r="D5" s="126" t="s">
        <v>90</v>
      </c>
      <c r="E5" s="127"/>
      <c r="F5" s="127"/>
      <c r="G5" s="127"/>
      <c r="H5" s="127"/>
      <c r="I5" s="127"/>
      <c r="J5" s="128"/>
      <c r="K5" s="128"/>
      <c r="L5" s="128">
        <v>1</v>
      </c>
      <c r="M5" s="128"/>
      <c r="N5" s="128"/>
      <c r="O5" s="128"/>
      <c r="P5" s="128"/>
      <c r="Q5" s="128"/>
      <c r="R5" s="128"/>
      <c r="S5" s="128"/>
    </row>
    <row r="6" spans="2:19" ht="30" customHeight="1" thickBot="1" x14ac:dyDescent="0.3">
      <c r="D6" s="126" t="s">
        <v>26</v>
      </c>
      <c r="E6" s="129"/>
      <c r="F6" s="129"/>
      <c r="G6" s="129"/>
      <c r="H6" s="129"/>
      <c r="I6" s="129"/>
      <c r="J6" s="130"/>
      <c r="K6" s="130">
        <v>1</v>
      </c>
      <c r="L6" s="130"/>
      <c r="M6" s="130"/>
      <c r="N6" s="130"/>
      <c r="O6" s="130"/>
      <c r="P6" s="130"/>
      <c r="Q6" s="130"/>
      <c r="R6" s="130"/>
      <c r="S6" s="130"/>
    </row>
    <row r="7" spans="2:19" ht="30" customHeight="1" thickBot="1" x14ac:dyDescent="0.3">
      <c r="D7" s="126" t="s">
        <v>6</v>
      </c>
      <c r="E7" s="129"/>
      <c r="F7" s="129"/>
      <c r="G7" s="129"/>
      <c r="H7" s="129"/>
      <c r="I7" s="129"/>
      <c r="J7" s="130">
        <v>1</v>
      </c>
      <c r="K7" s="130"/>
      <c r="L7" s="130"/>
      <c r="M7" s="130"/>
      <c r="N7" s="130"/>
      <c r="O7" s="130"/>
      <c r="P7" s="130"/>
      <c r="Q7" s="130"/>
      <c r="R7" s="130"/>
      <c r="S7" s="130"/>
    </row>
    <row r="8" spans="2:19" ht="30" customHeight="1" thickBot="1" x14ac:dyDescent="0.3">
      <c r="D8" s="126" t="s">
        <v>4</v>
      </c>
      <c r="E8" s="129"/>
      <c r="F8" s="129"/>
      <c r="G8" s="129"/>
      <c r="H8" s="129"/>
      <c r="I8" s="129">
        <v>1</v>
      </c>
      <c r="J8" s="130"/>
      <c r="K8" s="130"/>
      <c r="L8" s="130"/>
      <c r="M8" s="130"/>
      <c r="N8" s="130"/>
      <c r="O8" s="130"/>
      <c r="P8" s="130"/>
      <c r="Q8" s="130"/>
      <c r="R8" s="130"/>
      <c r="S8" s="130"/>
    </row>
    <row r="9" spans="2:19" ht="30" customHeight="1" thickBot="1" x14ac:dyDescent="0.3">
      <c r="D9" s="126" t="s">
        <v>10</v>
      </c>
      <c r="E9" s="129">
        <v>1</v>
      </c>
      <c r="F9" s="129"/>
      <c r="G9" s="129"/>
      <c r="H9" s="129">
        <v>1</v>
      </c>
      <c r="I9" s="129"/>
      <c r="J9" s="130"/>
      <c r="K9" s="130"/>
      <c r="L9" s="130"/>
      <c r="M9" s="130"/>
      <c r="N9" s="130"/>
      <c r="O9" s="130"/>
      <c r="P9" s="130"/>
      <c r="Q9" s="130"/>
      <c r="R9" s="130"/>
      <c r="S9" s="130"/>
    </row>
    <row r="10" spans="2:19" ht="30" customHeight="1" thickBot="1" x14ac:dyDescent="0.3">
      <c r="D10" s="126" t="s">
        <v>3</v>
      </c>
      <c r="E10" s="129"/>
      <c r="F10" s="129"/>
      <c r="G10" s="129"/>
      <c r="H10" s="129"/>
      <c r="I10" s="129"/>
      <c r="J10" s="130"/>
      <c r="K10" s="130"/>
      <c r="L10" s="130">
        <v>1</v>
      </c>
      <c r="M10" s="130"/>
      <c r="N10" s="130"/>
      <c r="O10" s="130"/>
      <c r="P10" s="130"/>
      <c r="Q10" s="130"/>
      <c r="R10" s="130"/>
      <c r="S10" s="130"/>
    </row>
    <row r="11" spans="2:19" ht="30" customHeight="1" thickBot="1" x14ac:dyDescent="0.3">
      <c r="D11" s="126" t="s">
        <v>2</v>
      </c>
      <c r="E11" s="129"/>
      <c r="F11" s="129">
        <v>1</v>
      </c>
      <c r="G11" s="129"/>
      <c r="H11" s="129"/>
      <c r="I11" s="129"/>
      <c r="J11" s="130"/>
      <c r="K11" s="130"/>
      <c r="L11" s="130">
        <v>1</v>
      </c>
      <c r="M11" s="130"/>
      <c r="N11" s="130"/>
      <c r="O11" s="130"/>
      <c r="P11" s="130"/>
      <c r="Q11" s="130"/>
      <c r="R11" s="130"/>
      <c r="S11" s="130"/>
    </row>
    <row r="12" spans="2:19" ht="30" customHeight="1" thickBot="1" x14ac:dyDescent="0.3">
      <c r="D12" s="126" t="s">
        <v>9</v>
      </c>
      <c r="E12" s="129">
        <v>1</v>
      </c>
      <c r="F12" s="129"/>
      <c r="G12" s="129"/>
      <c r="H12" s="129"/>
      <c r="I12" s="129"/>
      <c r="J12" s="130"/>
      <c r="K12" s="130"/>
      <c r="L12" s="130"/>
      <c r="M12" s="130"/>
      <c r="N12" s="130"/>
      <c r="O12" s="130"/>
      <c r="P12" s="130"/>
      <c r="Q12" s="130"/>
      <c r="R12" s="130"/>
      <c r="S12" s="130"/>
    </row>
    <row r="13" spans="2:19" ht="30" customHeight="1" thickBot="1" x14ac:dyDescent="0.3">
      <c r="D13" s="126"/>
      <c r="E13" s="129"/>
      <c r="F13" s="129"/>
      <c r="G13" s="129"/>
      <c r="H13" s="129"/>
      <c r="I13" s="129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2:19" ht="30" customHeight="1" thickBot="1" x14ac:dyDescent="0.3">
      <c r="D14" s="126"/>
      <c r="E14" s="129"/>
      <c r="F14" s="129"/>
      <c r="G14" s="129"/>
      <c r="H14" s="129"/>
      <c r="I14" s="129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2:19" ht="30" customHeight="1" thickBot="1" x14ac:dyDescent="0.3">
      <c r="D15" s="126"/>
      <c r="E15" s="129"/>
      <c r="F15" s="129"/>
      <c r="G15" s="129"/>
      <c r="H15" s="129"/>
      <c r="I15" s="129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2:19" ht="30" customHeight="1" thickBot="1" x14ac:dyDescent="0.3">
      <c r="D16" s="126"/>
      <c r="E16" s="129"/>
      <c r="F16" s="129"/>
      <c r="G16" s="129"/>
      <c r="H16" s="129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4:19" ht="30" customHeight="1" thickBot="1" x14ac:dyDescent="0.3">
      <c r="D17" s="126"/>
      <c r="E17" s="129"/>
      <c r="F17" s="129"/>
      <c r="G17" s="129"/>
      <c r="H17" s="129"/>
      <c r="I17" s="129"/>
      <c r="J17" s="130"/>
      <c r="K17" s="130"/>
      <c r="L17" s="130"/>
      <c r="M17" s="130"/>
      <c r="N17" s="130"/>
      <c r="O17" s="130"/>
      <c r="P17" s="130"/>
      <c r="Q17" s="130"/>
      <c r="R17" s="130"/>
      <c r="S17" s="130"/>
    </row>
    <row r="18" spans="4:19" ht="30" customHeight="1" thickBot="1" x14ac:dyDescent="0.3">
      <c r="D18" s="126"/>
      <c r="E18" s="129"/>
      <c r="F18" s="129"/>
      <c r="G18" s="129"/>
      <c r="H18" s="129"/>
      <c r="I18" s="129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4:19" ht="30" customHeight="1" thickBot="1" x14ac:dyDescent="0.3">
      <c r="D19" s="126"/>
      <c r="E19" s="131"/>
      <c r="F19" s="131"/>
      <c r="G19" s="131"/>
      <c r="H19" s="131"/>
      <c r="I19" s="131"/>
      <c r="J19" s="132"/>
      <c r="K19" s="132"/>
      <c r="L19" s="132"/>
      <c r="M19" s="132"/>
      <c r="N19" s="132"/>
      <c r="O19" s="132"/>
      <c r="P19" s="132"/>
      <c r="Q19" s="132"/>
      <c r="R19" s="132"/>
      <c r="S19" s="132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6384" width="11.5703125" style="1"/>
  </cols>
  <sheetData>
    <row r="1" spans="2:10" s="95" customFormat="1" ht="24.95" customHeight="1" x14ac:dyDescent="0.25">
      <c r="B1" s="94" t="s">
        <v>275</v>
      </c>
    </row>
    <row r="3" spans="2:10" ht="15.75" thickBot="1" x14ac:dyDescent="0.3">
      <c r="D3" s="38" t="str">
        <f>JESA_UploadTable(D4,D4:D40,db)</f>
        <v>Beneficiation/Name @17:32:55</v>
      </c>
      <c r="E3" s="38"/>
      <c r="F3" s="38" t="str">
        <f>JESA_UploadTable(F4,F4:F40,db)</f>
        <v>Beneficiation/Process @17:32:56</v>
      </c>
      <c r="G3" s="38"/>
      <c r="H3" s="38" t="str">
        <f>JESA_UploadTable(H4,H4:H40,db)</f>
        <v>Beneficiation/Quality @17:32:55</v>
      </c>
      <c r="I3" s="38"/>
      <c r="J3" s="38" t="str">
        <f>JESA_UploadTable(J4,J4:J40,db)</f>
        <v>Beneficiation/CAPEX @17:32:55</v>
      </c>
    </row>
    <row r="4" spans="2:10" ht="30" customHeight="1" thickBot="1" x14ac:dyDescent="0.3">
      <c r="D4" s="96" t="s">
        <v>276</v>
      </c>
      <c r="E4" s="31"/>
      <c r="F4" s="96" t="s">
        <v>277</v>
      </c>
      <c r="G4" s="31"/>
      <c r="H4" s="96" t="s">
        <v>278</v>
      </c>
      <c r="I4" s="31"/>
      <c r="J4" s="96" t="s">
        <v>279</v>
      </c>
    </row>
    <row r="5" spans="2:10" x14ac:dyDescent="0.25">
      <c r="D5" s="81" t="s">
        <v>298</v>
      </c>
      <c r="F5" s="81" t="s">
        <v>288</v>
      </c>
      <c r="H5" s="81" t="s">
        <v>280</v>
      </c>
      <c r="J5" s="81" t="s">
        <v>22</v>
      </c>
    </row>
    <row r="6" spans="2:10" x14ac:dyDescent="0.25">
      <c r="D6" s="82" t="s">
        <v>287</v>
      </c>
      <c r="F6" s="82" t="s">
        <v>289</v>
      </c>
      <c r="H6" s="82" t="s">
        <v>306</v>
      </c>
      <c r="J6" s="82"/>
    </row>
    <row r="7" spans="2:10" x14ac:dyDescent="0.25">
      <c r="D7" s="82" t="s">
        <v>290</v>
      </c>
      <c r="F7" s="82" t="s">
        <v>291</v>
      </c>
      <c r="H7" s="82" t="s">
        <v>292</v>
      </c>
      <c r="J7" s="82"/>
    </row>
    <row r="8" spans="2:10" x14ac:dyDescent="0.25">
      <c r="D8" s="82" t="s">
        <v>293</v>
      </c>
      <c r="F8" s="82" t="s">
        <v>294</v>
      </c>
      <c r="H8" s="82" t="s">
        <v>305</v>
      </c>
      <c r="J8" s="82"/>
    </row>
    <row r="9" spans="2:10" x14ac:dyDescent="0.25">
      <c r="D9" s="82" t="s">
        <v>295</v>
      </c>
      <c r="F9" s="82" t="s">
        <v>296</v>
      </c>
      <c r="H9" s="82"/>
      <c r="J9" s="82"/>
    </row>
    <row r="10" spans="2:10" x14ac:dyDescent="0.25">
      <c r="D10" s="82" t="s">
        <v>307</v>
      </c>
      <c r="F10" s="82" t="s">
        <v>297</v>
      </c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zoomScaleNormal="100" workbookViewId="0">
      <selection activeCell="G9" sqref="G9"/>
    </sheetView>
  </sheetViews>
  <sheetFormatPr baseColWidth="10" defaultColWidth="11.5703125" defaultRowHeight="15" x14ac:dyDescent="0.25"/>
  <cols>
    <col min="1" max="3" width="3.85546875" style="5" customWidth="1"/>
    <col min="4" max="4" width="15.85546875" style="5" customWidth="1"/>
    <col min="5" max="5" width="17.42578125" style="5" bestFit="1" customWidth="1"/>
    <col min="6" max="6" width="20.85546875" style="5" customWidth="1"/>
    <col min="7" max="11" width="15.85546875" style="5" customWidth="1"/>
    <col min="12" max="12" width="74.140625" style="5" bestFit="1" customWidth="1"/>
    <col min="13" max="16384" width="11.5703125" style="5"/>
  </cols>
  <sheetData>
    <row r="1" spans="2:12" s="95" customFormat="1" ht="24.95" customHeight="1" x14ac:dyDescent="0.25">
      <c r="B1" s="97" t="s">
        <v>281</v>
      </c>
      <c r="H1" s="98"/>
      <c r="I1" s="98"/>
      <c r="J1" s="98"/>
      <c r="K1" s="98"/>
    </row>
    <row r="3" spans="2:12" ht="15.75" thickBot="1" x14ac:dyDescent="0.3">
      <c r="D3" s="38" t="str">
        <f>JESA_UploadTable(B1,D4:L17,db)</f>
        <v>Beneficiation options @17:32:56</v>
      </c>
    </row>
    <row r="4" spans="2:12" ht="30" customHeight="1" thickBot="1" x14ac:dyDescent="0.3">
      <c r="D4" s="99" t="s">
        <v>8</v>
      </c>
      <c r="E4" s="99" t="s">
        <v>30</v>
      </c>
      <c r="F4" s="100" t="s">
        <v>25</v>
      </c>
      <c r="G4" s="100" t="s">
        <v>270</v>
      </c>
      <c r="H4" s="101" t="s">
        <v>17</v>
      </c>
      <c r="I4" s="101" t="s">
        <v>70</v>
      </c>
      <c r="J4" s="101" t="s">
        <v>144</v>
      </c>
      <c r="K4" s="101" t="s">
        <v>148</v>
      </c>
      <c r="L4" s="99" t="s">
        <v>149</v>
      </c>
    </row>
    <row r="5" spans="2:12" x14ac:dyDescent="0.25">
      <c r="D5" s="8" t="s">
        <v>90</v>
      </c>
      <c r="E5" s="8" t="s">
        <v>298</v>
      </c>
      <c r="F5" s="8" t="s">
        <v>298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25">
      <c r="D6" s="9" t="s">
        <v>9</v>
      </c>
      <c r="E6" s="9" t="s">
        <v>287</v>
      </c>
      <c r="F6" s="110" t="s">
        <v>287</v>
      </c>
      <c r="G6" s="18">
        <v>3</v>
      </c>
      <c r="H6" s="11" t="s">
        <v>139</v>
      </c>
      <c r="I6" s="11" t="s">
        <v>36</v>
      </c>
      <c r="J6" s="15">
        <v>2020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WP/3/Existing/2020/2050</v>
      </c>
    </row>
    <row r="7" spans="2:12" x14ac:dyDescent="0.25">
      <c r="D7" s="9" t="s">
        <v>9</v>
      </c>
      <c r="E7" s="9" t="s">
        <v>287</v>
      </c>
      <c r="F7" s="110" t="s">
        <v>287</v>
      </c>
      <c r="G7" s="18">
        <v>9</v>
      </c>
      <c r="H7" s="11" t="s">
        <v>139</v>
      </c>
      <c r="I7" s="11" t="s">
        <v>473</v>
      </c>
      <c r="J7" s="15">
        <v>2024</v>
      </c>
      <c r="K7" s="15">
        <v>2050</v>
      </c>
      <c r="L7" s="9" t="str">
        <f t="shared" si="0"/>
        <v>/WP/Benguerir/BG WP/BG WP/9/Extension/2024/2050</v>
      </c>
    </row>
    <row r="8" spans="2:12" x14ac:dyDescent="0.25">
      <c r="D8" s="9" t="s">
        <v>9</v>
      </c>
      <c r="E8" s="9" t="s">
        <v>287</v>
      </c>
      <c r="F8" s="110" t="s">
        <v>287</v>
      </c>
      <c r="G8" s="18">
        <v>14.5</v>
      </c>
      <c r="H8" s="11" t="s">
        <v>139</v>
      </c>
      <c r="I8" s="11" t="s">
        <v>473</v>
      </c>
      <c r="J8" s="15">
        <v>2024</v>
      </c>
      <c r="K8" s="15">
        <v>2050</v>
      </c>
      <c r="L8" s="9" t="str">
        <f t="shared" si="0"/>
        <v>/WP/Benguerir/BG WP/BG WP/14,5/Extension/2024/2050</v>
      </c>
    </row>
    <row r="9" spans="2:12" x14ac:dyDescent="0.25">
      <c r="D9" s="9" t="s">
        <v>6</v>
      </c>
      <c r="E9" s="9" t="s">
        <v>295</v>
      </c>
      <c r="F9" s="9" t="s">
        <v>295</v>
      </c>
      <c r="G9" s="18">
        <v>4.5</v>
      </c>
      <c r="H9" s="11" t="s">
        <v>139</v>
      </c>
      <c r="I9" s="9" t="s">
        <v>146</v>
      </c>
      <c r="J9" s="9">
        <v>2024</v>
      </c>
      <c r="K9" s="9">
        <v>2050</v>
      </c>
      <c r="L9" s="9" t="str">
        <f t="shared" si="0"/>
        <v>/WP/Louta/Louta WP/Louta WP/4,5/New/2024/2050</v>
      </c>
    </row>
    <row r="10" spans="2:12" x14ac:dyDescent="0.25">
      <c r="D10" s="9" t="s">
        <v>4</v>
      </c>
      <c r="E10" s="9" t="s">
        <v>293</v>
      </c>
      <c r="F10" s="9" t="s">
        <v>293</v>
      </c>
      <c r="G10" s="18">
        <v>10</v>
      </c>
      <c r="H10" s="11" t="s">
        <v>139</v>
      </c>
      <c r="I10" s="11" t="s">
        <v>146</v>
      </c>
      <c r="J10" s="15">
        <v>2024</v>
      </c>
      <c r="K10" s="15">
        <v>2050</v>
      </c>
      <c r="L10" s="9" t="str">
        <f t="shared" si="0"/>
        <v>/WP/Tassaout/Tassaout WP/Tassaout WP/10/New/2024/2050</v>
      </c>
    </row>
    <row r="11" spans="2:12" x14ac:dyDescent="0.25">
      <c r="D11" s="9"/>
      <c r="E11" s="9"/>
      <c r="F11" s="9"/>
      <c r="G11" s="18"/>
      <c r="H11" s="11"/>
      <c r="I11" s="11"/>
      <c r="J11" s="15"/>
      <c r="K11" s="15"/>
      <c r="L11" s="9" t="str">
        <f t="shared" si="0"/>
        <v/>
      </c>
    </row>
    <row r="12" spans="2:12" x14ac:dyDescent="0.25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25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25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.75" thickBot="1" x14ac:dyDescent="0.3">
      <c r="D17" s="10"/>
      <c r="E17" s="10"/>
      <c r="F17" s="10"/>
      <c r="G17" s="46"/>
      <c r="H17" s="12"/>
      <c r="I17" s="12"/>
      <c r="J17" s="16"/>
      <c r="K17" s="16"/>
      <c r="L17" s="10" t="str">
        <f t="shared" si="0"/>
        <v/>
      </c>
    </row>
  </sheetData>
  <dataValidations count="7"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  <dataValidation type="list" allowBlank="1" showInputMessage="1" showErrorMessage="1" sqref="I5:I17">
      <formula1>"New,Extension,Existing"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F26" sqref="F2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6" width="15.85546875" style="5" customWidth="1"/>
    <col min="7" max="7" width="10.5703125" style="5" customWidth="1"/>
    <col min="8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282</v>
      </c>
    </row>
    <row r="2" spans="2:19" x14ac:dyDescent="0.25">
      <c r="G2" s="103"/>
    </row>
    <row r="3" spans="2:19" ht="15.75" thickBot="1" x14ac:dyDescent="0.3">
      <c r="D3" s="38" t="str">
        <f>JESA_UploadTable(B1,D4:S50,db)</f>
        <v>Beneficiation production @17:32:56</v>
      </c>
    </row>
    <row r="4" spans="2:19" ht="30" customHeight="1" thickBot="1" x14ac:dyDescent="0.3">
      <c r="D4" s="100" t="s">
        <v>25</v>
      </c>
      <c r="E4" s="100" t="s">
        <v>283</v>
      </c>
      <c r="F4" s="99" t="s">
        <v>284</v>
      </c>
      <c r="G4" s="99" t="s">
        <v>299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x14ac:dyDescent="0.25">
      <c r="D5" s="8" t="s">
        <v>298</v>
      </c>
      <c r="E5" s="8" t="s">
        <v>20</v>
      </c>
      <c r="F5" s="8" t="s">
        <v>292</v>
      </c>
      <c r="G5" s="8" t="s">
        <v>300</v>
      </c>
      <c r="H5" s="8" t="s">
        <v>147</v>
      </c>
      <c r="I5" s="113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25">
      <c r="D6" s="9" t="s">
        <v>298</v>
      </c>
      <c r="E6" s="9" t="s">
        <v>19</v>
      </c>
      <c r="F6" s="9" t="s">
        <v>292</v>
      </c>
      <c r="G6" s="9" t="s">
        <v>300</v>
      </c>
      <c r="H6" s="9" t="s">
        <v>147</v>
      </c>
      <c r="I6" s="111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25">
      <c r="D7" s="9" t="s">
        <v>298</v>
      </c>
      <c r="E7" s="9" t="s">
        <v>18</v>
      </c>
      <c r="F7" s="9" t="s">
        <v>292</v>
      </c>
      <c r="G7" s="9" t="s">
        <v>300</v>
      </c>
      <c r="H7" s="9" t="s">
        <v>147</v>
      </c>
      <c r="I7" s="111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25">
      <c r="D8" s="9" t="s">
        <v>298</v>
      </c>
      <c r="E8" s="9" t="s">
        <v>305</v>
      </c>
      <c r="F8" s="9" t="s">
        <v>292</v>
      </c>
      <c r="G8" s="9" t="s">
        <v>300</v>
      </c>
      <c r="H8" s="9" t="s">
        <v>147</v>
      </c>
      <c r="I8" s="111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25">
      <c r="D9" s="9" t="s">
        <v>287</v>
      </c>
      <c r="E9" s="9" t="s">
        <v>20</v>
      </c>
      <c r="F9" s="9" t="s">
        <v>292</v>
      </c>
      <c r="G9" s="9" t="s">
        <v>300</v>
      </c>
      <c r="H9" s="9" t="s">
        <v>147</v>
      </c>
      <c r="I9" s="111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25">
      <c r="D10" s="9" t="s">
        <v>287</v>
      </c>
      <c r="E10" s="9" t="s">
        <v>19</v>
      </c>
      <c r="F10" s="9" t="s">
        <v>292</v>
      </c>
      <c r="G10" s="9" t="s">
        <v>300</v>
      </c>
      <c r="H10" s="9" t="s">
        <v>147</v>
      </c>
      <c r="I10" s="111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25">
      <c r="D11" s="9" t="s">
        <v>287</v>
      </c>
      <c r="E11" s="9" t="s">
        <v>18</v>
      </c>
      <c r="F11" s="9" t="s">
        <v>292</v>
      </c>
      <c r="G11" s="9" t="s">
        <v>300</v>
      </c>
      <c r="H11" s="9" t="s">
        <v>147</v>
      </c>
      <c r="I11" s="111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25">
      <c r="D12" s="9" t="s">
        <v>287</v>
      </c>
      <c r="E12" s="9" t="s">
        <v>305</v>
      </c>
      <c r="F12" s="9" t="s">
        <v>292</v>
      </c>
      <c r="G12" s="9" t="s">
        <v>300</v>
      </c>
      <c r="H12" s="9" t="s">
        <v>147</v>
      </c>
      <c r="I12" s="111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25">
      <c r="D13" s="9" t="s">
        <v>290</v>
      </c>
      <c r="E13" s="9" t="s">
        <v>20</v>
      </c>
      <c r="F13" s="9" t="s">
        <v>292</v>
      </c>
      <c r="G13" s="9" t="s">
        <v>300</v>
      </c>
      <c r="H13" s="9" t="s">
        <v>147</v>
      </c>
      <c r="I13" s="111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25">
      <c r="D14" s="9" t="s">
        <v>290</v>
      </c>
      <c r="E14" s="9" t="s">
        <v>19</v>
      </c>
      <c r="F14" s="9" t="s">
        <v>292</v>
      </c>
      <c r="G14" s="9" t="s">
        <v>300</v>
      </c>
      <c r="H14" s="9" t="s">
        <v>147</v>
      </c>
      <c r="I14" s="111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25">
      <c r="D15" s="9" t="s">
        <v>290</v>
      </c>
      <c r="E15" s="9" t="s">
        <v>18</v>
      </c>
      <c r="F15" s="9" t="s">
        <v>292</v>
      </c>
      <c r="G15" s="9" t="s">
        <v>300</v>
      </c>
      <c r="H15" s="9" t="s">
        <v>147</v>
      </c>
      <c r="I15" s="111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25">
      <c r="D16" s="9" t="s">
        <v>290</v>
      </c>
      <c r="E16" s="9" t="s">
        <v>305</v>
      </c>
      <c r="F16" s="9" t="s">
        <v>292</v>
      </c>
      <c r="G16" s="9" t="s">
        <v>300</v>
      </c>
      <c r="H16" s="9" t="s">
        <v>147</v>
      </c>
      <c r="I16" s="111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25">
      <c r="D17" s="9" t="s">
        <v>293</v>
      </c>
      <c r="E17" s="9" t="s">
        <v>20</v>
      </c>
      <c r="F17" s="9" t="s">
        <v>292</v>
      </c>
      <c r="G17" s="9" t="s">
        <v>300</v>
      </c>
      <c r="H17" s="9" t="s">
        <v>147</v>
      </c>
      <c r="I17" s="111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25">
      <c r="D18" s="9" t="s">
        <v>293</v>
      </c>
      <c r="E18" s="9" t="s">
        <v>19</v>
      </c>
      <c r="F18" s="9" t="s">
        <v>292</v>
      </c>
      <c r="G18" s="9" t="s">
        <v>300</v>
      </c>
      <c r="H18" s="9" t="s">
        <v>147</v>
      </c>
      <c r="I18" s="111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25">
      <c r="D19" s="9" t="s">
        <v>293</v>
      </c>
      <c r="E19" s="9" t="s">
        <v>18</v>
      </c>
      <c r="F19" s="9" t="s">
        <v>292</v>
      </c>
      <c r="G19" s="9" t="s">
        <v>300</v>
      </c>
      <c r="H19" s="9" t="s">
        <v>147</v>
      </c>
      <c r="I19" s="111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25">
      <c r="D20" s="9" t="s">
        <v>293</v>
      </c>
      <c r="E20" s="9" t="s">
        <v>305</v>
      </c>
      <c r="F20" s="9" t="s">
        <v>292</v>
      </c>
      <c r="G20" s="9" t="s">
        <v>300</v>
      </c>
      <c r="H20" s="9" t="s">
        <v>147</v>
      </c>
      <c r="I20" s="111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25">
      <c r="D21" s="9" t="s">
        <v>295</v>
      </c>
      <c r="E21" s="9" t="s">
        <v>20</v>
      </c>
      <c r="F21" s="9" t="s">
        <v>292</v>
      </c>
      <c r="G21" s="9" t="s">
        <v>300</v>
      </c>
      <c r="H21" s="9" t="s">
        <v>147</v>
      </c>
      <c r="I21" s="111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25">
      <c r="D22" s="9" t="s">
        <v>295</v>
      </c>
      <c r="E22" s="9" t="s">
        <v>19</v>
      </c>
      <c r="F22" s="9" t="s">
        <v>292</v>
      </c>
      <c r="G22" s="9" t="s">
        <v>300</v>
      </c>
      <c r="H22" s="9" t="s">
        <v>147</v>
      </c>
      <c r="I22" s="111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25">
      <c r="D23" s="9" t="s">
        <v>295</v>
      </c>
      <c r="E23" s="9" t="s">
        <v>18</v>
      </c>
      <c r="F23" s="9" t="s">
        <v>292</v>
      </c>
      <c r="G23" s="9" t="s">
        <v>300</v>
      </c>
      <c r="H23" s="9" t="s">
        <v>147</v>
      </c>
      <c r="I23" s="111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25">
      <c r="D24" s="9" t="s">
        <v>295</v>
      </c>
      <c r="E24" s="9" t="s">
        <v>305</v>
      </c>
      <c r="F24" s="9" t="s">
        <v>292</v>
      </c>
      <c r="G24" s="9" t="s">
        <v>300</v>
      </c>
      <c r="H24" s="9" t="s">
        <v>147</v>
      </c>
      <c r="I24" s="111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.75" thickBot="1" x14ac:dyDescent="0.3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285</v>
      </c>
    </row>
    <row r="3" spans="2:19" ht="15.75" thickBot="1" x14ac:dyDescent="0.3">
      <c r="D3" s="38" t="str">
        <f>JESA_UploadTable(B1,D4:S70,db)</f>
        <v>Beneficiation opex &amp; specific consumptions @17:32:56</v>
      </c>
    </row>
    <row r="4" spans="2:19" ht="30" customHeight="1" thickBot="1" x14ac:dyDescent="0.3">
      <c r="D4" s="100" t="s">
        <v>25</v>
      </c>
      <c r="E4" s="100" t="s">
        <v>283</v>
      </c>
      <c r="F4" s="99" t="s">
        <v>284</v>
      </c>
      <c r="G4" s="99" t="s">
        <v>12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x14ac:dyDescent="0.25">
      <c r="D5" s="8" t="s">
        <v>298</v>
      </c>
      <c r="E5" s="8" t="s">
        <v>20</v>
      </c>
      <c r="F5" s="8" t="s">
        <v>292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x14ac:dyDescent="0.25">
      <c r="D6" s="9" t="s">
        <v>298</v>
      </c>
      <c r="E6" s="9" t="s">
        <v>305</v>
      </c>
      <c r="F6" s="9" t="s">
        <v>292</v>
      </c>
      <c r="G6" s="9" t="s">
        <v>22</v>
      </c>
      <c r="H6" s="9" t="s">
        <v>133</v>
      </c>
      <c r="I6" s="18">
        <v>5</v>
      </c>
      <c r="J6" s="18">
        <v>5</v>
      </c>
      <c r="K6" s="18">
        <v>5</v>
      </c>
      <c r="L6" s="18">
        <v>5</v>
      </c>
      <c r="M6" s="18">
        <v>5</v>
      </c>
      <c r="N6" s="18">
        <v>5</v>
      </c>
      <c r="O6" s="18">
        <v>5</v>
      </c>
      <c r="P6" s="18">
        <v>5</v>
      </c>
      <c r="Q6" s="18">
        <v>5</v>
      </c>
      <c r="R6" s="18">
        <v>5</v>
      </c>
      <c r="S6" s="18">
        <v>5</v>
      </c>
    </row>
    <row r="7" spans="2:19" x14ac:dyDescent="0.25">
      <c r="D7" s="9" t="s">
        <v>287</v>
      </c>
      <c r="E7" s="9" t="s">
        <v>20</v>
      </c>
      <c r="F7" s="9" t="s">
        <v>292</v>
      </c>
      <c r="G7" s="9" t="s">
        <v>22</v>
      </c>
      <c r="H7" s="9" t="s">
        <v>133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>
        <v>5</v>
      </c>
      <c r="Q7" s="18">
        <v>5</v>
      </c>
      <c r="R7" s="18">
        <v>5</v>
      </c>
      <c r="S7" s="18">
        <v>5</v>
      </c>
    </row>
    <row r="8" spans="2:19" x14ac:dyDescent="0.25">
      <c r="D8" s="9" t="s">
        <v>287</v>
      </c>
      <c r="E8" s="9" t="s">
        <v>19</v>
      </c>
      <c r="F8" s="9" t="s">
        <v>292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x14ac:dyDescent="0.25">
      <c r="D9" s="9" t="s">
        <v>287</v>
      </c>
      <c r="E9" s="9" t="s">
        <v>305</v>
      </c>
      <c r="F9" s="9" t="s">
        <v>292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x14ac:dyDescent="0.25">
      <c r="D10" s="9" t="s">
        <v>290</v>
      </c>
      <c r="E10" s="9" t="s">
        <v>20</v>
      </c>
      <c r="F10" s="9" t="s">
        <v>292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25">
      <c r="D11" s="9" t="s">
        <v>290</v>
      </c>
      <c r="E11" s="9" t="s">
        <v>305</v>
      </c>
      <c r="F11" s="9" t="s">
        <v>292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x14ac:dyDescent="0.25">
      <c r="D12" s="9" t="s">
        <v>290</v>
      </c>
      <c r="E12" s="9" t="s">
        <v>18</v>
      </c>
      <c r="F12" s="9" t="s">
        <v>292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x14ac:dyDescent="0.25">
      <c r="D13" s="9" t="s">
        <v>293</v>
      </c>
      <c r="E13" s="9" t="s">
        <v>20</v>
      </c>
      <c r="F13" s="9" t="s">
        <v>292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x14ac:dyDescent="0.25">
      <c r="D14" s="9" t="s">
        <v>293</v>
      </c>
      <c r="E14" s="9" t="s">
        <v>19</v>
      </c>
      <c r="F14" s="9" t="s">
        <v>292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25">
      <c r="D15" s="9" t="s">
        <v>293</v>
      </c>
      <c r="E15" s="9" t="s">
        <v>305</v>
      </c>
      <c r="F15" s="9" t="s">
        <v>292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x14ac:dyDescent="0.25">
      <c r="D16" s="9" t="s">
        <v>295</v>
      </c>
      <c r="E16" s="9" t="s">
        <v>20</v>
      </c>
      <c r="F16" s="9" t="s">
        <v>292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x14ac:dyDescent="0.25">
      <c r="D17" s="9" t="s">
        <v>295</v>
      </c>
      <c r="E17" s="9" t="s">
        <v>19</v>
      </c>
      <c r="F17" s="9" t="s">
        <v>292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x14ac:dyDescent="0.25">
      <c r="D18" s="9" t="s">
        <v>295</v>
      </c>
      <c r="E18" s="9" t="s">
        <v>305</v>
      </c>
      <c r="F18" s="9" t="s">
        <v>292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25">
      <c r="D19" s="9"/>
      <c r="E19" s="9"/>
      <c r="F19" s="9"/>
      <c r="G19" s="9"/>
      <c r="H19" s="9"/>
      <c r="I19" s="18"/>
      <c r="J19" s="18" t="str">
        <f t="shared" ref="J19:S19" si="1">IF(I19="","",I19)</f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  <c r="S19" s="18" t="str">
        <f t="shared" si="1"/>
        <v/>
      </c>
    </row>
    <row r="20" spans="4:19" x14ac:dyDescent="0.25">
      <c r="D20" s="9"/>
      <c r="E20" s="9"/>
      <c r="F20" s="9"/>
      <c r="G20" s="9"/>
      <c r="H20" s="9"/>
      <c r="I20" s="18"/>
      <c r="J20" s="18" t="str">
        <f t="shared" ref="J20:S20" si="2">IF(I20="","",I20)</f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  <c r="R20" s="18" t="str">
        <f t="shared" si="2"/>
        <v/>
      </c>
      <c r="S20" s="18" t="str">
        <f t="shared" si="2"/>
        <v/>
      </c>
    </row>
    <row r="21" spans="4:19" x14ac:dyDescent="0.25">
      <c r="D21" s="9"/>
      <c r="E21" s="9"/>
      <c r="F21" s="9"/>
      <c r="G21" s="9"/>
      <c r="H21" s="9"/>
      <c r="I21" s="18"/>
      <c r="J21" s="18" t="str">
        <f t="shared" ref="J21:S21" si="3">IF(I21="","",I21)</f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  <c r="R21" s="18" t="str">
        <f t="shared" si="3"/>
        <v/>
      </c>
      <c r="S21" s="18" t="str">
        <f t="shared" si="3"/>
        <v/>
      </c>
    </row>
    <row r="22" spans="4:19" x14ac:dyDescent="0.25">
      <c r="D22" s="9"/>
      <c r="E22" s="9"/>
      <c r="F22" s="9"/>
      <c r="G22" s="9"/>
      <c r="H22" s="9"/>
      <c r="I22" s="18"/>
      <c r="J22" s="18" t="str">
        <f t="shared" ref="J22:S22" si="4">IF(I22="","",I22)</f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</row>
    <row r="23" spans="4:19" x14ac:dyDescent="0.25">
      <c r="D23" s="9"/>
      <c r="E23" s="9"/>
      <c r="F23" s="9"/>
      <c r="G23" s="9"/>
      <c r="H23" s="9"/>
      <c r="I23" s="18"/>
      <c r="J23" s="18" t="str">
        <f t="shared" ref="J23:S23" si="5">IF(I23="","",I23)</f>
        <v/>
      </c>
      <c r="K23" s="18" t="str">
        <f t="shared" si="5"/>
        <v/>
      </c>
      <c r="L23" s="18" t="str">
        <f t="shared" si="5"/>
        <v/>
      </c>
      <c r="M23" s="18" t="str">
        <f t="shared" si="5"/>
        <v/>
      </c>
      <c r="N23" s="18" t="str">
        <f t="shared" si="5"/>
        <v/>
      </c>
      <c r="O23" s="18" t="str">
        <f t="shared" si="5"/>
        <v/>
      </c>
      <c r="P23" s="18" t="str">
        <f t="shared" si="5"/>
        <v/>
      </c>
      <c r="Q23" s="18" t="str">
        <f t="shared" si="5"/>
        <v/>
      </c>
      <c r="R23" s="18" t="str">
        <f t="shared" si="5"/>
        <v/>
      </c>
      <c r="S23" s="18" t="str">
        <f t="shared" si="5"/>
        <v/>
      </c>
    </row>
    <row r="24" spans="4:19" x14ac:dyDescent="0.25">
      <c r="D24" s="9"/>
      <c r="E24" s="9"/>
      <c r="F24" s="9"/>
      <c r="G24" s="9"/>
      <c r="H24" s="9"/>
      <c r="I24" s="18"/>
      <c r="J24" s="18" t="str">
        <f t="shared" ref="J24:S24" si="6">IF(I24="","",I24)</f>
        <v/>
      </c>
      <c r="K24" s="18" t="str">
        <f t="shared" si="6"/>
        <v/>
      </c>
      <c r="L24" s="18" t="str">
        <f t="shared" si="6"/>
        <v/>
      </c>
      <c r="M24" s="18" t="str">
        <f t="shared" si="6"/>
        <v/>
      </c>
      <c r="N24" s="18" t="str">
        <f t="shared" si="6"/>
        <v/>
      </c>
      <c r="O24" s="18" t="str">
        <f t="shared" si="6"/>
        <v/>
      </c>
      <c r="P24" s="18" t="str">
        <f t="shared" si="6"/>
        <v/>
      </c>
      <c r="Q24" s="18" t="str">
        <f t="shared" si="6"/>
        <v/>
      </c>
      <c r="R24" s="18" t="str">
        <f t="shared" si="6"/>
        <v/>
      </c>
      <c r="S24" s="18" t="str">
        <f t="shared" si="6"/>
        <v/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7">IF(I25="","",I25)</f>
        <v/>
      </c>
      <c r="K25" s="18" t="str">
        <f t="shared" si="7"/>
        <v/>
      </c>
      <c r="L25" s="18" t="str">
        <f t="shared" si="7"/>
        <v/>
      </c>
      <c r="M25" s="18" t="str">
        <f t="shared" si="7"/>
        <v/>
      </c>
      <c r="N25" s="18" t="str">
        <f t="shared" si="7"/>
        <v/>
      </c>
      <c r="O25" s="18" t="str">
        <f t="shared" si="7"/>
        <v/>
      </c>
      <c r="P25" s="18" t="str">
        <f t="shared" si="7"/>
        <v/>
      </c>
      <c r="Q25" s="18" t="str">
        <f t="shared" si="7"/>
        <v/>
      </c>
      <c r="R25" s="18" t="str">
        <f t="shared" si="7"/>
        <v/>
      </c>
      <c r="S25" s="18" t="str">
        <f t="shared" si="7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8">IF(I26="","",I26)</f>
        <v/>
      </c>
      <c r="K26" s="18" t="str">
        <f t="shared" si="8"/>
        <v/>
      </c>
      <c r="L26" s="18" t="str">
        <f t="shared" si="8"/>
        <v/>
      </c>
      <c r="M26" s="18" t="str">
        <f t="shared" si="8"/>
        <v/>
      </c>
      <c r="N26" s="18" t="str">
        <f t="shared" si="8"/>
        <v/>
      </c>
      <c r="O26" s="18" t="str">
        <f t="shared" si="8"/>
        <v/>
      </c>
      <c r="P26" s="18" t="str">
        <f t="shared" si="8"/>
        <v/>
      </c>
      <c r="Q26" s="18" t="str">
        <f t="shared" si="8"/>
        <v/>
      </c>
      <c r="R26" s="18" t="str">
        <f t="shared" si="8"/>
        <v/>
      </c>
      <c r="S26" s="18" t="str">
        <f t="shared" si="8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9">IF(I27="","",I27)</f>
        <v/>
      </c>
      <c r="K27" s="18" t="str">
        <f t="shared" si="9"/>
        <v/>
      </c>
      <c r="L27" s="18" t="str">
        <f t="shared" si="9"/>
        <v/>
      </c>
      <c r="M27" s="18" t="str">
        <f t="shared" si="9"/>
        <v/>
      </c>
      <c r="N27" s="18" t="str">
        <f t="shared" si="9"/>
        <v/>
      </c>
      <c r="O27" s="18" t="str">
        <f t="shared" si="9"/>
        <v/>
      </c>
      <c r="P27" s="18" t="str">
        <f t="shared" si="9"/>
        <v/>
      </c>
      <c r="Q27" s="18" t="str">
        <f t="shared" si="9"/>
        <v/>
      </c>
      <c r="R27" s="18" t="str">
        <f t="shared" si="9"/>
        <v/>
      </c>
      <c r="S27" s="18" t="str">
        <f t="shared" si="9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10">IF(I28="","",I28)</f>
        <v/>
      </c>
      <c r="K28" s="18" t="str">
        <f t="shared" si="10"/>
        <v/>
      </c>
      <c r="L28" s="18" t="str">
        <f t="shared" si="10"/>
        <v/>
      </c>
      <c r="M28" s="18" t="str">
        <f t="shared" si="10"/>
        <v/>
      </c>
      <c r="N28" s="18" t="str">
        <f t="shared" si="10"/>
        <v/>
      </c>
      <c r="O28" s="18" t="str">
        <f t="shared" si="10"/>
        <v/>
      </c>
      <c r="P28" s="18" t="str">
        <f t="shared" si="10"/>
        <v/>
      </c>
      <c r="Q28" s="18" t="str">
        <f t="shared" si="10"/>
        <v/>
      </c>
      <c r="R28" s="18" t="str">
        <f t="shared" si="10"/>
        <v/>
      </c>
      <c r="S28" s="18" t="str">
        <f t="shared" si="10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11">IF(I29="","",I29)</f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  <c r="R29" s="18" t="str">
        <f t="shared" si="11"/>
        <v/>
      </c>
      <c r="S29" s="18" t="str">
        <f t="shared" si="11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12">IF(I30="","",I30)</f>
        <v/>
      </c>
      <c r="K30" s="18" t="str">
        <f t="shared" si="12"/>
        <v/>
      </c>
      <c r="L30" s="18" t="str">
        <f t="shared" si="12"/>
        <v/>
      </c>
      <c r="M30" s="18" t="str">
        <f t="shared" si="12"/>
        <v/>
      </c>
      <c r="N30" s="18" t="str">
        <f t="shared" si="12"/>
        <v/>
      </c>
      <c r="O30" s="18" t="str">
        <f t="shared" si="12"/>
        <v/>
      </c>
      <c r="P30" s="18" t="str">
        <f t="shared" si="12"/>
        <v/>
      </c>
      <c r="Q30" s="18" t="str">
        <f t="shared" si="12"/>
        <v/>
      </c>
      <c r="R30" s="18" t="str">
        <f t="shared" si="12"/>
        <v/>
      </c>
      <c r="S30" s="18" t="str">
        <f t="shared" si="12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13">IF(I31="","",I31)</f>
        <v/>
      </c>
      <c r="K31" s="18" t="str">
        <f t="shared" si="13"/>
        <v/>
      </c>
      <c r="L31" s="18" t="str">
        <f t="shared" si="13"/>
        <v/>
      </c>
      <c r="M31" s="18" t="str">
        <f t="shared" si="13"/>
        <v/>
      </c>
      <c r="N31" s="18" t="str">
        <f t="shared" si="13"/>
        <v/>
      </c>
      <c r="O31" s="18" t="str">
        <f t="shared" si="13"/>
        <v/>
      </c>
      <c r="P31" s="18" t="str">
        <f t="shared" si="13"/>
        <v/>
      </c>
      <c r="Q31" s="18" t="str">
        <f t="shared" si="13"/>
        <v/>
      </c>
      <c r="R31" s="18" t="str">
        <f t="shared" si="13"/>
        <v/>
      </c>
      <c r="S31" s="18" t="str">
        <f t="shared" si="13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4">IF(I32="","",I32)</f>
        <v/>
      </c>
      <c r="K32" s="18" t="str">
        <f t="shared" si="14"/>
        <v/>
      </c>
      <c r="L32" s="18" t="str">
        <f t="shared" si="14"/>
        <v/>
      </c>
      <c r="M32" s="18" t="str">
        <f t="shared" si="14"/>
        <v/>
      </c>
      <c r="N32" s="18" t="str">
        <f t="shared" si="14"/>
        <v/>
      </c>
      <c r="O32" s="18" t="str">
        <f t="shared" si="14"/>
        <v/>
      </c>
      <c r="P32" s="18" t="str">
        <f t="shared" si="14"/>
        <v/>
      </c>
      <c r="Q32" s="18" t="str">
        <f t="shared" si="14"/>
        <v/>
      </c>
      <c r="R32" s="18" t="str">
        <f t="shared" si="14"/>
        <v/>
      </c>
      <c r="S32" s="18" t="str">
        <f t="shared" si="14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5">IF(I33="","",I33)</f>
        <v/>
      </c>
      <c r="K33" s="18" t="str">
        <f t="shared" si="15"/>
        <v/>
      </c>
      <c r="L33" s="18" t="str">
        <f t="shared" si="15"/>
        <v/>
      </c>
      <c r="M33" s="18" t="str">
        <f t="shared" si="15"/>
        <v/>
      </c>
      <c r="N33" s="18" t="str">
        <f t="shared" si="15"/>
        <v/>
      </c>
      <c r="O33" s="18" t="str">
        <f t="shared" si="15"/>
        <v/>
      </c>
      <c r="P33" s="18" t="str">
        <f t="shared" si="15"/>
        <v/>
      </c>
      <c r="Q33" s="18" t="str">
        <f t="shared" si="15"/>
        <v/>
      </c>
      <c r="R33" s="18" t="str">
        <f t="shared" si="15"/>
        <v/>
      </c>
      <c r="S33" s="18" t="str">
        <f t="shared" si="15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6">IF(I34="","",I34)</f>
        <v/>
      </c>
      <c r="K34" s="18" t="str">
        <f t="shared" si="16"/>
        <v/>
      </c>
      <c r="L34" s="18" t="str">
        <f t="shared" si="16"/>
        <v/>
      </c>
      <c r="M34" s="18" t="str">
        <f t="shared" si="16"/>
        <v/>
      </c>
      <c r="N34" s="18" t="str">
        <f t="shared" si="16"/>
        <v/>
      </c>
      <c r="O34" s="18" t="str">
        <f t="shared" si="16"/>
        <v/>
      </c>
      <c r="P34" s="18" t="str">
        <f t="shared" si="16"/>
        <v/>
      </c>
      <c r="Q34" s="18" t="str">
        <f t="shared" si="16"/>
        <v/>
      </c>
      <c r="R34" s="18" t="str">
        <f t="shared" si="16"/>
        <v/>
      </c>
      <c r="S34" s="18" t="str">
        <f t="shared" si="16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7">IF(I35="","",I35)</f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  <c r="R35" s="18" t="str">
        <f t="shared" si="17"/>
        <v/>
      </c>
      <c r="S35" s="18" t="str">
        <f t="shared" si="17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8">IF(I36="","",I36)</f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  <c r="R36" s="18" t="str">
        <f t="shared" si="18"/>
        <v/>
      </c>
      <c r="S36" s="18" t="str">
        <f t="shared" si="18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19">IF(I37="","",I37)</f>
        <v/>
      </c>
      <c r="K37" s="18" t="str">
        <f t="shared" si="19"/>
        <v/>
      </c>
      <c r="L37" s="18" t="str">
        <f t="shared" si="19"/>
        <v/>
      </c>
      <c r="M37" s="18" t="str">
        <f t="shared" si="19"/>
        <v/>
      </c>
      <c r="N37" s="18" t="str">
        <f t="shared" si="19"/>
        <v/>
      </c>
      <c r="O37" s="18" t="str">
        <f t="shared" si="19"/>
        <v/>
      </c>
      <c r="P37" s="18" t="str">
        <f t="shared" si="19"/>
        <v/>
      </c>
      <c r="Q37" s="18" t="str">
        <f t="shared" si="19"/>
        <v/>
      </c>
      <c r="R37" s="18" t="str">
        <f t="shared" si="19"/>
        <v/>
      </c>
      <c r="S37" s="18" t="str">
        <f t="shared" si="19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20">IF(I38="","",I38)</f>
        <v/>
      </c>
      <c r="K38" s="18" t="str">
        <f t="shared" si="20"/>
        <v/>
      </c>
      <c r="L38" s="18" t="str">
        <f t="shared" si="20"/>
        <v/>
      </c>
      <c r="M38" s="18" t="str">
        <f t="shared" si="20"/>
        <v/>
      </c>
      <c r="N38" s="18" t="str">
        <f t="shared" si="20"/>
        <v/>
      </c>
      <c r="O38" s="18" t="str">
        <f t="shared" si="20"/>
        <v/>
      </c>
      <c r="P38" s="18" t="str">
        <f t="shared" si="20"/>
        <v/>
      </c>
      <c r="Q38" s="18" t="str">
        <f t="shared" si="20"/>
        <v/>
      </c>
      <c r="R38" s="18" t="str">
        <f t="shared" si="20"/>
        <v/>
      </c>
      <c r="S38" s="18" t="str">
        <f t="shared" si="20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21">IF(I39="","",I39)</f>
        <v/>
      </c>
      <c r="K39" s="18" t="str">
        <f t="shared" si="21"/>
        <v/>
      </c>
      <c r="L39" s="18" t="str">
        <f t="shared" si="21"/>
        <v/>
      </c>
      <c r="M39" s="18" t="str">
        <f t="shared" si="21"/>
        <v/>
      </c>
      <c r="N39" s="18" t="str">
        <f t="shared" si="21"/>
        <v/>
      </c>
      <c r="O39" s="18" t="str">
        <f t="shared" si="21"/>
        <v/>
      </c>
      <c r="P39" s="18" t="str">
        <f t="shared" si="21"/>
        <v/>
      </c>
      <c r="Q39" s="18" t="str">
        <f t="shared" si="21"/>
        <v/>
      </c>
      <c r="R39" s="18" t="str">
        <f t="shared" si="21"/>
        <v/>
      </c>
      <c r="S39" s="18" t="str">
        <f t="shared" si="21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22">IF(I40="","",I40)</f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  <c r="S40" s="18" t="str">
        <f t="shared" si="22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23">IF(I41="","",I41)</f>
        <v/>
      </c>
      <c r="K41" s="18" t="str">
        <f t="shared" si="23"/>
        <v/>
      </c>
      <c r="L41" s="18" t="str">
        <f t="shared" si="23"/>
        <v/>
      </c>
      <c r="M41" s="18" t="str">
        <f t="shared" si="23"/>
        <v/>
      </c>
      <c r="N41" s="18" t="str">
        <f t="shared" si="23"/>
        <v/>
      </c>
      <c r="O41" s="18" t="str">
        <f t="shared" si="23"/>
        <v/>
      </c>
      <c r="P41" s="18" t="str">
        <f t="shared" si="23"/>
        <v/>
      </c>
      <c r="Q41" s="18" t="str">
        <f t="shared" si="23"/>
        <v/>
      </c>
      <c r="R41" s="18" t="str">
        <f t="shared" si="23"/>
        <v/>
      </c>
      <c r="S41" s="18" t="str">
        <f t="shared" si="23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4">IF(I42="","",I42)</f>
        <v/>
      </c>
      <c r="K42" s="18" t="str">
        <f t="shared" si="24"/>
        <v/>
      </c>
      <c r="L42" s="18" t="str">
        <f t="shared" si="24"/>
        <v/>
      </c>
      <c r="M42" s="18" t="str">
        <f t="shared" si="24"/>
        <v/>
      </c>
      <c r="N42" s="18" t="str">
        <f t="shared" si="24"/>
        <v/>
      </c>
      <c r="O42" s="18" t="str">
        <f t="shared" si="24"/>
        <v/>
      </c>
      <c r="P42" s="18" t="str">
        <f t="shared" si="24"/>
        <v/>
      </c>
      <c r="Q42" s="18" t="str">
        <f t="shared" si="24"/>
        <v/>
      </c>
      <c r="R42" s="18" t="str">
        <f t="shared" si="24"/>
        <v/>
      </c>
      <c r="S42" s="18" t="str">
        <f t="shared" si="24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5">IF(I43="","",I43)</f>
        <v/>
      </c>
      <c r="K43" s="18" t="str">
        <f t="shared" si="25"/>
        <v/>
      </c>
      <c r="L43" s="18" t="str">
        <f t="shared" si="25"/>
        <v/>
      </c>
      <c r="M43" s="18" t="str">
        <f t="shared" si="25"/>
        <v/>
      </c>
      <c r="N43" s="18" t="str">
        <f t="shared" si="25"/>
        <v/>
      </c>
      <c r="O43" s="18" t="str">
        <f t="shared" si="25"/>
        <v/>
      </c>
      <c r="P43" s="18" t="str">
        <f t="shared" si="25"/>
        <v/>
      </c>
      <c r="Q43" s="18" t="str">
        <f t="shared" si="25"/>
        <v/>
      </c>
      <c r="R43" s="18" t="str">
        <f t="shared" si="25"/>
        <v/>
      </c>
      <c r="S43" s="18" t="str">
        <f t="shared" si="25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6">IF(I44="","",I44)</f>
        <v/>
      </c>
      <c r="K44" s="18" t="str">
        <f t="shared" si="26"/>
        <v/>
      </c>
      <c r="L44" s="18" t="str">
        <f t="shared" si="26"/>
        <v/>
      </c>
      <c r="M44" s="18" t="str">
        <f t="shared" si="26"/>
        <v/>
      </c>
      <c r="N44" s="18" t="str">
        <f t="shared" si="26"/>
        <v/>
      </c>
      <c r="O44" s="18" t="str">
        <f t="shared" si="26"/>
        <v/>
      </c>
      <c r="P44" s="18" t="str">
        <f t="shared" si="26"/>
        <v/>
      </c>
      <c r="Q44" s="18" t="str">
        <f t="shared" si="26"/>
        <v/>
      </c>
      <c r="R44" s="18" t="str">
        <f t="shared" si="26"/>
        <v/>
      </c>
      <c r="S44" s="18" t="str">
        <f t="shared" si="26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7">IF(I45="","",I45)</f>
        <v/>
      </c>
      <c r="K45" s="18" t="str">
        <f t="shared" si="27"/>
        <v/>
      </c>
      <c r="L45" s="18" t="str">
        <f t="shared" si="27"/>
        <v/>
      </c>
      <c r="M45" s="18" t="str">
        <f t="shared" si="27"/>
        <v/>
      </c>
      <c r="N45" s="18" t="str">
        <f t="shared" si="27"/>
        <v/>
      </c>
      <c r="O45" s="18" t="str">
        <f t="shared" si="27"/>
        <v/>
      </c>
      <c r="P45" s="18" t="str">
        <f t="shared" si="27"/>
        <v/>
      </c>
      <c r="Q45" s="18" t="str">
        <f t="shared" si="27"/>
        <v/>
      </c>
      <c r="R45" s="18" t="str">
        <f t="shared" si="27"/>
        <v/>
      </c>
      <c r="S45" s="18" t="str">
        <f t="shared" si="27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8">IF(I46="","",I46)</f>
        <v/>
      </c>
      <c r="K46" s="18" t="str">
        <f t="shared" si="28"/>
        <v/>
      </c>
      <c r="L46" s="18" t="str">
        <f t="shared" si="28"/>
        <v/>
      </c>
      <c r="M46" s="18" t="str">
        <f t="shared" si="28"/>
        <v/>
      </c>
      <c r="N46" s="18" t="str">
        <f t="shared" si="28"/>
        <v/>
      </c>
      <c r="O46" s="18" t="str">
        <f t="shared" si="28"/>
        <v/>
      </c>
      <c r="P46" s="18" t="str">
        <f t="shared" si="28"/>
        <v/>
      </c>
      <c r="Q46" s="18" t="str">
        <f t="shared" si="28"/>
        <v/>
      </c>
      <c r="R46" s="18" t="str">
        <f t="shared" si="28"/>
        <v/>
      </c>
      <c r="S46" s="18" t="str">
        <f t="shared" si="28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29">IF(I47="","",I47)</f>
        <v/>
      </c>
      <c r="K47" s="18" t="str">
        <f t="shared" si="29"/>
        <v/>
      </c>
      <c r="L47" s="18" t="str">
        <f t="shared" si="29"/>
        <v/>
      </c>
      <c r="M47" s="18" t="str">
        <f t="shared" si="29"/>
        <v/>
      </c>
      <c r="N47" s="18" t="str">
        <f t="shared" si="29"/>
        <v/>
      </c>
      <c r="O47" s="18" t="str">
        <f t="shared" si="29"/>
        <v/>
      </c>
      <c r="P47" s="18" t="str">
        <f t="shared" si="29"/>
        <v/>
      </c>
      <c r="Q47" s="18" t="str">
        <f t="shared" si="29"/>
        <v/>
      </c>
      <c r="R47" s="18" t="str">
        <f t="shared" si="29"/>
        <v/>
      </c>
      <c r="S47" s="18" t="str">
        <f t="shared" si="29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30">IF(I48="","",I48)</f>
        <v/>
      </c>
      <c r="K48" s="18" t="str">
        <f t="shared" si="30"/>
        <v/>
      </c>
      <c r="L48" s="18" t="str">
        <f t="shared" si="30"/>
        <v/>
      </c>
      <c r="M48" s="18" t="str">
        <f t="shared" si="30"/>
        <v/>
      </c>
      <c r="N48" s="18" t="str">
        <f t="shared" si="30"/>
        <v/>
      </c>
      <c r="O48" s="18" t="str">
        <f t="shared" si="30"/>
        <v/>
      </c>
      <c r="P48" s="18" t="str">
        <f t="shared" si="30"/>
        <v/>
      </c>
      <c r="Q48" s="18" t="str">
        <f t="shared" si="30"/>
        <v/>
      </c>
      <c r="R48" s="18" t="str">
        <f t="shared" si="30"/>
        <v/>
      </c>
      <c r="S48" s="18" t="str">
        <f t="shared" si="30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31">IF(I49="","",I49)</f>
        <v/>
      </c>
      <c r="K49" s="18" t="str">
        <f t="shared" si="31"/>
        <v/>
      </c>
      <c r="L49" s="18" t="str">
        <f t="shared" si="31"/>
        <v/>
      </c>
      <c r="M49" s="18" t="str">
        <f t="shared" si="31"/>
        <v/>
      </c>
      <c r="N49" s="18" t="str">
        <f t="shared" si="31"/>
        <v/>
      </c>
      <c r="O49" s="18" t="str">
        <f t="shared" si="31"/>
        <v/>
      </c>
      <c r="P49" s="18" t="str">
        <f t="shared" si="31"/>
        <v/>
      </c>
      <c r="Q49" s="18" t="str">
        <f t="shared" si="31"/>
        <v/>
      </c>
      <c r="R49" s="18" t="str">
        <f t="shared" si="31"/>
        <v/>
      </c>
      <c r="S49" s="18" t="str">
        <f t="shared" si="31"/>
        <v/>
      </c>
    </row>
    <row r="50" spans="4:19" x14ac:dyDescent="0.25">
      <c r="D50" s="9"/>
      <c r="E50" s="9"/>
      <c r="F50" s="9"/>
      <c r="G50" s="9"/>
      <c r="H50" s="9"/>
      <c r="I50" s="18"/>
      <c r="J50" s="18" t="str">
        <f t="shared" ref="J50:S50" si="32">IF(I50="","",I50)</f>
        <v/>
      </c>
      <c r="K50" s="18" t="str">
        <f t="shared" si="32"/>
        <v/>
      </c>
      <c r="L50" s="18" t="str">
        <f t="shared" si="32"/>
        <v/>
      </c>
      <c r="M50" s="18" t="str">
        <f t="shared" si="32"/>
        <v/>
      </c>
      <c r="N50" s="18" t="str">
        <f t="shared" si="32"/>
        <v/>
      </c>
      <c r="O50" s="18" t="str">
        <f t="shared" si="32"/>
        <v/>
      </c>
      <c r="P50" s="18" t="str">
        <f t="shared" si="32"/>
        <v/>
      </c>
      <c r="Q50" s="18" t="str">
        <f t="shared" si="32"/>
        <v/>
      </c>
      <c r="R50" s="18" t="str">
        <f t="shared" si="32"/>
        <v/>
      </c>
      <c r="S50" s="18" t="str">
        <f t="shared" si="32"/>
        <v/>
      </c>
    </row>
    <row r="51" spans="4:19" x14ac:dyDescent="0.25">
      <c r="D51" s="9"/>
      <c r="E51" s="9"/>
      <c r="F51" s="9"/>
      <c r="G51" s="9"/>
      <c r="H51" s="9"/>
      <c r="I51" s="9"/>
      <c r="J51" s="9" t="str">
        <f t="shared" ref="J51:S51" si="33">IF(I51="","",I51)</f>
        <v/>
      </c>
      <c r="K51" s="9" t="str">
        <f t="shared" si="33"/>
        <v/>
      </c>
      <c r="L51" s="9" t="str">
        <f t="shared" si="33"/>
        <v/>
      </c>
      <c r="M51" s="9" t="str">
        <f t="shared" si="33"/>
        <v/>
      </c>
      <c r="N51" s="9" t="str">
        <f t="shared" si="33"/>
        <v/>
      </c>
      <c r="O51" s="9" t="str">
        <f t="shared" si="33"/>
        <v/>
      </c>
      <c r="P51" s="9" t="str">
        <f t="shared" si="33"/>
        <v/>
      </c>
      <c r="Q51" s="9" t="str">
        <f t="shared" si="33"/>
        <v/>
      </c>
      <c r="R51" s="9" t="str">
        <f t="shared" si="33"/>
        <v/>
      </c>
      <c r="S51" s="9" t="str">
        <f t="shared" si="33"/>
        <v/>
      </c>
    </row>
    <row r="52" spans="4:19" ht="15.75" thickBot="1" x14ac:dyDescent="0.3">
      <c r="D52" s="10"/>
      <c r="E52" s="10"/>
      <c r="F52" s="10"/>
      <c r="G52" s="10"/>
      <c r="H52" s="10"/>
      <c r="I52" s="10"/>
      <c r="J52" s="10" t="str">
        <f t="shared" ref="J52:S52" si="34">IF(I52="","",I52)</f>
        <v/>
      </c>
      <c r="K52" s="10" t="str">
        <f t="shared" si="34"/>
        <v/>
      </c>
      <c r="L52" s="10" t="str">
        <f t="shared" si="34"/>
        <v/>
      </c>
      <c r="M52" s="10" t="str">
        <f t="shared" si="34"/>
        <v/>
      </c>
      <c r="N52" s="10" t="str">
        <f t="shared" si="34"/>
        <v/>
      </c>
      <c r="O52" s="10" t="str">
        <f t="shared" si="34"/>
        <v/>
      </c>
      <c r="P52" s="10" t="str">
        <f t="shared" si="34"/>
        <v/>
      </c>
      <c r="Q52" s="10" t="str">
        <f t="shared" si="34"/>
        <v/>
      </c>
      <c r="R52" s="10" t="str">
        <f t="shared" si="34"/>
        <v/>
      </c>
      <c r="S52" s="10" t="str">
        <f t="shared" si="34"/>
        <v/>
      </c>
    </row>
    <row r="53" spans="4:19" x14ac:dyDescent="0.25">
      <c r="J53" s="5" t="s">
        <v>301</v>
      </c>
      <c r="K53" s="5" t="s">
        <v>301</v>
      </c>
      <c r="L53" s="5" t="s">
        <v>301</v>
      </c>
      <c r="M53" s="5" t="s">
        <v>301</v>
      </c>
      <c r="N53" s="5" t="s">
        <v>301</v>
      </c>
      <c r="O53" s="5" t="s">
        <v>301</v>
      </c>
      <c r="P53" s="5" t="s">
        <v>301</v>
      </c>
      <c r="Q53" s="5" t="s">
        <v>301</v>
      </c>
      <c r="R53" s="5" t="s">
        <v>301</v>
      </c>
      <c r="S53" s="5" t="s">
        <v>301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zoomScaleNormal="100" workbookViewId="0">
      <selection activeCell="F7" sqref="F7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5" width="20.85546875" style="5" customWidth="1"/>
    <col min="6" max="8" width="15.85546875" style="5" customWidth="1"/>
    <col min="9" max="9" width="15.85546875" style="105" customWidth="1"/>
    <col min="10" max="19" width="8.85546875" style="5" customWidth="1"/>
    <col min="20" max="16384" width="11.5703125" style="5"/>
  </cols>
  <sheetData>
    <row r="1" spans="2:19" s="95" customFormat="1" ht="24.95" customHeight="1" x14ac:dyDescent="0.25">
      <c r="B1" s="97" t="s">
        <v>286</v>
      </c>
      <c r="I1" s="104"/>
    </row>
    <row r="3" spans="2:19" ht="15.75" thickBot="1" x14ac:dyDescent="0.3">
      <c r="D3" s="38" t="str">
        <f>JESA_UploadTable(B1,D4:S12,db)</f>
        <v>Beneficiation capex @17:32:55</v>
      </c>
    </row>
    <row r="4" spans="2:19" ht="30" customHeight="1" x14ac:dyDescent="0.25">
      <c r="D4" s="99" t="s">
        <v>30</v>
      </c>
      <c r="E4" s="100" t="s">
        <v>25</v>
      </c>
      <c r="F4" s="100" t="s">
        <v>270</v>
      </c>
      <c r="G4" s="99" t="s">
        <v>12</v>
      </c>
      <c r="H4" s="99" t="s">
        <v>17</v>
      </c>
      <c r="I4" s="114" t="s">
        <v>145</v>
      </c>
      <c r="J4" s="112" t="s">
        <v>71</v>
      </c>
      <c r="K4" s="112" t="s">
        <v>72</v>
      </c>
      <c r="L4" s="112" t="s">
        <v>73</v>
      </c>
      <c r="M4" s="112" t="s">
        <v>74</v>
      </c>
      <c r="N4" s="112" t="s">
        <v>75</v>
      </c>
      <c r="O4" s="112" t="s">
        <v>364</v>
      </c>
      <c r="P4" s="112" t="s">
        <v>76</v>
      </c>
      <c r="Q4" s="112" t="s">
        <v>77</v>
      </c>
      <c r="R4" s="112" t="s">
        <v>78</v>
      </c>
      <c r="S4" s="112" t="s">
        <v>79</v>
      </c>
    </row>
    <row r="5" spans="2:19" x14ac:dyDescent="0.25">
      <c r="D5" s="9" t="s">
        <v>287</v>
      </c>
      <c r="E5" s="110" t="s">
        <v>287</v>
      </c>
      <c r="F5" s="18">
        <v>9</v>
      </c>
      <c r="G5" s="9" t="s">
        <v>22</v>
      </c>
      <c r="H5" s="9" t="s">
        <v>377</v>
      </c>
      <c r="I5" s="109">
        <v>184160707.244427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287</v>
      </c>
      <c r="E6" s="110" t="s">
        <v>287</v>
      </c>
      <c r="F6" s="18">
        <v>14.5</v>
      </c>
      <c r="G6" s="9" t="s">
        <v>22</v>
      </c>
      <c r="H6" s="9" t="s">
        <v>377</v>
      </c>
      <c r="I6" s="109">
        <f>I5*11/12</f>
        <v>168813981.64072475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295</v>
      </c>
      <c r="E7" s="9" t="s">
        <v>295</v>
      </c>
      <c r="F7" s="18">
        <v>4.5</v>
      </c>
      <c r="G7" s="9" t="s">
        <v>22</v>
      </c>
      <c r="H7" s="9" t="s">
        <v>377</v>
      </c>
      <c r="I7" s="109">
        <v>321900000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293</v>
      </c>
      <c r="E8" s="9" t="s">
        <v>293</v>
      </c>
      <c r="F8" s="18">
        <v>10</v>
      </c>
      <c r="G8" s="9" t="s">
        <v>22</v>
      </c>
      <c r="H8" s="9" t="s">
        <v>377</v>
      </c>
      <c r="I8" s="109">
        <v>244925309.02103099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18"/>
      <c r="G9" s="9"/>
      <c r="H9" s="9"/>
      <c r="I9" s="10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18"/>
      <c r="G10" s="9"/>
      <c r="H10" s="9"/>
      <c r="I10" s="10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8"/>
      <c r="G11" s="9"/>
      <c r="H11" s="9"/>
      <c r="I11" s="10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8"/>
      <c r="G12" s="9"/>
      <c r="H12" s="9"/>
      <c r="I12" s="10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8"/>
      <c r="G13" s="9"/>
      <c r="H13" s="9"/>
      <c r="I13" s="10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8"/>
      <c r="G14" s="9"/>
      <c r="H14" s="9"/>
      <c r="I14" s="10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8"/>
      <c r="G15" s="9"/>
      <c r="H15" s="9"/>
      <c r="I15" s="10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8"/>
      <c r="G16" s="9"/>
      <c r="H16" s="9"/>
      <c r="I16" s="10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8"/>
      <c r="G17" s="9"/>
      <c r="H17" s="9"/>
      <c r="I17" s="10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8"/>
      <c r="G18" s="9"/>
      <c r="H18" s="9"/>
      <c r="I18" s="10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8"/>
      <c r="G19" s="9"/>
      <c r="H19" s="9"/>
      <c r="I19" s="10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8"/>
      <c r="G20" s="9"/>
      <c r="H20" s="9"/>
      <c r="I20" s="10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.75" thickBot="1" x14ac:dyDescent="0.3">
      <c r="D21" s="10"/>
      <c r="E21" s="10"/>
      <c r="F21" s="46"/>
      <c r="G21" s="10"/>
      <c r="H21" s="10"/>
      <c r="I21" s="115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4:19" x14ac:dyDescent="0.25">
      <c r="I22" s="5"/>
    </row>
    <row r="23" spans="4:19" x14ac:dyDescent="0.25">
      <c r="I23" s="5"/>
    </row>
    <row r="24" spans="4:19" x14ac:dyDescent="0.25">
      <c r="I24" s="5"/>
    </row>
    <row r="25" spans="4:19" x14ac:dyDescent="0.25">
      <c r="I25" s="5"/>
    </row>
    <row r="26" spans="4:19" x14ac:dyDescent="0.25">
      <c r="I26" s="5"/>
    </row>
    <row r="27" spans="4:19" x14ac:dyDescent="0.25">
      <c r="I27" s="5"/>
    </row>
    <row r="28" spans="4:19" x14ac:dyDescent="0.25">
      <c r="I28" s="5"/>
    </row>
    <row r="29" spans="4:19" x14ac:dyDescent="0.25">
      <c r="I29" s="5"/>
    </row>
    <row r="30" spans="4:19" x14ac:dyDescent="0.25">
      <c r="I30" s="5"/>
    </row>
    <row r="31" spans="4:19" x14ac:dyDescent="0.25">
      <c r="I31" s="5"/>
    </row>
  </sheetData>
  <dataValidations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D3" sqref="D3:M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2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6384" width="11.5703125" style="31"/>
  </cols>
  <sheetData>
    <row r="1" spans="2:13" s="49" customFormat="1" ht="25.35" customHeight="1" x14ac:dyDescent="0.25">
      <c r="B1" s="48" t="s">
        <v>157</v>
      </c>
      <c r="I1" s="50"/>
    </row>
    <row r="3" spans="2:13" ht="15.75" thickBot="1" x14ac:dyDescent="0.3">
      <c r="D3" s="31" t="str">
        <f>JESA_UploadTable(D4,D4:D40,db)</f>
        <v>SAP/Name @17:32:53</v>
      </c>
      <c r="F3" s="31" t="str">
        <f>JESA_UploadTable(F4,F4:F40,db)</f>
        <v>SAP/Process @17:32:53</v>
      </c>
      <c r="H3" s="31" t="str">
        <f>JESA_UploadTable("sap.product",H4:I40,db)</f>
        <v>sap.product @17:32:54</v>
      </c>
      <c r="K3" s="31" t="str">
        <f>JESA_UploadTable(K4,K4:K40,db)</f>
        <v>SAP/CAPEX @17:32:54</v>
      </c>
      <c r="M3" s="31" t="str">
        <f>JESA_UploadTable(M4,M4:M40,db)</f>
        <v>SAP/Capacity[kt] @17:32:54</v>
      </c>
    </row>
    <row r="4" spans="2:13" ht="30" customHeight="1" thickBot="1" x14ac:dyDescent="0.3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25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25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25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25">
      <c r="D8" s="33" t="s">
        <v>126</v>
      </c>
      <c r="F8" s="33"/>
      <c r="H8" s="33"/>
      <c r="I8" s="33"/>
      <c r="K8" s="33"/>
      <c r="M8" s="33"/>
    </row>
    <row r="9" spans="2:13" x14ac:dyDescent="0.25">
      <c r="D9" s="33" t="s">
        <v>127</v>
      </c>
      <c r="F9" s="33"/>
      <c r="H9" s="33"/>
      <c r="I9" s="33"/>
      <c r="K9" s="33"/>
      <c r="M9" s="33"/>
    </row>
    <row r="10" spans="2:13" x14ac:dyDescent="0.25">
      <c r="D10" s="33" t="s">
        <v>128</v>
      </c>
      <c r="F10" s="33"/>
      <c r="H10" s="33"/>
      <c r="I10" s="33"/>
      <c r="K10" s="33"/>
      <c r="M10" s="33"/>
    </row>
    <row r="11" spans="2:13" x14ac:dyDescent="0.25">
      <c r="D11" s="33" t="s">
        <v>170</v>
      </c>
      <c r="F11" s="33"/>
      <c r="H11" s="33"/>
      <c r="I11" s="33"/>
      <c r="K11" s="33"/>
      <c r="M11" s="33"/>
    </row>
    <row r="12" spans="2:13" x14ac:dyDescent="0.25">
      <c r="D12" s="33" t="s">
        <v>171</v>
      </c>
      <c r="F12" s="33"/>
      <c r="H12" s="33"/>
      <c r="I12" s="33"/>
      <c r="K12" s="33"/>
      <c r="M12" s="33"/>
    </row>
    <row r="13" spans="2:13" x14ac:dyDescent="0.25">
      <c r="D13" s="33" t="s">
        <v>172</v>
      </c>
      <c r="F13" s="33"/>
      <c r="H13" s="33"/>
      <c r="I13" s="33"/>
      <c r="K13" s="33"/>
      <c r="M13" s="33"/>
    </row>
    <row r="14" spans="2:13" x14ac:dyDescent="0.25">
      <c r="D14" s="33" t="s">
        <v>173</v>
      </c>
      <c r="F14" s="33"/>
      <c r="H14" s="33"/>
      <c r="I14" s="33"/>
      <c r="K14" s="33"/>
      <c r="M14" s="33"/>
    </row>
    <row r="15" spans="2:13" x14ac:dyDescent="0.25">
      <c r="D15" s="33" t="s">
        <v>174</v>
      </c>
      <c r="F15" s="33"/>
      <c r="H15" s="33"/>
      <c r="I15" s="33"/>
      <c r="K15" s="33"/>
      <c r="M15" s="33"/>
    </row>
    <row r="16" spans="2:13" x14ac:dyDescent="0.25">
      <c r="D16" s="33" t="s">
        <v>175</v>
      </c>
      <c r="F16" s="33"/>
      <c r="H16" s="33"/>
      <c r="I16" s="33"/>
      <c r="K16" s="33"/>
      <c r="M16" s="33"/>
    </row>
    <row r="17" spans="4:13" x14ac:dyDescent="0.25">
      <c r="D17" s="33"/>
      <c r="F17" s="33"/>
      <c r="H17" s="33"/>
      <c r="I17" s="33"/>
      <c r="K17" s="33"/>
      <c r="M17" s="33"/>
    </row>
    <row r="18" spans="4:13" x14ac:dyDescent="0.25">
      <c r="D18" s="33"/>
      <c r="F18" s="33"/>
      <c r="H18" s="33"/>
      <c r="I18" s="33"/>
      <c r="K18" s="33"/>
      <c r="M18" s="33"/>
    </row>
    <row r="19" spans="4:13" x14ac:dyDescent="0.25">
      <c r="D19" s="33"/>
      <c r="F19" s="33"/>
      <c r="H19" s="33"/>
      <c r="I19" s="33"/>
      <c r="K19" s="33"/>
      <c r="M19" s="33"/>
    </row>
    <row r="20" spans="4:13" x14ac:dyDescent="0.25">
      <c r="D20" s="33"/>
      <c r="F20" s="33"/>
      <c r="H20" s="33"/>
      <c r="I20" s="33"/>
      <c r="K20" s="33"/>
      <c r="M20" s="33"/>
    </row>
    <row r="21" spans="4:13" x14ac:dyDescent="0.25">
      <c r="D21" s="33"/>
      <c r="F21" s="33"/>
      <c r="H21" s="33"/>
      <c r="I21" s="33"/>
      <c r="K21" s="33"/>
      <c r="M21" s="33"/>
    </row>
    <row r="22" spans="4:13" x14ac:dyDescent="0.25">
      <c r="D22" s="33"/>
      <c r="F22" s="33"/>
      <c r="H22" s="33"/>
      <c r="I22" s="33"/>
      <c r="K22" s="33"/>
      <c r="M22" s="33"/>
    </row>
    <row r="23" spans="4:13" x14ac:dyDescent="0.25">
      <c r="D23" s="33"/>
      <c r="F23" s="33"/>
      <c r="H23" s="33"/>
      <c r="I23" s="33"/>
      <c r="K23" s="33"/>
      <c r="M23" s="33"/>
    </row>
    <row r="24" spans="4:13" x14ac:dyDescent="0.25">
      <c r="D24" s="33"/>
      <c r="F24" s="33"/>
      <c r="H24" s="33"/>
      <c r="I24" s="33"/>
      <c r="K24" s="33"/>
      <c r="M24" s="33"/>
    </row>
    <row r="25" spans="4:13" x14ac:dyDescent="0.25">
      <c r="D25" s="33"/>
      <c r="F25" s="33"/>
      <c r="H25" s="33"/>
      <c r="I25" s="33"/>
      <c r="K25" s="33"/>
      <c r="M25" s="33"/>
    </row>
    <row r="26" spans="4:13" x14ac:dyDescent="0.25">
      <c r="D26" s="33"/>
      <c r="F26" s="33"/>
      <c r="H26" s="33"/>
      <c r="I26" s="33"/>
      <c r="K26" s="33"/>
      <c r="M26" s="33"/>
    </row>
    <row r="27" spans="4:13" x14ac:dyDescent="0.25">
      <c r="D27" s="33"/>
      <c r="F27" s="33"/>
      <c r="H27" s="33"/>
      <c r="I27" s="33"/>
      <c r="K27" s="33"/>
      <c r="M27" s="33"/>
    </row>
    <row r="28" spans="4:13" x14ac:dyDescent="0.25">
      <c r="D28" s="33"/>
      <c r="F28" s="33"/>
      <c r="H28" s="33"/>
      <c r="I28" s="33"/>
      <c r="K28" s="33"/>
      <c r="M28" s="33"/>
    </row>
    <row r="29" spans="4:13" x14ac:dyDescent="0.25">
      <c r="D29" s="33"/>
      <c r="F29" s="33"/>
      <c r="H29" s="33"/>
      <c r="I29" s="33"/>
      <c r="K29" s="33"/>
      <c r="M29" s="33"/>
    </row>
    <row r="30" spans="4:13" x14ac:dyDescent="0.25">
      <c r="D30" s="33"/>
      <c r="F30" s="33"/>
      <c r="H30" s="33"/>
      <c r="I30" s="33"/>
      <c r="K30" s="33"/>
      <c r="M30" s="33"/>
    </row>
    <row r="31" spans="4:13" x14ac:dyDescent="0.25">
      <c r="D31" s="33"/>
      <c r="F31" s="33"/>
      <c r="H31" s="33"/>
      <c r="I31" s="33"/>
      <c r="K31" s="33"/>
      <c r="M31" s="33"/>
    </row>
    <row r="32" spans="4:13" x14ac:dyDescent="0.25">
      <c r="D32" s="33"/>
      <c r="F32" s="33"/>
      <c r="H32" s="33"/>
      <c r="I32" s="33"/>
      <c r="K32" s="33"/>
      <c r="M32" s="33"/>
    </row>
    <row r="33" spans="4:13" x14ac:dyDescent="0.25">
      <c r="D33" s="33"/>
      <c r="F33" s="33"/>
      <c r="H33" s="33"/>
      <c r="I33" s="33"/>
      <c r="K33" s="33"/>
      <c r="M33" s="33"/>
    </row>
    <row r="34" spans="4:13" x14ac:dyDescent="0.25">
      <c r="D34" s="33"/>
      <c r="F34" s="33"/>
      <c r="H34" s="33"/>
      <c r="I34" s="33"/>
      <c r="K34" s="33"/>
      <c r="M34" s="33"/>
    </row>
    <row r="35" spans="4:13" x14ac:dyDescent="0.25">
      <c r="D35" s="33"/>
      <c r="F35" s="33"/>
      <c r="H35" s="33"/>
      <c r="I35" s="33"/>
      <c r="K35" s="33"/>
      <c r="M35" s="33"/>
    </row>
    <row r="36" spans="4:13" x14ac:dyDescent="0.25">
      <c r="D36" s="33"/>
      <c r="F36" s="33"/>
      <c r="H36" s="33"/>
      <c r="I36" s="33"/>
      <c r="K36" s="33"/>
      <c r="M36" s="33"/>
    </row>
    <row r="37" spans="4:13" x14ac:dyDescent="0.25">
      <c r="D37" s="33"/>
      <c r="F37" s="33"/>
      <c r="H37" s="33"/>
      <c r="I37" s="33"/>
      <c r="K37" s="33"/>
      <c r="M37" s="33"/>
    </row>
    <row r="38" spans="4:13" x14ac:dyDescent="0.25">
      <c r="D38" s="33"/>
      <c r="F38" s="33"/>
      <c r="H38" s="33"/>
      <c r="I38" s="33"/>
      <c r="K38" s="33"/>
      <c r="M38" s="33"/>
    </row>
    <row r="39" spans="4:13" x14ac:dyDescent="0.25">
      <c r="D39" s="33"/>
      <c r="F39" s="33"/>
      <c r="H39" s="33"/>
      <c r="I39" s="33"/>
      <c r="K39" s="33"/>
      <c r="M39" s="33"/>
    </row>
    <row r="40" spans="4:13" ht="15.75" thickBot="1" x14ac:dyDescent="0.3">
      <c r="D40" s="34"/>
      <c r="F40" s="34"/>
      <c r="H40" s="34"/>
      <c r="I40" s="34"/>
      <c r="K40" s="34"/>
      <c r="M40" s="34"/>
    </row>
    <row r="41" spans="4:13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zoomScaleNormal="100" workbookViewId="0">
      <selection activeCell="L10" sqref="L10"/>
    </sheetView>
  </sheetViews>
  <sheetFormatPr baseColWidth="10" defaultColWidth="11.5703125" defaultRowHeight="15" x14ac:dyDescent="0.25"/>
  <cols>
    <col min="1" max="3" width="3.5703125" style="5" customWidth="1"/>
    <col min="4" max="7" width="15.5703125" style="5" customWidth="1"/>
    <col min="8" max="8" width="15.85546875" style="5" customWidth="1"/>
    <col min="9" max="11" width="15.5703125" style="5" customWidth="1"/>
    <col min="12" max="12" width="17.42578125" style="5" customWidth="1"/>
    <col min="13" max="13" width="62.5703125" style="5" bestFit="1" customWidth="1"/>
    <col min="14" max="16384" width="11.5703125" style="5"/>
  </cols>
  <sheetData>
    <row r="1" spans="2:13" s="52" customFormat="1" ht="25.35" customHeight="1" x14ac:dyDescent="0.25">
      <c r="B1" s="48" t="s">
        <v>176</v>
      </c>
      <c r="H1" s="53"/>
      <c r="I1" s="53"/>
      <c r="J1" s="53"/>
      <c r="K1" s="53"/>
      <c r="L1" s="53"/>
    </row>
    <row r="3" spans="2:13" ht="15.75" thickBot="1" x14ac:dyDescent="0.3">
      <c r="D3" s="38" t="str">
        <f>JESA_UploadTable(B1,D4:M50,db)</f>
        <v>SAP &amp; Power plant options @17:32:56</v>
      </c>
    </row>
    <row r="4" spans="2:13" ht="30" customHeight="1" thickBot="1" x14ac:dyDescent="0.3">
      <c r="D4" s="54" t="s">
        <v>8</v>
      </c>
      <c r="E4" s="54" t="s">
        <v>30</v>
      </c>
      <c r="F4" s="55" t="s">
        <v>25</v>
      </c>
      <c r="G4" s="56" t="s">
        <v>270</v>
      </c>
      <c r="H4" s="56" t="s">
        <v>17</v>
      </c>
      <c r="I4" s="56" t="s">
        <v>70</v>
      </c>
      <c r="J4" s="56" t="s">
        <v>362</v>
      </c>
      <c r="K4" s="56" t="s">
        <v>144</v>
      </c>
      <c r="L4" s="56" t="s">
        <v>148</v>
      </c>
      <c r="M4" s="54" t="s">
        <v>149</v>
      </c>
    </row>
    <row r="5" spans="2:13" x14ac:dyDescent="0.25">
      <c r="D5" s="8" t="s">
        <v>3</v>
      </c>
      <c r="E5" s="8" t="s">
        <v>124</v>
      </c>
      <c r="F5" s="8" t="s">
        <v>164</v>
      </c>
      <c r="G5" s="14">
        <v>1600</v>
      </c>
      <c r="H5" s="13" t="s">
        <v>339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25">
      <c r="D6" s="9" t="s">
        <v>3</v>
      </c>
      <c r="E6" s="9" t="s">
        <v>125</v>
      </c>
      <c r="F6" s="9" t="s">
        <v>164</v>
      </c>
      <c r="G6" s="15">
        <v>1600</v>
      </c>
      <c r="H6" s="11" t="s">
        <v>339</v>
      </c>
      <c r="I6" s="11" t="s">
        <v>36</v>
      </c>
      <c r="J6" s="11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25">
      <c r="D7" s="9" t="s">
        <v>3</v>
      </c>
      <c r="E7" s="9" t="s">
        <v>126</v>
      </c>
      <c r="F7" s="9" t="s">
        <v>164</v>
      </c>
      <c r="G7" s="15">
        <v>1600</v>
      </c>
      <c r="H7" s="11" t="s">
        <v>339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25">
      <c r="D8" s="9" t="s">
        <v>3</v>
      </c>
      <c r="E8" s="9">
        <v>8</v>
      </c>
      <c r="F8" s="9" t="s">
        <v>164</v>
      </c>
      <c r="G8" s="15">
        <v>1600</v>
      </c>
      <c r="H8" s="11" t="s">
        <v>339</v>
      </c>
      <c r="I8" s="11" t="s">
        <v>146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25">
      <c r="D9" s="9" t="s">
        <v>3</v>
      </c>
      <c r="E9" s="9">
        <v>4</v>
      </c>
      <c r="F9" s="9" t="s">
        <v>165</v>
      </c>
      <c r="G9" s="15">
        <v>3200</v>
      </c>
      <c r="H9" s="11" t="s">
        <v>339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25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339</v>
      </c>
      <c r="I10" s="11" t="s">
        <v>36</v>
      </c>
      <c r="J10" s="11" t="s">
        <v>363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25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339</v>
      </c>
      <c r="I11" s="11" t="s">
        <v>36</v>
      </c>
      <c r="J11" s="11" t="s">
        <v>458</v>
      </c>
      <c r="K11" s="15">
        <v>2018</v>
      </c>
      <c r="L11" s="15">
        <v>2024</v>
      </c>
      <c r="M11" s="9" t="str">
        <f t="shared" si="0"/>
        <v>/SAP/Safi/SAP EXISTING SITE/SAFI EXISTING SITE/4500/Existing/2018/2024</v>
      </c>
    </row>
    <row r="12" spans="2:13" x14ac:dyDescent="0.25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339</v>
      </c>
      <c r="I12" s="11" t="s">
        <v>36</v>
      </c>
      <c r="J12" s="11" t="s">
        <v>459</v>
      </c>
      <c r="K12" s="15">
        <v>2018</v>
      </c>
      <c r="L12" s="15">
        <v>2030</v>
      </c>
      <c r="M12" s="9" t="str">
        <f t="shared" si="0"/>
        <v>/SAP/Safi/SAP EXISTING SITE/SAFI EXISTING SITE/4500/Existing/2018/2030</v>
      </c>
    </row>
    <row r="13" spans="2:13" x14ac:dyDescent="0.25">
      <c r="D13" s="9" t="s">
        <v>26</v>
      </c>
      <c r="E13" s="9">
        <v>8</v>
      </c>
      <c r="F13" s="9" t="s">
        <v>164</v>
      </c>
      <c r="G13" s="15">
        <v>1600</v>
      </c>
      <c r="H13" s="11" t="s">
        <v>339</v>
      </c>
      <c r="I13" s="11" t="s">
        <v>146</v>
      </c>
      <c r="J13" s="11"/>
      <c r="K13" s="15">
        <v>2024</v>
      </c>
      <c r="L13" s="15">
        <v>2100</v>
      </c>
      <c r="M13" s="9" t="str">
        <f t="shared" si="0"/>
        <v>/SAP/Safi/8/DA-HRS/1600/New/2024/2100</v>
      </c>
    </row>
    <row r="14" spans="2:13" x14ac:dyDescent="0.25">
      <c r="D14" s="9" t="s">
        <v>26</v>
      </c>
      <c r="E14" s="9">
        <v>4</v>
      </c>
      <c r="F14" s="9" t="s">
        <v>165</v>
      </c>
      <c r="G14" s="15">
        <v>3200</v>
      </c>
      <c r="H14" s="11" t="s">
        <v>339</v>
      </c>
      <c r="I14" s="11" t="s">
        <v>146</v>
      </c>
      <c r="J14" s="11"/>
      <c r="K14" s="15">
        <v>2028</v>
      </c>
      <c r="L14" s="15">
        <v>2100</v>
      </c>
      <c r="M14" s="9" t="str">
        <f t="shared" si="0"/>
        <v>/SAP/Safi/4/Core SO2/3200/New/2028/2100</v>
      </c>
    </row>
    <row r="15" spans="2:13" x14ac:dyDescent="0.25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25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2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2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2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2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2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2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2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2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2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2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2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2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2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2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2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2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2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2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2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2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2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25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25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25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25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ht="15.75" thickBot="1" x14ac:dyDescent="0.3">
      <c r="D42" s="10"/>
      <c r="E42" s="10"/>
      <c r="F42" s="10"/>
      <c r="G42" s="16"/>
      <c r="H42" s="12"/>
      <c r="I42" s="12"/>
      <c r="J42" s="12"/>
      <c r="K42" s="16"/>
      <c r="L42" s="16"/>
      <c r="M42" s="10" t="str">
        <f t="shared" si="0"/>
        <v/>
      </c>
    </row>
    <row r="43" spans="4:13" x14ac:dyDescent="0.25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J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28.42578125" style="5" customWidth="1"/>
    <col min="6" max="7" width="15.5703125" style="5" customWidth="1"/>
    <col min="8" max="18" width="8.5703125" style="5" customWidth="1"/>
    <col min="19" max="16384" width="11.5703125" style="5"/>
  </cols>
  <sheetData>
    <row r="1" spans="2:18" s="52" customFormat="1" ht="25.35" customHeight="1" x14ac:dyDescent="0.25">
      <c r="B1" s="48" t="s">
        <v>177</v>
      </c>
    </row>
    <row r="3" spans="2:18" ht="15.75" thickBot="1" x14ac:dyDescent="0.3">
      <c r="D3" s="38" t="str">
        <f>JESA_UploadTable(B1,D4:R14,db)</f>
        <v>SAP &amp; Power plant production @17:32:54</v>
      </c>
      <c r="E3" s="38"/>
    </row>
    <row r="4" spans="2:18" ht="30" customHeight="1" thickBot="1" x14ac:dyDescent="0.3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25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.75" thickBot="1" x14ac:dyDescent="0.3">
      <c r="D6" s="74" t="s">
        <v>3</v>
      </c>
      <c r="E6" s="74" t="s">
        <v>164</v>
      </c>
      <c r="F6" s="74" t="s">
        <v>15</v>
      </c>
      <c r="G6" s="74" t="s">
        <v>65</v>
      </c>
      <c r="H6" s="143">
        <v>370</v>
      </c>
      <c r="I6" s="143">
        <v>370</v>
      </c>
      <c r="J6" s="143">
        <v>370</v>
      </c>
      <c r="K6" s="143">
        <v>370</v>
      </c>
      <c r="L6" s="143">
        <v>370</v>
      </c>
      <c r="M6" s="143">
        <v>370</v>
      </c>
      <c r="N6" s="143">
        <v>370</v>
      </c>
      <c r="O6" s="143">
        <v>370</v>
      </c>
      <c r="P6" s="143">
        <v>370</v>
      </c>
      <c r="Q6" s="143">
        <v>370</v>
      </c>
      <c r="R6" s="143">
        <v>370</v>
      </c>
    </row>
    <row r="7" spans="2:18" x14ac:dyDescent="0.25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.75" thickBot="1" x14ac:dyDescent="0.3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25">
      <c r="D9" s="45" t="s">
        <v>26</v>
      </c>
      <c r="E9" s="45" t="s">
        <v>167</v>
      </c>
      <c r="F9" s="45" t="s">
        <v>29</v>
      </c>
      <c r="G9" s="45" t="s">
        <v>57</v>
      </c>
      <c r="H9" s="142">
        <v>1</v>
      </c>
      <c r="I9" s="142">
        <v>1</v>
      </c>
      <c r="J9" s="142">
        <v>1</v>
      </c>
      <c r="K9" s="142">
        <v>1</v>
      </c>
      <c r="L9" s="142">
        <v>1</v>
      </c>
      <c r="M9" s="142">
        <v>1</v>
      </c>
      <c r="N9" s="142">
        <v>1</v>
      </c>
      <c r="O9" s="142">
        <v>1</v>
      </c>
      <c r="P9" s="142">
        <v>1</v>
      </c>
      <c r="Q9" s="142">
        <v>1</v>
      </c>
      <c r="R9" s="142">
        <v>1</v>
      </c>
    </row>
    <row r="10" spans="2:18" ht="15.75" thickBot="1" x14ac:dyDescent="0.3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25">
      <c r="D11" s="45" t="s">
        <v>26</v>
      </c>
      <c r="E11" s="45" t="s">
        <v>164</v>
      </c>
      <c r="F11" s="45" t="s">
        <v>29</v>
      </c>
      <c r="G11" s="45" t="s">
        <v>57</v>
      </c>
      <c r="H11" s="142">
        <v>1</v>
      </c>
      <c r="I11" s="142">
        <v>1</v>
      </c>
      <c r="J11" s="142">
        <v>1</v>
      </c>
      <c r="K11" s="142">
        <v>1</v>
      </c>
      <c r="L11" s="142">
        <v>1</v>
      </c>
      <c r="M11" s="142">
        <v>1</v>
      </c>
      <c r="N11" s="142">
        <v>1</v>
      </c>
      <c r="O11" s="142">
        <v>1</v>
      </c>
      <c r="P11" s="142">
        <v>1</v>
      </c>
      <c r="Q11" s="142">
        <v>1</v>
      </c>
      <c r="R11" s="142">
        <v>1</v>
      </c>
    </row>
    <row r="12" spans="2:18" ht="15.75" thickBot="1" x14ac:dyDescent="0.3">
      <c r="D12" s="74" t="s">
        <v>26</v>
      </c>
      <c r="E12" s="74" t="s">
        <v>164</v>
      </c>
      <c r="F12" s="74" t="s">
        <v>15</v>
      </c>
      <c r="G12" s="74" t="s">
        <v>65</v>
      </c>
      <c r="H12" s="143">
        <v>370</v>
      </c>
      <c r="I12" s="143">
        <v>370</v>
      </c>
      <c r="J12" s="143">
        <v>370</v>
      </c>
      <c r="K12" s="143">
        <v>370</v>
      </c>
      <c r="L12" s="143">
        <v>370</v>
      </c>
      <c r="M12" s="143">
        <v>370</v>
      </c>
      <c r="N12" s="143">
        <v>370</v>
      </c>
      <c r="O12" s="143">
        <v>370</v>
      </c>
      <c r="P12" s="143">
        <v>370</v>
      </c>
      <c r="Q12" s="143">
        <v>370</v>
      </c>
      <c r="R12" s="143">
        <v>370</v>
      </c>
    </row>
    <row r="13" spans="2:18" x14ac:dyDescent="0.25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.75" thickBot="1" x14ac:dyDescent="0.3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25">
      <c r="D15" s="45"/>
      <c r="E15" s="45"/>
      <c r="F15" s="45"/>
      <c r="G15" s="45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</row>
    <row r="16" spans="2:18" x14ac:dyDescent="0.2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25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25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25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25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25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25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25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25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25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25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25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25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25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25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25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25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25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25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25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25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25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25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25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25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25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25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25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25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25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25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25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25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.75" thickBot="1" x14ac:dyDescent="0.3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23.42578125" style="5" customWidth="1"/>
    <col min="7" max="7" width="15.5703125" style="5" customWidth="1"/>
    <col min="8" max="18" width="8.5703125" style="5" customWidth="1"/>
    <col min="19" max="19" width="11.5703125" style="5"/>
    <col min="20" max="20" width="14.85546875" style="5" bestFit="1" customWidth="1"/>
    <col min="21" max="16384" width="11.5703125" style="5"/>
  </cols>
  <sheetData>
    <row r="1" spans="1:20" s="52" customFormat="1" ht="25.35" customHeight="1" x14ac:dyDescent="0.25">
      <c r="B1" s="58" t="s">
        <v>178</v>
      </c>
    </row>
    <row r="2" spans="1:20" x14ac:dyDescent="0.25">
      <c r="A2" s="59"/>
    </row>
    <row r="3" spans="1:20" ht="15.75" thickBot="1" x14ac:dyDescent="0.3">
      <c r="D3" s="38" t="str">
        <f>JESA_UploadTable(B1,D4:R29,db)</f>
        <v>SAP &amp; Power plant opex &amp; specific consumptions @17:32:55</v>
      </c>
    </row>
    <row r="4" spans="1:20" ht="30" customHeight="1" thickBot="1" x14ac:dyDescent="0.3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25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25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25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.75" thickBot="1" x14ac:dyDescent="0.3">
      <c r="D8" s="10" t="s">
        <v>3</v>
      </c>
      <c r="E8" s="10" t="s">
        <v>164</v>
      </c>
      <c r="F8" s="10" t="s">
        <v>22</v>
      </c>
      <c r="G8" s="10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  <c r="T8" s="5">
        <f>1431000</f>
        <v>1431000</v>
      </c>
    </row>
    <row r="9" spans="1:20" x14ac:dyDescent="0.25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6">
        <f>T8*R8</f>
        <v>62964000</v>
      </c>
    </row>
    <row r="10" spans="1:20" x14ac:dyDescent="0.25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25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25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ht="15.75" thickBot="1" x14ac:dyDescent="0.3">
      <c r="D13" s="10" t="s">
        <v>26</v>
      </c>
      <c r="E13" s="10" t="s">
        <v>164</v>
      </c>
      <c r="F13" s="10" t="s">
        <v>13</v>
      </c>
      <c r="G13" s="10" t="s">
        <v>61</v>
      </c>
      <c r="H13" s="46">
        <v>0.33</v>
      </c>
      <c r="I13" s="46">
        <v>0.33</v>
      </c>
      <c r="J13" s="46">
        <v>0.33</v>
      </c>
      <c r="K13" s="46">
        <v>0.33</v>
      </c>
      <c r="L13" s="46">
        <v>0.33</v>
      </c>
      <c r="M13" s="46">
        <v>0.33</v>
      </c>
      <c r="N13" s="46">
        <v>0.33</v>
      </c>
      <c r="O13" s="46">
        <v>0.33</v>
      </c>
      <c r="P13" s="46">
        <v>0.33</v>
      </c>
      <c r="Q13" s="46">
        <v>0.33</v>
      </c>
      <c r="R13" s="46">
        <v>0.33</v>
      </c>
    </row>
    <row r="14" spans="1:20" x14ac:dyDescent="0.25">
      <c r="D14" s="8" t="s">
        <v>26</v>
      </c>
      <c r="E14" s="8" t="s">
        <v>164</v>
      </c>
      <c r="F14" s="8" t="s">
        <v>15</v>
      </c>
      <c r="G14" s="8" t="s">
        <v>65</v>
      </c>
      <c r="H14" s="17">
        <v>62</v>
      </c>
      <c r="I14" s="17">
        <v>62</v>
      </c>
      <c r="J14" s="17">
        <v>62</v>
      </c>
      <c r="K14" s="17">
        <v>62</v>
      </c>
      <c r="L14" s="17">
        <v>62</v>
      </c>
      <c r="M14" s="17">
        <v>62</v>
      </c>
      <c r="N14" s="17">
        <v>62</v>
      </c>
      <c r="O14" s="17">
        <v>62</v>
      </c>
      <c r="P14" s="17">
        <v>62</v>
      </c>
      <c r="Q14" s="17">
        <v>62</v>
      </c>
      <c r="R14" s="17">
        <v>62</v>
      </c>
    </row>
    <row r="15" spans="1:20" x14ac:dyDescent="0.25">
      <c r="D15" s="9" t="s">
        <v>26</v>
      </c>
      <c r="E15" s="9" t="s">
        <v>164</v>
      </c>
      <c r="F15" s="9" t="s">
        <v>34</v>
      </c>
      <c r="G15" s="9" t="s">
        <v>57</v>
      </c>
      <c r="H15" s="18">
        <v>0.33</v>
      </c>
      <c r="I15" s="18">
        <v>0.33</v>
      </c>
      <c r="J15" s="18">
        <v>0.33</v>
      </c>
      <c r="K15" s="18">
        <v>0.33</v>
      </c>
      <c r="L15" s="18">
        <v>0.33</v>
      </c>
      <c r="M15" s="18">
        <v>0.33</v>
      </c>
      <c r="N15" s="18">
        <v>0.33</v>
      </c>
      <c r="O15" s="18">
        <v>0.33</v>
      </c>
      <c r="P15" s="18">
        <v>0.33</v>
      </c>
      <c r="Q15" s="18">
        <v>0.33</v>
      </c>
      <c r="R15" s="18">
        <v>0.33</v>
      </c>
    </row>
    <row r="16" spans="1:20" x14ac:dyDescent="0.25">
      <c r="D16" s="9" t="s">
        <v>26</v>
      </c>
      <c r="E16" s="9" t="s">
        <v>164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25">
      <c r="D17" s="9" t="s">
        <v>26</v>
      </c>
      <c r="E17" s="9" t="s">
        <v>164</v>
      </c>
      <c r="F17" s="9" t="s">
        <v>22</v>
      </c>
      <c r="G17" s="9" t="s">
        <v>133</v>
      </c>
      <c r="H17" s="18">
        <v>44</v>
      </c>
      <c r="I17" s="18">
        <v>44</v>
      </c>
      <c r="J17" s="18">
        <v>44</v>
      </c>
      <c r="K17" s="18">
        <v>44</v>
      </c>
      <c r="L17" s="18">
        <v>44</v>
      </c>
      <c r="M17" s="18">
        <v>44</v>
      </c>
      <c r="N17" s="18">
        <v>44</v>
      </c>
      <c r="O17" s="18">
        <v>44</v>
      </c>
      <c r="P17" s="18">
        <v>44</v>
      </c>
      <c r="Q17" s="18">
        <v>44</v>
      </c>
      <c r="R17" s="18">
        <v>44</v>
      </c>
    </row>
    <row r="18" spans="4:18" ht="15.75" thickBot="1" x14ac:dyDescent="0.3">
      <c r="D18" s="10" t="s">
        <v>26</v>
      </c>
      <c r="E18" s="10" t="s">
        <v>165</v>
      </c>
      <c r="F18" s="10" t="s">
        <v>13</v>
      </c>
      <c r="G18" s="10" t="s">
        <v>61</v>
      </c>
      <c r="H18" s="46">
        <v>0.33</v>
      </c>
      <c r="I18" s="46">
        <v>0.33</v>
      </c>
      <c r="J18" s="46">
        <v>0.33</v>
      </c>
      <c r="K18" s="46">
        <v>0.33</v>
      </c>
      <c r="L18" s="46">
        <v>0.33</v>
      </c>
      <c r="M18" s="46">
        <v>0.33</v>
      </c>
      <c r="N18" s="46">
        <v>0.33</v>
      </c>
      <c r="O18" s="46">
        <v>0.33</v>
      </c>
      <c r="P18" s="46">
        <v>0.33</v>
      </c>
      <c r="Q18" s="46">
        <v>0.33</v>
      </c>
      <c r="R18" s="46">
        <v>0.33</v>
      </c>
    </row>
    <row r="19" spans="4:18" x14ac:dyDescent="0.25">
      <c r="D19" s="8" t="s">
        <v>26</v>
      </c>
      <c r="E19" s="8" t="s">
        <v>165</v>
      </c>
      <c r="F19" s="8" t="s">
        <v>15</v>
      </c>
      <c r="G19" s="8" t="s">
        <v>65</v>
      </c>
      <c r="H19" s="17">
        <v>138</v>
      </c>
      <c r="I19" s="17">
        <v>138</v>
      </c>
      <c r="J19" s="17">
        <v>138</v>
      </c>
      <c r="K19" s="17">
        <v>138</v>
      </c>
      <c r="L19" s="17">
        <v>138</v>
      </c>
      <c r="M19" s="17">
        <v>138</v>
      </c>
      <c r="N19" s="17">
        <v>138</v>
      </c>
      <c r="O19" s="17">
        <v>138</v>
      </c>
      <c r="P19" s="17">
        <v>138</v>
      </c>
      <c r="Q19" s="17">
        <v>138</v>
      </c>
      <c r="R19" s="17">
        <v>138</v>
      </c>
    </row>
    <row r="20" spans="4:18" x14ac:dyDescent="0.25">
      <c r="D20" s="9" t="s">
        <v>26</v>
      </c>
      <c r="E20" s="9" t="s">
        <v>165</v>
      </c>
      <c r="F20" s="9" t="s">
        <v>34</v>
      </c>
      <c r="G20" s="9" t="s">
        <v>57</v>
      </c>
      <c r="H20" s="18">
        <v>0.33</v>
      </c>
      <c r="I20" s="18">
        <v>0.33</v>
      </c>
      <c r="J20" s="18">
        <v>0.33</v>
      </c>
      <c r="K20" s="18">
        <v>0.33</v>
      </c>
      <c r="L20" s="18">
        <v>0.33</v>
      </c>
      <c r="M20" s="18">
        <v>0.33</v>
      </c>
      <c r="N20" s="18">
        <v>0.33</v>
      </c>
      <c r="O20" s="18">
        <v>0.33</v>
      </c>
      <c r="P20" s="18">
        <v>0.33</v>
      </c>
      <c r="Q20" s="18">
        <v>0.33</v>
      </c>
      <c r="R20" s="18">
        <v>0.33</v>
      </c>
    </row>
    <row r="21" spans="4:18" x14ac:dyDescent="0.25">
      <c r="D21" s="9" t="s">
        <v>26</v>
      </c>
      <c r="E21" s="9" t="s">
        <v>165</v>
      </c>
      <c r="F21" s="9" t="s">
        <v>14</v>
      </c>
      <c r="G21" s="9" t="s">
        <v>61</v>
      </c>
      <c r="H21" s="18">
        <v>6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</row>
    <row r="22" spans="4:18" x14ac:dyDescent="0.25">
      <c r="D22" s="9" t="s">
        <v>26</v>
      </c>
      <c r="E22" s="9" t="s">
        <v>165</v>
      </c>
      <c r="F22" s="9" t="s">
        <v>22</v>
      </c>
      <c r="G22" s="9" t="s">
        <v>133</v>
      </c>
      <c r="H22" s="18">
        <v>44</v>
      </c>
      <c r="I22" s="18">
        <v>44</v>
      </c>
      <c r="J22" s="18">
        <v>44</v>
      </c>
      <c r="K22" s="18">
        <v>44</v>
      </c>
      <c r="L22" s="18">
        <v>44</v>
      </c>
      <c r="M22" s="18">
        <v>44</v>
      </c>
      <c r="N22" s="18">
        <v>44</v>
      </c>
      <c r="O22" s="18">
        <v>44</v>
      </c>
      <c r="P22" s="18">
        <v>44</v>
      </c>
      <c r="Q22" s="18">
        <v>44</v>
      </c>
      <c r="R22" s="18">
        <v>44</v>
      </c>
    </row>
    <row r="23" spans="4:18" x14ac:dyDescent="0.25">
      <c r="D23" s="9" t="s">
        <v>26</v>
      </c>
      <c r="E23" s="9" t="s">
        <v>167</v>
      </c>
      <c r="F23" s="9" t="s">
        <v>13</v>
      </c>
      <c r="G23" s="9" t="s">
        <v>61</v>
      </c>
      <c r="H23" s="18">
        <v>0.33</v>
      </c>
      <c r="I23" s="18">
        <v>0.33</v>
      </c>
      <c r="J23" s="18">
        <v>0.33</v>
      </c>
      <c r="K23" s="18">
        <v>0.33</v>
      </c>
      <c r="L23" s="18">
        <v>0.33</v>
      </c>
      <c r="M23" s="18">
        <v>0.33</v>
      </c>
      <c r="N23" s="18">
        <v>0.33</v>
      </c>
      <c r="O23" s="18">
        <v>0.33</v>
      </c>
      <c r="P23" s="18">
        <v>0.33</v>
      </c>
      <c r="Q23" s="18">
        <v>0.33</v>
      </c>
      <c r="R23" s="18">
        <v>0.33</v>
      </c>
    </row>
    <row r="24" spans="4:18" ht="15.75" thickBot="1" x14ac:dyDescent="0.3">
      <c r="D24" s="10" t="s">
        <v>26</v>
      </c>
      <c r="E24" s="10" t="s">
        <v>167</v>
      </c>
      <c r="F24" s="10" t="s">
        <v>15</v>
      </c>
      <c r="G24" s="10" t="s">
        <v>65</v>
      </c>
      <c r="H24" s="46">
        <v>100</v>
      </c>
      <c r="I24" s="46">
        <v>100</v>
      </c>
      <c r="J24" s="46">
        <v>100</v>
      </c>
      <c r="K24" s="46">
        <v>100</v>
      </c>
      <c r="L24" s="46">
        <v>100</v>
      </c>
      <c r="M24" s="46">
        <v>100</v>
      </c>
      <c r="N24" s="46">
        <v>100</v>
      </c>
      <c r="O24" s="46">
        <v>100</v>
      </c>
      <c r="P24" s="46">
        <v>100</v>
      </c>
      <c r="Q24" s="46">
        <v>100</v>
      </c>
      <c r="R24" s="46">
        <v>100</v>
      </c>
    </row>
    <row r="25" spans="4:18" x14ac:dyDescent="0.25">
      <c r="D25" s="8" t="s">
        <v>26</v>
      </c>
      <c r="E25" s="8" t="s">
        <v>167</v>
      </c>
      <c r="F25" s="8" t="s">
        <v>34</v>
      </c>
      <c r="G25" s="8" t="s">
        <v>57</v>
      </c>
      <c r="H25" s="17">
        <v>0.33</v>
      </c>
      <c r="I25" s="17">
        <v>0.33</v>
      </c>
      <c r="J25" s="17">
        <v>0.33</v>
      </c>
      <c r="K25" s="17">
        <v>0.33</v>
      </c>
      <c r="L25" s="17">
        <v>0.33</v>
      </c>
      <c r="M25" s="17">
        <v>0.33</v>
      </c>
      <c r="N25" s="17">
        <v>0.33</v>
      </c>
      <c r="O25" s="17">
        <v>0.33</v>
      </c>
      <c r="P25" s="17">
        <v>0.33</v>
      </c>
      <c r="Q25" s="17">
        <v>0.33</v>
      </c>
      <c r="R25" s="17">
        <v>0.33</v>
      </c>
    </row>
    <row r="26" spans="4:18" x14ac:dyDescent="0.25">
      <c r="D26" s="9" t="s">
        <v>26</v>
      </c>
      <c r="E26" s="9" t="s">
        <v>167</v>
      </c>
      <c r="F26" s="9" t="s">
        <v>14</v>
      </c>
      <c r="G26" s="9" t="s">
        <v>61</v>
      </c>
      <c r="H26" s="18">
        <v>80</v>
      </c>
      <c r="I26" s="18">
        <v>80</v>
      </c>
      <c r="J26" s="18">
        <v>80</v>
      </c>
      <c r="K26" s="18">
        <v>80</v>
      </c>
      <c r="L26" s="18">
        <v>80</v>
      </c>
      <c r="M26" s="18">
        <v>80</v>
      </c>
      <c r="N26" s="18">
        <v>80</v>
      </c>
      <c r="O26" s="18">
        <v>80</v>
      </c>
      <c r="P26" s="18">
        <v>80</v>
      </c>
      <c r="Q26" s="18">
        <v>80</v>
      </c>
      <c r="R26" s="18">
        <v>80</v>
      </c>
    </row>
    <row r="27" spans="4:18" x14ac:dyDescent="0.25">
      <c r="D27" s="9" t="s">
        <v>26</v>
      </c>
      <c r="E27" s="9" t="s">
        <v>167</v>
      </c>
      <c r="F27" s="9" t="s">
        <v>22</v>
      </c>
      <c r="G27" s="9" t="s">
        <v>133</v>
      </c>
      <c r="H27" s="18">
        <v>66</v>
      </c>
      <c r="I27" s="18">
        <v>66</v>
      </c>
      <c r="J27" s="18">
        <v>66</v>
      </c>
      <c r="K27" s="18">
        <v>66</v>
      </c>
      <c r="L27" s="18">
        <v>66</v>
      </c>
      <c r="M27" s="18">
        <v>66</v>
      </c>
      <c r="N27" s="18">
        <v>66</v>
      </c>
      <c r="O27" s="18">
        <v>66</v>
      </c>
      <c r="P27" s="18">
        <v>66</v>
      </c>
      <c r="Q27" s="18">
        <v>66</v>
      </c>
      <c r="R27" s="18">
        <v>66</v>
      </c>
    </row>
    <row r="28" spans="4:18" x14ac:dyDescent="0.25">
      <c r="D28" s="9"/>
      <c r="E28" s="9"/>
      <c r="F28" s="9"/>
      <c r="G28" s="9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ht="15.75" thickBot="1" x14ac:dyDescent="0.3">
      <c r="D29" s="10"/>
      <c r="E29" s="10"/>
      <c r="F29" s="10"/>
      <c r="G29" s="10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4:18" x14ac:dyDescent="0.25">
      <c r="D30" s="45"/>
      <c r="E30" s="45"/>
      <c r="F30" s="45"/>
      <c r="G30" s="45"/>
      <c r="H30" s="144"/>
      <c r="I30" s="144" t="str">
        <f t="shared" ref="I30:R37" si="0">IF(H30="","",H30)</f>
        <v/>
      </c>
      <c r="J30" s="144" t="str">
        <f t="shared" si="0"/>
        <v/>
      </c>
      <c r="K30" s="144" t="str">
        <f t="shared" si="0"/>
        <v/>
      </c>
      <c r="L30" s="144" t="str">
        <f t="shared" si="0"/>
        <v/>
      </c>
      <c r="M30" s="144" t="str">
        <f t="shared" si="0"/>
        <v/>
      </c>
      <c r="N30" s="144" t="str">
        <f t="shared" si="0"/>
        <v/>
      </c>
      <c r="O30" s="144" t="str">
        <f t="shared" si="0"/>
        <v/>
      </c>
      <c r="P30" s="144" t="str">
        <f t="shared" si="0"/>
        <v/>
      </c>
      <c r="Q30" s="144" t="str">
        <f t="shared" si="0"/>
        <v/>
      </c>
      <c r="R30" s="144" t="str">
        <f t="shared" si="0"/>
        <v/>
      </c>
    </row>
    <row r="31" spans="4:18" x14ac:dyDescent="0.25">
      <c r="D31" s="9"/>
      <c r="E31" s="9"/>
      <c r="F31" s="9"/>
      <c r="G31" s="9"/>
      <c r="H31" s="18"/>
      <c r="I31" s="18" t="str">
        <f t="shared" si="0"/>
        <v/>
      </c>
      <c r="J31" s="18" t="str">
        <f t="shared" si="0"/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</row>
    <row r="32" spans="4:18" x14ac:dyDescent="0.25">
      <c r="D32" s="9"/>
      <c r="E32" s="9"/>
      <c r="F32" s="9"/>
      <c r="G32" s="9"/>
      <c r="H32" s="18"/>
      <c r="I32" s="18" t="str">
        <f t="shared" si="0"/>
        <v/>
      </c>
      <c r="J32" s="18" t="str">
        <f t="shared" si="0"/>
        <v/>
      </c>
      <c r="K32" s="18" t="str">
        <f t="shared" si="0"/>
        <v/>
      </c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</row>
    <row r="33" spans="4:18" x14ac:dyDescent="0.25">
      <c r="D33" s="9"/>
      <c r="E33" s="9"/>
      <c r="F33" s="9"/>
      <c r="G33" s="9"/>
      <c r="H33" s="18"/>
      <c r="I33" s="18" t="str">
        <f t="shared" si="0"/>
        <v/>
      </c>
      <c r="J33" s="18" t="str">
        <f t="shared" si="0"/>
        <v/>
      </c>
      <c r="K33" s="18" t="str">
        <f t="shared" si="0"/>
        <v/>
      </c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</row>
    <row r="34" spans="4:18" x14ac:dyDescent="0.25">
      <c r="D34" s="9"/>
      <c r="E34" s="9"/>
      <c r="F34" s="9"/>
      <c r="G34" s="9"/>
      <c r="H34" s="18"/>
      <c r="I34" s="18" t="str">
        <f t="shared" si="0"/>
        <v/>
      </c>
      <c r="J34" s="18" t="str">
        <f t="shared" si="0"/>
        <v/>
      </c>
      <c r="K34" s="18" t="str">
        <f t="shared" si="0"/>
        <v/>
      </c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</row>
    <row r="35" spans="4:18" x14ac:dyDescent="0.25">
      <c r="D35" s="9"/>
      <c r="E35" s="9"/>
      <c r="F35" s="9"/>
      <c r="G35" s="9"/>
      <c r="H35" s="18"/>
      <c r="I35" s="18" t="str">
        <f t="shared" si="0"/>
        <v/>
      </c>
      <c r="J35" s="18" t="str">
        <f t="shared" si="0"/>
        <v/>
      </c>
      <c r="K35" s="18" t="str">
        <f t="shared" si="0"/>
        <v/>
      </c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</row>
    <row r="36" spans="4:18" x14ac:dyDescent="0.25">
      <c r="D36" s="9"/>
      <c r="E36" s="9"/>
      <c r="F36" s="9"/>
      <c r="G36" s="9"/>
      <c r="H36" s="18"/>
      <c r="I36" s="18" t="str">
        <f t="shared" si="0"/>
        <v/>
      </c>
      <c r="J36" s="18" t="str">
        <f t="shared" si="0"/>
        <v/>
      </c>
      <c r="K36" s="18" t="str">
        <f t="shared" si="0"/>
        <v/>
      </c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</row>
    <row r="37" spans="4:18" x14ac:dyDescent="0.25">
      <c r="D37" s="9"/>
      <c r="E37" s="9"/>
      <c r="F37" s="9"/>
      <c r="G37" s="9"/>
      <c r="H37" s="18"/>
      <c r="I37" s="18" t="str">
        <f t="shared" si="0"/>
        <v/>
      </c>
      <c r="J37" s="18" t="str">
        <f t="shared" si="0"/>
        <v/>
      </c>
      <c r="K37" s="18" t="str">
        <f t="shared" si="0"/>
        <v/>
      </c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</row>
    <row r="38" spans="4:18" x14ac:dyDescent="0.25">
      <c r="D38" s="9"/>
      <c r="E38" s="9"/>
      <c r="F38" s="9"/>
      <c r="G38" s="9"/>
      <c r="H38" s="18"/>
      <c r="I38" s="18" t="str">
        <f t="shared" ref="I38:R50" si="1">IF(H38="","",H38)</f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25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x14ac:dyDescent="0.25">
      <c r="D40" s="9"/>
      <c r="E40" s="9"/>
      <c r="F40" s="9"/>
      <c r="G40" s="9"/>
      <c r="H40" s="18"/>
      <c r="I40" s="18" t="str">
        <f t="shared" si="1"/>
        <v/>
      </c>
      <c r="J40" s="18" t="str">
        <f t="shared" si="1"/>
        <v/>
      </c>
      <c r="K40" s="18" t="str">
        <f t="shared" si="1"/>
        <v/>
      </c>
      <c r="L40" s="18" t="str">
        <f t="shared" si="1"/>
        <v/>
      </c>
      <c r="M40" s="18" t="str">
        <f t="shared" si="1"/>
        <v/>
      </c>
      <c r="N40" s="18" t="str">
        <f t="shared" si="1"/>
        <v/>
      </c>
      <c r="O40" s="18" t="str">
        <f t="shared" si="1"/>
        <v/>
      </c>
      <c r="P40" s="18" t="str">
        <f t="shared" si="1"/>
        <v/>
      </c>
      <c r="Q40" s="18" t="str">
        <f t="shared" si="1"/>
        <v/>
      </c>
      <c r="R40" s="18" t="str">
        <f t="shared" si="1"/>
        <v/>
      </c>
    </row>
    <row r="41" spans="4:18" x14ac:dyDescent="0.25">
      <c r="D41" s="9"/>
      <c r="E41" s="9"/>
      <c r="F41" s="9"/>
      <c r="G41" s="9"/>
      <c r="H41" s="18"/>
      <c r="I41" s="18" t="str">
        <f t="shared" si="1"/>
        <v/>
      </c>
      <c r="J41" s="18" t="str">
        <f t="shared" si="1"/>
        <v/>
      </c>
      <c r="K41" s="18" t="str">
        <f t="shared" si="1"/>
        <v/>
      </c>
      <c r="L41" s="18" t="str">
        <f t="shared" si="1"/>
        <v/>
      </c>
      <c r="M41" s="18" t="str">
        <f t="shared" si="1"/>
        <v/>
      </c>
      <c r="N41" s="18" t="str">
        <f t="shared" si="1"/>
        <v/>
      </c>
      <c r="O41" s="18" t="str">
        <f t="shared" si="1"/>
        <v/>
      </c>
      <c r="P41" s="18" t="str">
        <f t="shared" si="1"/>
        <v/>
      </c>
      <c r="Q41" s="18" t="str">
        <f t="shared" si="1"/>
        <v/>
      </c>
      <c r="R41" s="18" t="str">
        <f t="shared" si="1"/>
        <v/>
      </c>
    </row>
    <row r="42" spans="4:18" x14ac:dyDescent="0.25">
      <c r="D42" s="9"/>
      <c r="E42" s="9"/>
      <c r="F42" s="9"/>
      <c r="G42" s="9"/>
      <c r="H42" s="18"/>
      <c r="I42" s="18" t="str">
        <f t="shared" si="1"/>
        <v/>
      </c>
      <c r="J42" s="18" t="str">
        <f t="shared" si="1"/>
        <v/>
      </c>
      <c r="K42" s="18" t="str">
        <f t="shared" si="1"/>
        <v/>
      </c>
      <c r="L42" s="18" t="str">
        <f t="shared" si="1"/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</row>
    <row r="43" spans="4:18" x14ac:dyDescent="0.25">
      <c r="D43" s="9"/>
      <c r="E43" s="9"/>
      <c r="F43" s="9"/>
      <c r="G43" s="9"/>
      <c r="H43" s="18"/>
      <c r="I43" s="18" t="str">
        <f t="shared" si="1"/>
        <v/>
      </c>
      <c r="J43" s="18" t="str">
        <f t="shared" si="1"/>
        <v/>
      </c>
      <c r="K43" s="18" t="str">
        <f t="shared" si="1"/>
        <v/>
      </c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</row>
    <row r="44" spans="4:18" x14ac:dyDescent="0.25">
      <c r="D44" s="9"/>
      <c r="E44" s="9"/>
      <c r="F44" s="9"/>
      <c r="G44" s="9"/>
      <c r="H44" s="18"/>
      <c r="I44" s="18" t="str">
        <f t="shared" si="1"/>
        <v/>
      </c>
      <c r="J44" s="18" t="str">
        <f t="shared" si="1"/>
        <v/>
      </c>
      <c r="K44" s="18" t="str">
        <f t="shared" si="1"/>
        <v/>
      </c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</row>
    <row r="45" spans="4:18" x14ac:dyDescent="0.25">
      <c r="D45" s="9"/>
      <c r="E45" s="9"/>
      <c r="F45" s="9"/>
      <c r="G45" s="9"/>
      <c r="H45" s="18"/>
      <c r="I45" s="18" t="str">
        <f t="shared" si="1"/>
        <v/>
      </c>
      <c r="J45" s="18" t="str">
        <f t="shared" si="1"/>
        <v/>
      </c>
      <c r="K45" s="18" t="str">
        <f t="shared" si="1"/>
        <v/>
      </c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</row>
    <row r="46" spans="4:18" x14ac:dyDescent="0.25">
      <c r="D46" s="9"/>
      <c r="E46" s="9"/>
      <c r="F46" s="9"/>
      <c r="G46" s="9"/>
      <c r="H46" s="18"/>
      <c r="I46" s="18" t="str">
        <f t="shared" si="1"/>
        <v/>
      </c>
      <c r="J46" s="18" t="str">
        <f t="shared" si="1"/>
        <v/>
      </c>
      <c r="K46" s="18" t="str">
        <f t="shared" si="1"/>
        <v/>
      </c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</row>
    <row r="47" spans="4:18" x14ac:dyDescent="0.25">
      <c r="D47" s="9"/>
      <c r="E47" s="9"/>
      <c r="F47" s="9"/>
      <c r="G47" s="9"/>
      <c r="H47" s="18"/>
      <c r="I47" s="18" t="str">
        <f t="shared" si="1"/>
        <v/>
      </c>
      <c r="J47" s="18" t="str">
        <f t="shared" si="1"/>
        <v/>
      </c>
      <c r="K47" s="18" t="str">
        <f t="shared" si="1"/>
        <v/>
      </c>
      <c r="L47" s="18" t="str">
        <f t="shared" si="1"/>
        <v/>
      </c>
      <c r="M47" s="18" t="str">
        <f t="shared" si="1"/>
        <v/>
      </c>
      <c r="N47" s="18" t="str">
        <f t="shared" si="1"/>
        <v/>
      </c>
      <c r="O47" s="18" t="str">
        <f t="shared" si="1"/>
        <v/>
      </c>
      <c r="P47" s="18" t="str">
        <f t="shared" si="1"/>
        <v/>
      </c>
      <c r="Q47" s="18" t="str">
        <f t="shared" si="1"/>
        <v/>
      </c>
      <c r="R47" s="18" t="str">
        <f t="shared" si="1"/>
        <v/>
      </c>
    </row>
    <row r="48" spans="4:18" x14ac:dyDescent="0.25">
      <c r="D48" s="9"/>
      <c r="E48" s="9"/>
      <c r="F48" s="9"/>
      <c r="G48" s="9"/>
      <c r="H48" s="18"/>
      <c r="I48" s="18" t="str">
        <f t="shared" si="1"/>
        <v/>
      </c>
      <c r="J48" s="18" t="str">
        <f t="shared" si="1"/>
        <v/>
      </c>
      <c r="K48" s="18" t="str">
        <f t="shared" si="1"/>
        <v/>
      </c>
      <c r="L48" s="18" t="str">
        <f t="shared" si="1"/>
        <v/>
      </c>
      <c r="M48" s="18" t="str">
        <f t="shared" si="1"/>
        <v/>
      </c>
      <c r="N48" s="18" t="str">
        <f t="shared" si="1"/>
        <v/>
      </c>
      <c r="O48" s="18" t="str">
        <f t="shared" si="1"/>
        <v/>
      </c>
      <c r="P48" s="18" t="str">
        <f t="shared" si="1"/>
        <v/>
      </c>
      <c r="Q48" s="18" t="str">
        <f t="shared" si="1"/>
        <v/>
      </c>
      <c r="R48" s="18" t="str">
        <f t="shared" si="1"/>
        <v/>
      </c>
    </row>
    <row r="49" spans="4:18" x14ac:dyDescent="0.25">
      <c r="D49" s="9"/>
      <c r="E49" s="9"/>
      <c r="F49" s="9"/>
      <c r="G49" s="9"/>
      <c r="H49" s="18"/>
      <c r="I49" s="18" t="str">
        <f t="shared" si="1"/>
        <v/>
      </c>
      <c r="J49" s="18" t="str">
        <f t="shared" si="1"/>
        <v/>
      </c>
      <c r="K49" s="18" t="str">
        <f t="shared" si="1"/>
        <v/>
      </c>
      <c r="L49" s="18" t="str">
        <f t="shared" si="1"/>
        <v/>
      </c>
      <c r="M49" s="18" t="str">
        <f t="shared" si="1"/>
        <v/>
      </c>
      <c r="N49" s="18" t="str">
        <f t="shared" si="1"/>
        <v/>
      </c>
      <c r="O49" s="18" t="str">
        <f t="shared" si="1"/>
        <v/>
      </c>
      <c r="P49" s="18" t="str">
        <f t="shared" si="1"/>
        <v/>
      </c>
      <c r="Q49" s="18" t="str">
        <f t="shared" si="1"/>
        <v/>
      </c>
      <c r="R49" s="18" t="str">
        <f t="shared" si="1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1"/>
        <v/>
      </c>
      <c r="J50" s="46" t="str">
        <f t="shared" si="1"/>
        <v/>
      </c>
      <c r="K50" s="46" t="str">
        <f t="shared" si="1"/>
        <v/>
      </c>
      <c r="L50" s="46" t="str">
        <f t="shared" si="1"/>
        <v/>
      </c>
      <c r="M50" s="46" t="str">
        <f t="shared" si="1"/>
        <v/>
      </c>
      <c r="N50" s="46" t="str">
        <f t="shared" si="1"/>
        <v/>
      </c>
      <c r="O50" s="46" t="str">
        <f t="shared" si="1"/>
        <v/>
      </c>
      <c r="P50" s="46" t="str">
        <f t="shared" si="1"/>
        <v/>
      </c>
      <c r="Q50" s="46" t="str">
        <f t="shared" si="1"/>
        <v/>
      </c>
      <c r="R50" s="46" t="str">
        <f t="shared" si="1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8.5703125" style="5" bestFit="1" customWidth="1"/>
    <col min="7" max="9" width="15.5703125" style="5" customWidth="1"/>
    <col min="10" max="19" width="8.5703125" style="5" customWidth="1"/>
    <col min="20" max="16384" width="11.5703125" style="5"/>
  </cols>
  <sheetData>
    <row r="1" spans="2:19" s="52" customFormat="1" ht="25.35" customHeight="1" x14ac:dyDescent="0.25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.75" thickBot="1" x14ac:dyDescent="0.3">
      <c r="D3" s="38" t="str">
        <f>JESA_UploadTable(B1,D4:S10,db)</f>
        <v>SAP &amp; Power plant capex @17:32:54</v>
      </c>
      <c r="J3" s="152" t="s">
        <v>180</v>
      </c>
      <c r="K3" s="152"/>
      <c r="L3" s="152"/>
      <c r="M3" s="152"/>
      <c r="N3" s="152"/>
      <c r="O3" s="152"/>
      <c r="P3" s="152"/>
      <c r="Q3" s="152"/>
      <c r="R3" s="152"/>
      <c r="S3" s="152"/>
    </row>
    <row r="4" spans="2:19" ht="30" customHeight="1" thickBot="1" x14ac:dyDescent="0.3">
      <c r="D4" s="54" t="s">
        <v>8</v>
      </c>
      <c r="E4" s="54" t="s">
        <v>25</v>
      </c>
      <c r="F4" s="56" t="s">
        <v>270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364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25">
      <c r="D5" s="9" t="s">
        <v>3</v>
      </c>
      <c r="E5" s="9" t="s">
        <v>164</v>
      </c>
      <c r="F5" s="9">
        <v>1600</v>
      </c>
      <c r="G5" s="134" t="s">
        <v>22</v>
      </c>
      <c r="H5" s="9" t="s">
        <v>377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165</v>
      </c>
      <c r="F6" s="9">
        <v>1600</v>
      </c>
      <c r="G6" s="134" t="s">
        <v>22</v>
      </c>
      <c r="H6" s="9" t="s">
        <v>377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3</v>
      </c>
      <c r="E7" s="9" t="s">
        <v>165</v>
      </c>
      <c r="F7" s="9">
        <v>3200</v>
      </c>
      <c r="G7" s="134" t="s">
        <v>22</v>
      </c>
      <c r="H7" s="9" t="s">
        <v>377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164</v>
      </c>
      <c r="F8" s="9">
        <v>1600</v>
      </c>
      <c r="G8" s="134" t="s">
        <v>22</v>
      </c>
      <c r="H8" s="9" t="s">
        <v>377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26</v>
      </c>
      <c r="E9" s="9" t="s">
        <v>165</v>
      </c>
      <c r="F9" s="9">
        <v>1600</v>
      </c>
      <c r="G9" s="134" t="s">
        <v>22</v>
      </c>
      <c r="H9" s="9" t="s">
        <v>377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26</v>
      </c>
      <c r="E10" s="9" t="s">
        <v>165</v>
      </c>
      <c r="F10" s="9">
        <v>3200</v>
      </c>
      <c r="G10" s="134" t="s">
        <v>22</v>
      </c>
      <c r="H10" s="9" t="s">
        <v>377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/>
      <c r="E11" s="9"/>
      <c r="F11" s="9"/>
      <c r="G11" s="134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134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134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134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134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134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134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134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134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134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134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134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134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134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134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134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134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134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134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134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134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134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134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134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134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134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134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134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134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134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134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134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134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134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134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134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134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134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25">
      <c r="D49" s="9"/>
      <c r="E49" s="9"/>
      <c r="F49" s="9"/>
      <c r="G49" s="134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.75" thickBot="1" x14ac:dyDescent="0.3">
      <c r="D50" s="10"/>
      <c r="E50" s="10"/>
      <c r="F50" s="10"/>
      <c r="G50" s="135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D3" sqref="D3:O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3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4" width="1.5703125" style="31" customWidth="1"/>
    <col min="15" max="15" width="20.5703125" style="31" customWidth="1"/>
    <col min="16" max="16384" width="11.5703125" style="31"/>
  </cols>
  <sheetData>
    <row r="1" spans="2:15" s="66" customFormat="1" ht="25.35" customHeight="1" x14ac:dyDescent="0.25">
      <c r="B1" s="65" t="s">
        <v>189</v>
      </c>
    </row>
    <row r="3" spans="2:15" ht="15.75" thickBot="1" x14ac:dyDescent="0.3">
      <c r="D3" s="1" t="str">
        <f>JESA_UploadTable(D4,D4:D40,db)</f>
        <v>PAP/Name @17:32:53</v>
      </c>
      <c r="F3" s="1" t="str">
        <f>JESA_UploadTable(F4,F4:F40,db)</f>
        <v>PAP/Process @17:32:53</v>
      </c>
      <c r="H3" s="1" t="str">
        <f>JESA_UploadTable("pap.product",H4:I40,db)</f>
        <v>pap.product @17:32:53</v>
      </c>
      <c r="K3" s="1" t="str">
        <f>JESA_UploadTable(K4,K4:K40,db)</f>
        <v>PAP/CAPEX @17:32:54</v>
      </c>
      <c r="M3" s="1" t="str">
        <f>JESA_UploadTable(M4,M4:M40,db)</f>
        <v>PAP/Size[ktP2O5] @17:32:54</v>
      </c>
      <c r="O3" s="1" t="str">
        <f>JESA_UploadTable(O4,O4:O40,db)</f>
        <v>PAP/Input @17:32:54</v>
      </c>
    </row>
    <row r="4" spans="2:15" ht="30" customHeight="1" thickBot="1" x14ac:dyDescent="0.3">
      <c r="D4" s="67" t="s">
        <v>190</v>
      </c>
      <c r="F4" s="67" t="s">
        <v>191</v>
      </c>
      <c r="H4" s="67" t="s">
        <v>24</v>
      </c>
      <c r="I4" s="67" t="s">
        <v>160</v>
      </c>
      <c r="K4" s="67" t="s">
        <v>192</v>
      </c>
      <c r="M4" s="67" t="s">
        <v>193</v>
      </c>
      <c r="O4" s="67" t="s">
        <v>194</v>
      </c>
    </row>
    <row r="5" spans="2:15" x14ac:dyDescent="0.25">
      <c r="D5" s="29" t="s">
        <v>195</v>
      </c>
      <c r="F5" s="33" t="s">
        <v>196</v>
      </c>
      <c r="H5" s="29" t="s">
        <v>460</v>
      </c>
      <c r="I5" s="29" t="s">
        <v>24</v>
      </c>
      <c r="K5" s="30" t="s">
        <v>22</v>
      </c>
      <c r="M5" s="29">
        <v>250</v>
      </c>
      <c r="O5" s="29" t="s">
        <v>292</v>
      </c>
    </row>
    <row r="6" spans="2:15" x14ac:dyDescent="0.25">
      <c r="D6" s="33" t="s">
        <v>197</v>
      </c>
      <c r="F6" s="33" t="s">
        <v>198</v>
      </c>
      <c r="H6" s="33" t="s">
        <v>202</v>
      </c>
      <c r="I6" s="33" t="s">
        <v>99</v>
      </c>
      <c r="K6" s="68" t="s">
        <v>199</v>
      </c>
      <c r="M6" s="33">
        <v>500</v>
      </c>
      <c r="O6" s="33"/>
    </row>
    <row r="7" spans="2:15" x14ac:dyDescent="0.25">
      <c r="D7" s="33" t="s">
        <v>200</v>
      </c>
      <c r="F7" s="33" t="s">
        <v>201</v>
      </c>
      <c r="H7" s="33" t="s">
        <v>205</v>
      </c>
      <c r="I7" s="33" t="s">
        <v>156</v>
      </c>
      <c r="K7" s="68" t="s">
        <v>203</v>
      </c>
      <c r="M7" s="33">
        <v>750</v>
      </c>
      <c r="O7" s="33"/>
    </row>
    <row r="8" spans="2:15" x14ac:dyDescent="0.25">
      <c r="D8" s="33" t="s">
        <v>204</v>
      </c>
      <c r="F8" s="33"/>
      <c r="H8" s="33" t="s">
        <v>208</v>
      </c>
      <c r="I8" s="33" t="s">
        <v>99</v>
      </c>
      <c r="K8" s="68" t="s">
        <v>206</v>
      </c>
      <c r="M8" s="33">
        <v>1500</v>
      </c>
      <c r="O8" s="33"/>
    </row>
    <row r="9" spans="2:15" x14ac:dyDescent="0.25">
      <c r="D9" s="33" t="s">
        <v>207</v>
      </c>
      <c r="F9" s="33"/>
      <c r="H9" s="33" t="s">
        <v>211</v>
      </c>
      <c r="I9" s="33" t="s">
        <v>156</v>
      </c>
      <c r="K9" s="68" t="s">
        <v>209</v>
      </c>
      <c r="M9" s="33"/>
      <c r="O9" s="33"/>
    </row>
    <row r="10" spans="2:15" x14ac:dyDescent="0.25">
      <c r="D10" s="33" t="s">
        <v>210</v>
      </c>
      <c r="F10" s="33"/>
      <c r="H10" s="33"/>
      <c r="I10" s="33"/>
      <c r="K10" s="68" t="s">
        <v>212</v>
      </c>
      <c r="M10" s="33"/>
      <c r="O10" s="33"/>
    </row>
    <row r="11" spans="2:15" x14ac:dyDescent="0.25">
      <c r="D11" s="33" t="s">
        <v>213</v>
      </c>
      <c r="F11" s="33"/>
      <c r="H11" s="33"/>
      <c r="I11" s="33"/>
      <c r="K11" s="68" t="s">
        <v>214</v>
      </c>
      <c r="M11" s="33"/>
      <c r="O11" s="33"/>
    </row>
    <row r="12" spans="2:15" x14ac:dyDescent="0.25">
      <c r="D12" s="33" t="s">
        <v>215</v>
      </c>
      <c r="F12" s="33"/>
      <c r="H12" s="33"/>
      <c r="I12" s="33"/>
      <c r="K12" s="68" t="s">
        <v>216</v>
      </c>
      <c r="M12" s="33"/>
      <c r="O12" s="33"/>
    </row>
    <row r="13" spans="2:15" x14ac:dyDescent="0.25">
      <c r="D13" s="33" t="s">
        <v>217</v>
      </c>
      <c r="F13" s="33"/>
      <c r="H13" s="33"/>
      <c r="I13" s="33"/>
      <c r="K13" s="68" t="s">
        <v>218</v>
      </c>
      <c r="M13" s="33"/>
      <c r="O13" s="33"/>
    </row>
    <row r="14" spans="2:15" x14ac:dyDescent="0.25">
      <c r="D14" s="33" t="s">
        <v>219</v>
      </c>
      <c r="F14" s="33"/>
      <c r="H14" s="33"/>
      <c r="I14" s="33"/>
      <c r="K14" s="68" t="s">
        <v>220</v>
      </c>
      <c r="M14" s="33"/>
      <c r="O14" s="33"/>
    </row>
    <row r="15" spans="2:15" x14ac:dyDescent="0.25">
      <c r="D15" s="33" t="s">
        <v>221</v>
      </c>
      <c r="F15" s="33"/>
      <c r="H15" s="33"/>
      <c r="I15" s="33"/>
      <c r="K15" s="33"/>
      <c r="M15" s="33"/>
      <c r="O15" s="33"/>
    </row>
    <row r="16" spans="2:15" x14ac:dyDescent="0.25">
      <c r="D16" s="33" t="s">
        <v>222</v>
      </c>
      <c r="F16" s="33"/>
      <c r="H16" s="33"/>
      <c r="I16" s="33"/>
      <c r="K16" s="33"/>
      <c r="M16" s="33"/>
      <c r="O16" s="33"/>
    </row>
    <row r="17" spans="4:15" x14ac:dyDescent="0.25">
      <c r="D17" s="33" t="s">
        <v>223</v>
      </c>
      <c r="F17" s="33"/>
      <c r="H17" s="33"/>
      <c r="I17" s="33"/>
      <c r="K17" s="33"/>
      <c r="M17" s="33"/>
      <c r="O17" s="33"/>
    </row>
    <row r="18" spans="4:15" x14ac:dyDescent="0.25">
      <c r="D18" s="33" t="s">
        <v>224</v>
      </c>
      <c r="F18" s="33"/>
      <c r="H18" s="33"/>
      <c r="I18" s="33"/>
      <c r="K18" s="33"/>
      <c r="M18" s="33"/>
      <c r="O18" s="33"/>
    </row>
    <row r="19" spans="4:15" x14ac:dyDescent="0.25">
      <c r="D19" s="33" t="s">
        <v>225</v>
      </c>
      <c r="F19" s="33"/>
      <c r="H19" s="33"/>
      <c r="I19" s="33"/>
      <c r="K19" s="33"/>
      <c r="M19" s="33"/>
      <c r="O19" s="33"/>
    </row>
    <row r="20" spans="4:15" x14ac:dyDescent="0.25">
      <c r="D20" s="33" t="s">
        <v>226</v>
      </c>
      <c r="F20" s="33"/>
      <c r="H20" s="33"/>
      <c r="I20" s="33"/>
      <c r="K20" s="33"/>
      <c r="M20" s="33"/>
      <c r="O20" s="33"/>
    </row>
    <row r="21" spans="4:15" x14ac:dyDescent="0.25">
      <c r="D21" s="33" t="s">
        <v>227</v>
      </c>
      <c r="F21" s="33"/>
      <c r="H21" s="33"/>
      <c r="I21" s="33"/>
      <c r="K21" s="33"/>
      <c r="M21" s="33"/>
      <c r="O21" s="33"/>
    </row>
    <row r="22" spans="4:15" x14ac:dyDescent="0.25">
      <c r="D22" s="33"/>
      <c r="F22" s="33"/>
      <c r="H22" s="33"/>
      <c r="I22" s="33"/>
      <c r="K22" s="33"/>
      <c r="M22" s="33"/>
      <c r="O22" s="33"/>
    </row>
    <row r="23" spans="4:15" x14ac:dyDescent="0.25">
      <c r="D23" s="33"/>
      <c r="F23" s="33"/>
      <c r="H23" s="33"/>
      <c r="I23" s="33"/>
      <c r="K23" s="33"/>
      <c r="M23" s="33"/>
      <c r="O23" s="33"/>
    </row>
    <row r="24" spans="4:15" x14ac:dyDescent="0.25">
      <c r="D24" s="33"/>
      <c r="F24" s="33"/>
      <c r="H24" s="33"/>
      <c r="I24" s="33"/>
      <c r="K24" s="33"/>
      <c r="M24" s="33"/>
      <c r="O24" s="33"/>
    </row>
    <row r="25" spans="4:15" x14ac:dyDescent="0.25">
      <c r="D25" s="33"/>
      <c r="F25" s="33"/>
      <c r="H25" s="33"/>
      <c r="I25" s="33"/>
      <c r="K25" s="33"/>
      <c r="M25" s="33"/>
      <c r="O25" s="33"/>
    </row>
    <row r="26" spans="4:15" x14ac:dyDescent="0.25">
      <c r="D26" s="33"/>
      <c r="F26" s="33"/>
      <c r="H26" s="33"/>
      <c r="I26" s="33"/>
      <c r="K26" s="33"/>
      <c r="M26" s="33"/>
      <c r="O26" s="33"/>
    </row>
    <row r="27" spans="4:15" x14ac:dyDescent="0.25">
      <c r="D27" s="33"/>
      <c r="F27" s="33"/>
      <c r="H27" s="33"/>
      <c r="I27" s="33"/>
      <c r="K27" s="33"/>
      <c r="M27" s="33"/>
      <c r="O27" s="33"/>
    </row>
    <row r="28" spans="4:15" x14ac:dyDescent="0.25">
      <c r="D28" s="33"/>
      <c r="F28" s="33"/>
      <c r="H28" s="33"/>
      <c r="I28" s="33"/>
      <c r="K28" s="33"/>
      <c r="M28" s="33"/>
      <c r="O28" s="33"/>
    </row>
    <row r="29" spans="4:15" x14ac:dyDescent="0.25">
      <c r="D29" s="33"/>
      <c r="F29" s="33"/>
      <c r="H29" s="33"/>
      <c r="I29" s="33"/>
      <c r="K29" s="33"/>
      <c r="M29" s="33"/>
      <c r="O29" s="33"/>
    </row>
    <row r="30" spans="4:15" x14ac:dyDescent="0.25">
      <c r="D30" s="33"/>
      <c r="F30" s="33"/>
      <c r="H30" s="33"/>
      <c r="I30" s="33"/>
      <c r="K30" s="33"/>
      <c r="M30" s="33"/>
      <c r="O30" s="33"/>
    </row>
    <row r="31" spans="4:15" x14ac:dyDescent="0.25">
      <c r="D31" s="33"/>
      <c r="F31" s="33"/>
      <c r="H31" s="33"/>
      <c r="I31" s="33"/>
      <c r="K31" s="33"/>
      <c r="M31" s="33"/>
      <c r="O31" s="33"/>
    </row>
    <row r="32" spans="4:15" x14ac:dyDescent="0.25">
      <c r="D32" s="33"/>
      <c r="F32" s="33"/>
      <c r="H32" s="33"/>
      <c r="I32" s="33"/>
      <c r="K32" s="33"/>
      <c r="M32" s="33"/>
      <c r="O32" s="33"/>
    </row>
    <row r="33" spans="4:15" x14ac:dyDescent="0.25">
      <c r="D33" s="33"/>
      <c r="F33" s="33"/>
      <c r="H33" s="33"/>
      <c r="I33" s="33"/>
      <c r="K33" s="33"/>
      <c r="M33" s="33"/>
      <c r="O33" s="33"/>
    </row>
    <row r="34" spans="4:15" x14ac:dyDescent="0.25">
      <c r="D34" s="33"/>
      <c r="F34" s="33"/>
      <c r="H34" s="33"/>
      <c r="I34" s="33"/>
      <c r="K34" s="33"/>
      <c r="M34" s="33"/>
      <c r="O34" s="33"/>
    </row>
    <row r="35" spans="4:15" x14ac:dyDescent="0.25">
      <c r="D35" s="33"/>
      <c r="F35" s="33"/>
      <c r="H35" s="33"/>
      <c r="I35" s="33"/>
      <c r="K35" s="33"/>
      <c r="M35" s="33"/>
      <c r="O35" s="33"/>
    </row>
    <row r="36" spans="4:15" x14ac:dyDescent="0.25">
      <c r="D36" s="33"/>
      <c r="F36" s="33"/>
      <c r="H36" s="33"/>
      <c r="I36" s="33"/>
      <c r="K36" s="33"/>
      <c r="M36" s="33"/>
      <c r="O36" s="33"/>
    </row>
    <row r="37" spans="4:15" x14ac:dyDescent="0.25">
      <c r="D37" s="33"/>
      <c r="F37" s="33"/>
      <c r="H37" s="33"/>
      <c r="I37" s="33"/>
      <c r="K37" s="33"/>
      <c r="M37" s="33"/>
      <c r="O37" s="33"/>
    </row>
    <row r="38" spans="4:15" x14ac:dyDescent="0.25">
      <c r="D38" s="33"/>
      <c r="F38" s="33"/>
      <c r="H38" s="33"/>
      <c r="I38" s="33"/>
      <c r="K38" s="33"/>
      <c r="M38" s="33"/>
      <c r="O38" s="33"/>
    </row>
    <row r="39" spans="4:15" x14ac:dyDescent="0.25">
      <c r="D39" s="33"/>
      <c r="F39" s="33"/>
      <c r="H39" s="33"/>
      <c r="I39" s="33"/>
      <c r="K39" s="33"/>
      <c r="M39" s="33"/>
      <c r="O39" s="33"/>
    </row>
    <row r="40" spans="4:15" ht="15.75" thickBot="1" x14ac:dyDescent="0.3">
      <c r="D40" s="34"/>
      <c r="F40" s="34"/>
      <c r="H40" s="34"/>
      <c r="I40" s="34"/>
      <c r="K40" s="34"/>
      <c r="M40" s="34"/>
      <c r="O40" s="34"/>
    </row>
    <row r="41" spans="4:15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 link="1"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L20" sqref="L20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30.5703125" style="5" customWidth="1"/>
    <col min="7" max="7" width="15.5703125" style="5" customWidth="1"/>
    <col min="8" max="8" width="15.85546875" style="5" customWidth="1"/>
    <col min="9" max="11" width="15.5703125" style="5" customWidth="1"/>
    <col min="12" max="12" width="67.5703125" style="5" bestFit="1" customWidth="1"/>
    <col min="13" max="16384" width="11.5703125" style="5"/>
  </cols>
  <sheetData>
    <row r="1" spans="2:12" s="70" customFormat="1" ht="25.35" customHeight="1" x14ac:dyDescent="0.25">
      <c r="B1" s="69" t="s">
        <v>228</v>
      </c>
    </row>
    <row r="3" spans="2:12" ht="15.75" thickBot="1" x14ac:dyDescent="0.3">
      <c r="D3" s="38" t="str">
        <f>JESA_UploadTable(B1,D4:L48,db)</f>
        <v>PAP options @17:32:56</v>
      </c>
    </row>
    <row r="4" spans="2:12" ht="30" customHeight="1" thickBot="1" x14ac:dyDescent="0.3">
      <c r="D4" s="71" t="s">
        <v>8</v>
      </c>
      <c r="E4" s="71" t="s">
        <v>30</v>
      </c>
      <c r="F4" s="72" t="s">
        <v>25</v>
      </c>
      <c r="G4" s="73" t="s">
        <v>270</v>
      </c>
      <c r="H4" s="73" t="s">
        <v>17</v>
      </c>
      <c r="I4" s="73" t="s">
        <v>70</v>
      </c>
      <c r="J4" s="73" t="s">
        <v>144</v>
      </c>
      <c r="K4" s="73" t="s">
        <v>148</v>
      </c>
      <c r="L4" s="71" t="s">
        <v>149</v>
      </c>
    </row>
    <row r="5" spans="2:12" x14ac:dyDescent="0.25">
      <c r="D5" s="8" t="s">
        <v>3</v>
      </c>
      <c r="E5" s="8" t="s">
        <v>195</v>
      </c>
      <c r="F5" s="8" t="s">
        <v>196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25">
      <c r="D6" s="9" t="s">
        <v>3</v>
      </c>
      <c r="E6" s="9" t="s">
        <v>197</v>
      </c>
      <c r="F6" s="9" t="s">
        <v>196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25">
      <c r="D7" s="9" t="s">
        <v>3</v>
      </c>
      <c r="E7" s="9" t="s">
        <v>200</v>
      </c>
      <c r="F7" s="9" t="s">
        <v>196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25">
      <c r="D8" s="9" t="s">
        <v>3</v>
      </c>
      <c r="E8" s="9">
        <v>8</v>
      </c>
      <c r="F8" s="9" t="s">
        <v>196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25">
      <c r="D9" s="9" t="s">
        <v>3</v>
      </c>
      <c r="E9" s="9">
        <v>6</v>
      </c>
      <c r="F9" s="9" t="s">
        <v>196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25">
      <c r="D10" s="9" t="s">
        <v>26</v>
      </c>
      <c r="E10" s="9">
        <v>8</v>
      </c>
      <c r="F10" s="9" t="s">
        <v>196</v>
      </c>
      <c r="G10" s="15">
        <v>500</v>
      </c>
      <c r="H10" s="11" t="s">
        <v>143</v>
      </c>
      <c r="I10" s="11" t="s">
        <v>146</v>
      </c>
      <c r="J10" s="15">
        <v>2024</v>
      </c>
      <c r="K10" s="15">
        <v>2100</v>
      </c>
      <c r="L10" s="9" t="str">
        <f t="shared" si="0"/>
        <v>/PAP/Safi/8/DH/500/New/2024/2100</v>
      </c>
    </row>
    <row r="11" spans="2:12" x14ac:dyDescent="0.25">
      <c r="D11" s="9" t="s">
        <v>26</v>
      </c>
      <c r="E11" s="9">
        <v>6</v>
      </c>
      <c r="F11" s="9" t="s">
        <v>196</v>
      </c>
      <c r="G11" s="15">
        <v>750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/PAP/Safi/6/DH/750/New/2024/2100</v>
      </c>
    </row>
    <row r="12" spans="2:12" x14ac:dyDescent="0.25">
      <c r="D12" s="9" t="s">
        <v>26</v>
      </c>
      <c r="E12" s="9" t="s">
        <v>227</v>
      </c>
      <c r="F12" s="9" t="s">
        <v>201</v>
      </c>
      <c r="G12" s="15">
        <v>1500</v>
      </c>
      <c r="H12" s="11" t="s">
        <v>143</v>
      </c>
      <c r="I12" s="11" t="s">
        <v>36</v>
      </c>
      <c r="J12" s="15">
        <v>2019</v>
      </c>
      <c r="K12" s="15">
        <v>2100</v>
      </c>
      <c r="L12" s="9" t="str">
        <f t="shared" si="0"/>
        <v>/PAP/Safi/PAP SAFI EXISTING /PROCESS SAFI EXISTANT/1500/Existing/2019/2100</v>
      </c>
    </row>
    <row r="13" spans="2:12" x14ac:dyDescent="0.25">
      <c r="D13" s="9" t="s">
        <v>26</v>
      </c>
      <c r="E13" s="9" t="s">
        <v>227</v>
      </c>
      <c r="F13" s="9" t="s">
        <v>201</v>
      </c>
      <c r="G13" s="15">
        <v>1500</v>
      </c>
      <c r="H13" s="11" t="s">
        <v>143</v>
      </c>
      <c r="I13" s="11" t="s">
        <v>36</v>
      </c>
      <c r="J13" s="15">
        <v>2018</v>
      </c>
      <c r="K13" s="15">
        <v>2024</v>
      </c>
      <c r="L13" s="9" t="str">
        <f t="shared" si="0"/>
        <v>/PAP/Safi/PAP SAFI EXISTING /PROCESS SAFI EXISTANT/1500/Existing/2018/2024</v>
      </c>
    </row>
    <row r="14" spans="2:12" x14ac:dyDescent="0.25">
      <c r="D14" s="9" t="s">
        <v>26</v>
      </c>
      <c r="E14" s="9" t="s">
        <v>227</v>
      </c>
      <c r="F14" s="9" t="s">
        <v>201</v>
      </c>
      <c r="G14" s="15">
        <v>1500</v>
      </c>
      <c r="H14" s="11" t="s">
        <v>143</v>
      </c>
      <c r="I14" s="11" t="s">
        <v>36</v>
      </c>
      <c r="J14" s="15">
        <v>2018</v>
      </c>
      <c r="K14" s="15">
        <v>2030</v>
      </c>
      <c r="L14" s="9" t="str">
        <f t="shared" si="0"/>
        <v>/PAP/Safi/PAP SAFI EXISTING /PROCESS SAFI EXISTANT/1500/Existing/2018/2030</v>
      </c>
    </row>
    <row r="15" spans="2:12" x14ac:dyDescent="0.25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.75" thickBot="1" x14ac:dyDescent="0.3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5703125" style="5" customWidth="1"/>
    <col min="4" max="4" width="30.5703125" style="5" customWidth="1"/>
    <col min="5" max="7" width="15.5703125" style="5" customWidth="1"/>
    <col min="8" max="18" width="8.5703125" style="5" customWidth="1"/>
    <col min="19" max="16384" width="11.5703125" style="5"/>
  </cols>
  <sheetData>
    <row r="1" spans="2:18" s="70" customFormat="1" ht="25.35" customHeight="1" x14ac:dyDescent="0.25">
      <c r="B1" s="69" t="s">
        <v>229</v>
      </c>
    </row>
    <row r="3" spans="2:18" ht="15.75" thickBot="1" x14ac:dyDescent="0.3">
      <c r="D3" s="38" t="str">
        <f>JESA_UploadTable(B1,D4:R9,db)</f>
        <v>PAP production @17:32:56</v>
      </c>
    </row>
    <row r="4" spans="2:18" ht="30" customHeight="1" thickBot="1" x14ac:dyDescent="0.3">
      <c r="D4" s="71" t="s">
        <v>25</v>
      </c>
      <c r="E4" s="71" t="s">
        <v>230</v>
      </c>
      <c r="F4" s="71" t="s">
        <v>24</v>
      </c>
      <c r="G4" s="73" t="s">
        <v>17</v>
      </c>
      <c r="H4" s="75" t="s">
        <v>37</v>
      </c>
      <c r="I4" s="75" t="s">
        <v>38</v>
      </c>
      <c r="J4" s="75" t="s">
        <v>39</v>
      </c>
      <c r="K4" s="75" t="s">
        <v>40</v>
      </c>
      <c r="L4" s="75" t="s">
        <v>41</v>
      </c>
      <c r="M4" s="75" t="s">
        <v>42</v>
      </c>
      <c r="N4" s="75" t="s">
        <v>43</v>
      </c>
      <c r="O4" s="75" t="s">
        <v>44</v>
      </c>
      <c r="P4" s="75" t="s">
        <v>45</v>
      </c>
      <c r="Q4" s="75" t="s">
        <v>46</v>
      </c>
      <c r="R4" s="75" t="s">
        <v>47</v>
      </c>
    </row>
    <row r="5" spans="2:18" x14ac:dyDescent="0.25">
      <c r="D5" s="8" t="s">
        <v>196</v>
      </c>
      <c r="E5" s="8" t="s">
        <v>292</v>
      </c>
      <c r="F5" s="8" t="s">
        <v>460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25">
      <c r="D6" s="9" t="s">
        <v>196</v>
      </c>
      <c r="E6" s="9" t="s">
        <v>292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25">
      <c r="D7" s="9" t="s">
        <v>196</v>
      </c>
      <c r="E7" s="9" t="s">
        <v>292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25">
      <c r="D8" s="9" t="s">
        <v>201</v>
      </c>
      <c r="E8" s="9" t="s">
        <v>292</v>
      </c>
      <c r="F8" s="9" t="s">
        <v>460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25">
      <c r="D9" s="9" t="s">
        <v>201</v>
      </c>
      <c r="E9" s="9" t="s">
        <v>292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25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25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25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25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25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2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2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2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25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25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25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25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25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2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2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2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2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2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2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2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2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2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2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2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25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25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25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25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25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2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2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2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2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2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.75" thickBot="1" x14ac:dyDescent="0.3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25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48"/>
  <sheetViews>
    <sheetView zoomScaleNormal="100" workbookViewId="0">
      <selection activeCell="V16" sqref="V16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10" width="15.5703125" style="5" customWidth="1"/>
    <col min="11" max="21" width="8.5703125" style="5" customWidth="1"/>
    <col min="22" max="16384" width="11.5703125" style="5"/>
  </cols>
  <sheetData>
    <row r="1" spans="2:21" s="70" customFormat="1" ht="25.35" customHeight="1" x14ac:dyDescent="0.25">
      <c r="B1" s="69" t="s">
        <v>231</v>
      </c>
    </row>
    <row r="3" spans="2:21" ht="15.75" thickBot="1" x14ac:dyDescent="0.3">
      <c r="D3" s="38" t="str">
        <f>JESA_UploadTable(B1,D4:U40,db)</f>
        <v>PAP opex &amp; specific consumptions @17:32:56</v>
      </c>
    </row>
    <row r="4" spans="2:21" ht="30" customHeight="1" thickBot="1" x14ac:dyDescent="0.3">
      <c r="D4" s="71" t="s">
        <v>8</v>
      </c>
      <c r="E4" s="71" t="s">
        <v>25</v>
      </c>
      <c r="F4" s="73" t="s">
        <v>270</v>
      </c>
      <c r="G4" s="71" t="s">
        <v>230</v>
      </c>
      <c r="H4" s="71" t="s">
        <v>12</v>
      </c>
      <c r="I4" s="71" t="s">
        <v>24</v>
      </c>
      <c r="J4" s="73" t="s">
        <v>17</v>
      </c>
      <c r="K4" s="75" t="s">
        <v>37</v>
      </c>
      <c r="L4" s="75" t="s">
        <v>38</v>
      </c>
      <c r="M4" s="75" t="s">
        <v>39</v>
      </c>
      <c r="N4" s="75" t="s">
        <v>40</v>
      </c>
      <c r="O4" s="75" t="s">
        <v>41</v>
      </c>
      <c r="P4" s="75" t="s">
        <v>42</v>
      </c>
      <c r="Q4" s="75" t="s">
        <v>43</v>
      </c>
      <c r="R4" s="75" t="s">
        <v>44</v>
      </c>
      <c r="S4" s="75" t="s">
        <v>45</v>
      </c>
      <c r="T4" s="75" t="s">
        <v>46</v>
      </c>
      <c r="U4" s="75" t="s">
        <v>47</v>
      </c>
    </row>
    <row r="5" spans="2:21" x14ac:dyDescent="0.25">
      <c r="D5" s="8" t="s">
        <v>3</v>
      </c>
      <c r="E5" s="8" t="s">
        <v>196</v>
      </c>
      <c r="F5" s="8">
        <v>500</v>
      </c>
      <c r="G5" s="8" t="s">
        <v>292</v>
      </c>
      <c r="H5" s="8" t="s">
        <v>13</v>
      </c>
      <c r="I5" s="8" t="s">
        <v>460</v>
      </c>
      <c r="J5" s="8" t="s">
        <v>59</v>
      </c>
      <c r="K5" s="17">
        <v>7.9</v>
      </c>
      <c r="L5" s="18">
        <v>7.9</v>
      </c>
      <c r="M5" s="18">
        <v>7.9</v>
      </c>
      <c r="N5" s="18">
        <v>7.9</v>
      </c>
      <c r="O5" s="18">
        <v>7.9</v>
      </c>
      <c r="P5" s="18">
        <v>7.9</v>
      </c>
      <c r="Q5" s="18">
        <v>7.9</v>
      </c>
      <c r="R5" s="18">
        <v>7.9</v>
      </c>
      <c r="S5" s="18">
        <v>7.9</v>
      </c>
      <c r="T5" s="18">
        <v>7.9</v>
      </c>
      <c r="U5" s="18">
        <v>7.9</v>
      </c>
    </row>
    <row r="6" spans="2:21" x14ac:dyDescent="0.25">
      <c r="D6" s="9" t="s">
        <v>3</v>
      </c>
      <c r="E6" s="9" t="s">
        <v>196</v>
      </c>
      <c r="F6" s="9">
        <v>500</v>
      </c>
      <c r="G6" s="9" t="s">
        <v>292</v>
      </c>
      <c r="H6" s="9" t="s">
        <v>15</v>
      </c>
      <c r="I6" s="9" t="s">
        <v>460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1" x14ac:dyDescent="0.25">
      <c r="D7" s="9" t="s">
        <v>3</v>
      </c>
      <c r="E7" s="9" t="s">
        <v>196</v>
      </c>
      <c r="F7" s="9">
        <v>500</v>
      </c>
      <c r="G7" s="9" t="s">
        <v>292</v>
      </c>
      <c r="H7" s="9" t="s">
        <v>29</v>
      </c>
      <c r="I7" s="9" t="s">
        <v>460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25">
      <c r="D8" s="9" t="s">
        <v>3</v>
      </c>
      <c r="E8" s="9" t="s">
        <v>196</v>
      </c>
      <c r="F8" s="9">
        <v>500</v>
      </c>
      <c r="G8" s="9" t="s">
        <v>292</v>
      </c>
      <c r="H8" s="9" t="s">
        <v>292</v>
      </c>
      <c r="I8" s="9" t="s">
        <v>460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1" ht="15.75" thickBot="1" x14ac:dyDescent="0.3">
      <c r="D9" s="74" t="s">
        <v>3</v>
      </c>
      <c r="E9" s="74" t="s">
        <v>196</v>
      </c>
      <c r="F9" s="74">
        <v>500</v>
      </c>
      <c r="G9" s="74" t="s">
        <v>292</v>
      </c>
      <c r="H9" s="74" t="s">
        <v>22</v>
      </c>
      <c r="I9" s="74" t="s">
        <v>460</v>
      </c>
      <c r="J9" s="74" t="s">
        <v>129</v>
      </c>
      <c r="K9" s="76">
        <v>275</v>
      </c>
      <c r="L9" s="76">
        <v>275</v>
      </c>
      <c r="M9" s="76">
        <v>275</v>
      </c>
      <c r="N9" s="76">
        <v>275</v>
      </c>
      <c r="O9" s="76">
        <v>275</v>
      </c>
      <c r="P9" s="76">
        <v>275</v>
      </c>
      <c r="Q9" s="76">
        <v>275</v>
      </c>
      <c r="R9" s="76">
        <v>275</v>
      </c>
      <c r="S9" s="76">
        <v>275</v>
      </c>
      <c r="T9" s="76">
        <v>275</v>
      </c>
      <c r="U9" s="76">
        <v>275</v>
      </c>
    </row>
    <row r="10" spans="2:21" x14ac:dyDescent="0.25">
      <c r="D10" s="8" t="s">
        <v>3</v>
      </c>
      <c r="E10" s="8" t="s">
        <v>196</v>
      </c>
      <c r="F10" s="8">
        <v>750</v>
      </c>
      <c r="G10" s="8" t="s">
        <v>292</v>
      </c>
      <c r="H10" s="8" t="s">
        <v>13</v>
      </c>
      <c r="I10" s="8" t="s">
        <v>460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</row>
    <row r="11" spans="2:21" x14ac:dyDescent="0.25">
      <c r="D11" s="9" t="s">
        <v>3</v>
      </c>
      <c r="E11" s="9" t="s">
        <v>196</v>
      </c>
      <c r="F11" s="9">
        <v>750</v>
      </c>
      <c r="G11" s="9" t="s">
        <v>292</v>
      </c>
      <c r="H11" s="9" t="s">
        <v>15</v>
      </c>
      <c r="I11" s="9" t="s">
        <v>460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</row>
    <row r="12" spans="2:21" x14ac:dyDescent="0.25">
      <c r="D12" s="9" t="s">
        <v>3</v>
      </c>
      <c r="E12" s="9" t="s">
        <v>196</v>
      </c>
      <c r="F12" s="9">
        <v>750</v>
      </c>
      <c r="G12" s="9" t="s">
        <v>292</v>
      </c>
      <c r="H12" s="9" t="s">
        <v>29</v>
      </c>
      <c r="I12" s="9" t="s">
        <v>460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25">
      <c r="D13" s="9" t="s">
        <v>3</v>
      </c>
      <c r="E13" s="9" t="s">
        <v>196</v>
      </c>
      <c r="F13" s="9">
        <v>750</v>
      </c>
      <c r="G13" s="9" t="s">
        <v>292</v>
      </c>
      <c r="H13" s="9" t="s">
        <v>292</v>
      </c>
      <c r="I13" s="9" t="s">
        <v>460</v>
      </c>
      <c r="J13" s="9" t="s">
        <v>187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1" ht="15.75" thickBot="1" x14ac:dyDescent="0.3">
      <c r="D14" s="10" t="s">
        <v>3</v>
      </c>
      <c r="E14" s="10" t="s">
        <v>196</v>
      </c>
      <c r="F14" s="10">
        <v>750</v>
      </c>
      <c r="G14" s="10" t="s">
        <v>292</v>
      </c>
      <c r="H14" s="10" t="s">
        <v>22</v>
      </c>
      <c r="I14" s="10" t="s">
        <v>460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1" x14ac:dyDescent="0.25">
      <c r="D15" s="8" t="s">
        <v>26</v>
      </c>
      <c r="E15" s="8" t="s">
        <v>196</v>
      </c>
      <c r="F15" s="8">
        <v>500</v>
      </c>
      <c r="G15" s="8" t="s">
        <v>292</v>
      </c>
      <c r="H15" s="8" t="s">
        <v>13</v>
      </c>
      <c r="I15" s="8" t="s">
        <v>460</v>
      </c>
      <c r="J15" s="8" t="s">
        <v>59</v>
      </c>
      <c r="K15" s="17">
        <v>7.9</v>
      </c>
      <c r="L15" s="18">
        <v>7.9</v>
      </c>
      <c r="M15" s="18">
        <v>7.9</v>
      </c>
      <c r="N15" s="18">
        <v>7.9</v>
      </c>
      <c r="O15" s="18">
        <v>7.9</v>
      </c>
      <c r="P15" s="18">
        <v>7.9</v>
      </c>
      <c r="Q15" s="18">
        <v>7.9</v>
      </c>
      <c r="R15" s="18">
        <v>7.9</v>
      </c>
      <c r="S15" s="18">
        <v>7.9</v>
      </c>
      <c r="T15" s="18">
        <v>7.9</v>
      </c>
      <c r="U15" s="18">
        <v>7.9</v>
      </c>
    </row>
    <row r="16" spans="2:21" x14ac:dyDescent="0.25">
      <c r="D16" s="9" t="s">
        <v>26</v>
      </c>
      <c r="E16" s="9" t="s">
        <v>196</v>
      </c>
      <c r="F16" s="9">
        <v>500</v>
      </c>
      <c r="G16" s="9" t="s">
        <v>292</v>
      </c>
      <c r="H16" s="9" t="s">
        <v>15</v>
      </c>
      <c r="I16" s="9" t="s">
        <v>460</v>
      </c>
      <c r="J16" s="9" t="s">
        <v>63</v>
      </c>
      <c r="K16" s="18">
        <v>150</v>
      </c>
      <c r="L16" s="18">
        <v>150</v>
      </c>
      <c r="M16" s="18">
        <v>150</v>
      </c>
      <c r="N16" s="18">
        <v>150</v>
      </c>
      <c r="O16" s="18">
        <v>150</v>
      </c>
      <c r="P16" s="18">
        <v>150</v>
      </c>
      <c r="Q16" s="18">
        <v>150</v>
      </c>
      <c r="R16" s="18">
        <v>150</v>
      </c>
      <c r="S16" s="18">
        <v>150</v>
      </c>
      <c r="T16" s="18">
        <v>150</v>
      </c>
      <c r="U16" s="18">
        <v>150</v>
      </c>
    </row>
    <row r="17" spans="4:22" x14ac:dyDescent="0.25">
      <c r="D17" s="9" t="s">
        <v>26</v>
      </c>
      <c r="E17" s="9" t="s">
        <v>196</v>
      </c>
      <c r="F17" s="9">
        <v>500</v>
      </c>
      <c r="G17" s="9" t="s">
        <v>292</v>
      </c>
      <c r="H17" s="9" t="s">
        <v>29</v>
      </c>
      <c r="I17" s="9" t="s">
        <v>460</v>
      </c>
      <c r="J17" s="9" t="s">
        <v>55</v>
      </c>
      <c r="K17" s="18">
        <v>3</v>
      </c>
      <c r="L17" s="18">
        <v>3</v>
      </c>
      <c r="M17" s="18">
        <v>3</v>
      </c>
      <c r="N17" s="18">
        <v>3</v>
      </c>
      <c r="O17" s="18">
        <v>3</v>
      </c>
      <c r="P17" s="18">
        <v>3</v>
      </c>
      <c r="Q17" s="18">
        <v>3</v>
      </c>
      <c r="R17" s="18">
        <v>3</v>
      </c>
      <c r="S17" s="18">
        <v>3</v>
      </c>
      <c r="T17" s="18">
        <v>3</v>
      </c>
      <c r="U17" s="18">
        <v>3</v>
      </c>
    </row>
    <row r="18" spans="4:22" x14ac:dyDescent="0.25">
      <c r="D18" s="9" t="s">
        <v>26</v>
      </c>
      <c r="E18" s="9" t="s">
        <v>196</v>
      </c>
      <c r="F18" s="9">
        <v>500</v>
      </c>
      <c r="G18" s="9" t="s">
        <v>292</v>
      </c>
      <c r="H18" s="9" t="s">
        <v>292</v>
      </c>
      <c r="I18" s="9" t="s">
        <v>460</v>
      </c>
      <c r="J18" s="9" t="s">
        <v>187</v>
      </c>
      <c r="K18" s="18">
        <v>3.6</v>
      </c>
      <c r="L18" s="18">
        <v>3.6</v>
      </c>
      <c r="M18" s="18">
        <v>3.6</v>
      </c>
      <c r="N18" s="18">
        <v>3.6</v>
      </c>
      <c r="O18" s="18">
        <v>3.6</v>
      </c>
      <c r="P18" s="18">
        <v>3.6</v>
      </c>
      <c r="Q18" s="18">
        <v>3.6</v>
      </c>
      <c r="R18" s="18">
        <v>3.6</v>
      </c>
      <c r="S18" s="18">
        <v>3.6</v>
      </c>
      <c r="T18" s="18">
        <v>3.6</v>
      </c>
      <c r="U18" s="18">
        <v>3.6</v>
      </c>
    </row>
    <row r="19" spans="4:22" ht="15.75" thickBot="1" x14ac:dyDescent="0.3">
      <c r="D19" s="74" t="s">
        <v>26</v>
      </c>
      <c r="E19" s="74" t="s">
        <v>196</v>
      </c>
      <c r="F19" s="74">
        <v>500</v>
      </c>
      <c r="G19" s="74" t="s">
        <v>292</v>
      </c>
      <c r="H19" s="74" t="s">
        <v>22</v>
      </c>
      <c r="I19" s="74" t="s">
        <v>460</v>
      </c>
      <c r="J19" s="74" t="s">
        <v>129</v>
      </c>
      <c r="K19" s="76">
        <v>275</v>
      </c>
      <c r="L19" s="76">
        <v>275</v>
      </c>
      <c r="M19" s="76">
        <v>275</v>
      </c>
      <c r="N19" s="76">
        <v>275</v>
      </c>
      <c r="O19" s="76">
        <v>275</v>
      </c>
      <c r="P19" s="76">
        <v>275</v>
      </c>
      <c r="Q19" s="76">
        <v>275</v>
      </c>
      <c r="R19" s="76">
        <v>275</v>
      </c>
      <c r="S19" s="76">
        <v>275</v>
      </c>
      <c r="T19" s="76">
        <v>275</v>
      </c>
      <c r="U19" s="76">
        <v>275</v>
      </c>
    </row>
    <row r="20" spans="4:22" x14ac:dyDescent="0.25">
      <c r="D20" s="8" t="s">
        <v>26</v>
      </c>
      <c r="E20" s="8" t="s">
        <v>196</v>
      </c>
      <c r="F20" s="8">
        <v>750</v>
      </c>
      <c r="G20" s="8" t="s">
        <v>292</v>
      </c>
      <c r="H20" s="8" t="s">
        <v>13</v>
      </c>
      <c r="I20" s="8" t="s">
        <v>460</v>
      </c>
      <c r="J20" s="8" t="s">
        <v>59</v>
      </c>
      <c r="K20" s="17">
        <v>7.9</v>
      </c>
      <c r="L20" s="17">
        <v>7.9</v>
      </c>
      <c r="M20" s="17">
        <v>7.9</v>
      </c>
      <c r="N20" s="17">
        <v>7.9</v>
      </c>
      <c r="O20" s="17">
        <v>7.9</v>
      </c>
      <c r="P20" s="17">
        <v>7.9</v>
      </c>
      <c r="Q20" s="17">
        <v>7.9</v>
      </c>
      <c r="R20" s="17">
        <v>7.9</v>
      </c>
      <c r="S20" s="17">
        <v>7.9</v>
      </c>
      <c r="T20" s="17">
        <v>7.9</v>
      </c>
      <c r="U20" s="17">
        <v>7.9</v>
      </c>
    </row>
    <row r="21" spans="4:22" x14ac:dyDescent="0.25">
      <c r="D21" s="9" t="s">
        <v>26</v>
      </c>
      <c r="E21" s="9" t="s">
        <v>196</v>
      </c>
      <c r="F21" s="9">
        <v>750</v>
      </c>
      <c r="G21" s="9" t="s">
        <v>292</v>
      </c>
      <c r="H21" s="9" t="s">
        <v>15</v>
      </c>
      <c r="I21" s="9" t="s">
        <v>460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25">
      <c r="D22" s="9" t="s">
        <v>26</v>
      </c>
      <c r="E22" s="9" t="s">
        <v>196</v>
      </c>
      <c r="F22" s="9">
        <v>750</v>
      </c>
      <c r="G22" s="9" t="s">
        <v>292</v>
      </c>
      <c r="H22" s="9" t="s">
        <v>29</v>
      </c>
      <c r="I22" s="9" t="s">
        <v>460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25">
      <c r="D23" s="9" t="s">
        <v>26</v>
      </c>
      <c r="E23" s="9" t="s">
        <v>196</v>
      </c>
      <c r="F23" s="9">
        <v>750</v>
      </c>
      <c r="G23" s="9" t="s">
        <v>292</v>
      </c>
      <c r="H23" s="9" t="s">
        <v>292</v>
      </c>
      <c r="I23" s="9" t="s">
        <v>460</v>
      </c>
      <c r="J23" s="9" t="s">
        <v>187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.75" thickBot="1" x14ac:dyDescent="0.3">
      <c r="D24" s="10" t="s">
        <v>26</v>
      </c>
      <c r="E24" s="10" t="s">
        <v>196</v>
      </c>
      <c r="F24" s="10">
        <v>750</v>
      </c>
      <c r="G24" s="10" t="s">
        <v>292</v>
      </c>
      <c r="H24" s="10" t="s">
        <v>22</v>
      </c>
      <c r="I24" s="10" t="s">
        <v>460</v>
      </c>
      <c r="J24" s="10" t="s">
        <v>129</v>
      </c>
      <c r="K24" s="42">
        <v>265</v>
      </c>
      <c r="L24" s="42">
        <v>265</v>
      </c>
      <c r="M24" s="42">
        <v>265</v>
      </c>
      <c r="N24" s="42">
        <v>265</v>
      </c>
      <c r="O24" s="42">
        <v>265</v>
      </c>
      <c r="P24" s="42">
        <v>265</v>
      </c>
      <c r="Q24" s="42">
        <v>265</v>
      </c>
      <c r="R24" s="42">
        <v>265</v>
      </c>
      <c r="S24" s="42">
        <v>265</v>
      </c>
      <c r="T24" s="42">
        <v>265</v>
      </c>
      <c r="U24" s="42">
        <v>265</v>
      </c>
    </row>
    <row r="25" spans="4:22" ht="15.75" thickBot="1" x14ac:dyDescent="0.3">
      <c r="D25" s="8" t="s">
        <v>26</v>
      </c>
      <c r="E25" s="8" t="s">
        <v>201</v>
      </c>
      <c r="F25" s="8">
        <v>1500</v>
      </c>
      <c r="G25" s="8" t="s">
        <v>292</v>
      </c>
      <c r="H25" s="8" t="s">
        <v>13</v>
      </c>
      <c r="I25" s="8" t="s">
        <v>460</v>
      </c>
      <c r="J25" s="8" t="s">
        <v>59</v>
      </c>
      <c r="K25" s="17">
        <v>11</v>
      </c>
      <c r="L25" s="18">
        <v>11</v>
      </c>
      <c r="M25" s="18">
        <v>11</v>
      </c>
      <c r="N25" s="18">
        <v>11</v>
      </c>
      <c r="O25" s="18">
        <v>11</v>
      </c>
      <c r="P25" s="18">
        <v>11</v>
      </c>
      <c r="Q25" s="18">
        <v>11</v>
      </c>
      <c r="R25" s="18">
        <v>11</v>
      </c>
      <c r="S25" s="18">
        <v>11</v>
      </c>
      <c r="T25" s="18">
        <v>11</v>
      </c>
      <c r="U25" s="18">
        <v>11</v>
      </c>
      <c r="V25" s="153"/>
    </row>
    <row r="26" spans="4:22" ht="15.75" thickBot="1" x14ac:dyDescent="0.3">
      <c r="D26" s="9" t="s">
        <v>26</v>
      </c>
      <c r="E26" s="9" t="s">
        <v>201</v>
      </c>
      <c r="F26" s="8">
        <v>1500</v>
      </c>
      <c r="G26" s="9" t="s">
        <v>292</v>
      </c>
      <c r="H26" s="9" t="s">
        <v>15</v>
      </c>
      <c r="I26" s="9" t="s">
        <v>460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53"/>
    </row>
    <row r="27" spans="4:22" ht="15.75" thickBot="1" x14ac:dyDescent="0.3">
      <c r="D27" s="9" t="s">
        <v>26</v>
      </c>
      <c r="E27" s="9" t="s">
        <v>201</v>
      </c>
      <c r="F27" s="8">
        <v>1500</v>
      </c>
      <c r="G27" s="9" t="s">
        <v>292</v>
      </c>
      <c r="H27" s="9" t="s">
        <v>29</v>
      </c>
      <c r="I27" s="9" t="s">
        <v>460</v>
      </c>
      <c r="J27" s="9" t="s">
        <v>55</v>
      </c>
      <c r="K27" s="18">
        <v>3.5</v>
      </c>
      <c r="L27" s="18">
        <v>3.5</v>
      </c>
      <c r="M27" s="18">
        <v>3.5</v>
      </c>
      <c r="N27" s="18">
        <v>3.5</v>
      </c>
      <c r="O27" s="18">
        <v>3.5</v>
      </c>
      <c r="P27" s="18">
        <v>3.5</v>
      </c>
      <c r="Q27" s="18">
        <v>3.5</v>
      </c>
      <c r="R27" s="18">
        <v>3.5</v>
      </c>
      <c r="S27" s="18">
        <v>3.5</v>
      </c>
      <c r="T27" s="18">
        <v>3.5</v>
      </c>
      <c r="U27" s="18">
        <v>3.5</v>
      </c>
      <c r="V27" s="153"/>
    </row>
    <row r="28" spans="4:22" ht="15.75" thickBot="1" x14ac:dyDescent="0.3">
      <c r="D28" s="9" t="s">
        <v>26</v>
      </c>
      <c r="E28" s="9" t="s">
        <v>201</v>
      </c>
      <c r="F28" s="8">
        <v>1500</v>
      </c>
      <c r="G28" s="9" t="s">
        <v>292</v>
      </c>
      <c r="H28" s="9" t="s">
        <v>292</v>
      </c>
      <c r="I28" s="9" t="s">
        <v>460</v>
      </c>
      <c r="J28" s="9" t="s">
        <v>187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53"/>
    </row>
    <row r="29" spans="4:22" ht="15.75" thickBot="1" x14ac:dyDescent="0.3">
      <c r="D29" s="10" t="s">
        <v>26</v>
      </c>
      <c r="E29" s="9" t="s">
        <v>201</v>
      </c>
      <c r="F29" s="8">
        <v>1500</v>
      </c>
      <c r="G29" s="10" t="s">
        <v>292</v>
      </c>
      <c r="H29" s="10" t="s">
        <v>22</v>
      </c>
      <c r="I29" s="10" t="s">
        <v>460</v>
      </c>
      <c r="J29" s="10" t="s">
        <v>129</v>
      </c>
      <c r="K29" s="76">
        <v>275</v>
      </c>
      <c r="L29" s="76">
        <v>275</v>
      </c>
      <c r="M29" s="76">
        <v>275</v>
      </c>
      <c r="N29" s="76">
        <v>275</v>
      </c>
      <c r="O29" s="76">
        <v>275</v>
      </c>
      <c r="P29" s="76">
        <v>275</v>
      </c>
      <c r="Q29" s="76">
        <v>275</v>
      </c>
      <c r="R29" s="76">
        <v>275</v>
      </c>
      <c r="S29" s="76">
        <v>275</v>
      </c>
      <c r="T29" s="76">
        <v>275</v>
      </c>
      <c r="U29" s="76">
        <v>275</v>
      </c>
      <c r="V29" s="153"/>
    </row>
    <row r="30" spans="4:22" x14ac:dyDescent="0.25">
      <c r="D30" s="9"/>
      <c r="E30" s="9"/>
      <c r="F30" s="9"/>
      <c r="G30" s="9"/>
      <c r="H30" s="9"/>
      <c r="I30" s="9"/>
      <c r="J30" s="9"/>
      <c r="K30" s="18"/>
      <c r="L30" s="18" t="str">
        <f t="shared" ref="L30:U41" si="0">IF(K30="","",K30)</f>
        <v/>
      </c>
      <c r="M30" s="18" t="str">
        <f t="shared" si="0"/>
        <v/>
      </c>
      <c r="N30" s="18" t="str">
        <f t="shared" si="0"/>
        <v/>
      </c>
      <c r="O30" s="18" t="str">
        <f t="shared" si="0"/>
        <v/>
      </c>
      <c r="P30" s="18" t="str">
        <f t="shared" si="0"/>
        <v/>
      </c>
      <c r="Q30" s="18" t="str">
        <f t="shared" si="0"/>
        <v/>
      </c>
      <c r="R30" s="18" t="str">
        <f t="shared" si="0"/>
        <v/>
      </c>
      <c r="S30" s="18" t="str">
        <f t="shared" si="0"/>
        <v/>
      </c>
      <c r="T30" s="18" t="str">
        <f t="shared" si="0"/>
        <v/>
      </c>
      <c r="U30" s="18" t="str">
        <f t="shared" si="0"/>
        <v/>
      </c>
    </row>
    <row r="31" spans="4:22" x14ac:dyDescent="0.25">
      <c r="D31" s="9"/>
      <c r="E31" s="9"/>
      <c r="F31" s="9"/>
      <c r="G31" s="9"/>
      <c r="H31" s="9"/>
      <c r="I31" s="9"/>
      <c r="J31" s="9"/>
      <c r="K31" s="18"/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  <c r="T31" s="18" t="str">
        <f t="shared" si="0"/>
        <v/>
      </c>
      <c r="U31" s="18" t="str">
        <f t="shared" si="0"/>
        <v/>
      </c>
    </row>
    <row r="32" spans="4:22" x14ac:dyDescent="0.25">
      <c r="D32" s="9"/>
      <c r="E32" s="9"/>
      <c r="F32" s="9"/>
      <c r="G32" s="9"/>
      <c r="H32" s="9"/>
      <c r="I32" s="9"/>
      <c r="J32" s="9"/>
      <c r="K32" s="18"/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  <c r="S32" s="18" t="str">
        <f t="shared" si="0"/>
        <v/>
      </c>
      <c r="T32" s="18" t="str">
        <f t="shared" si="0"/>
        <v/>
      </c>
      <c r="U32" s="18" t="str">
        <f t="shared" si="0"/>
        <v/>
      </c>
    </row>
    <row r="33" spans="4:21" x14ac:dyDescent="0.25">
      <c r="D33" s="9"/>
      <c r="E33" s="9"/>
      <c r="F33" s="9"/>
      <c r="G33" s="9"/>
      <c r="H33" s="9"/>
      <c r="I33" s="9"/>
      <c r="J33" s="9"/>
      <c r="K33" s="18"/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  <c r="S33" s="18" t="str">
        <f t="shared" si="0"/>
        <v/>
      </c>
      <c r="T33" s="18" t="str">
        <f t="shared" si="0"/>
        <v/>
      </c>
      <c r="U33" s="18" t="str">
        <f t="shared" si="0"/>
        <v/>
      </c>
    </row>
    <row r="34" spans="4:21" x14ac:dyDescent="0.25">
      <c r="D34" s="9"/>
      <c r="E34" s="9"/>
      <c r="F34" s="9"/>
      <c r="G34" s="9"/>
      <c r="H34" s="9"/>
      <c r="I34" s="9"/>
      <c r="J34" s="9"/>
      <c r="K34" s="18"/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  <c r="S34" s="18" t="str">
        <f t="shared" si="0"/>
        <v/>
      </c>
      <c r="T34" s="18" t="str">
        <f t="shared" si="0"/>
        <v/>
      </c>
      <c r="U34" s="18" t="str">
        <f t="shared" si="0"/>
        <v/>
      </c>
    </row>
    <row r="35" spans="4:21" x14ac:dyDescent="0.25">
      <c r="D35" s="9"/>
      <c r="E35" s="9"/>
      <c r="F35" s="9"/>
      <c r="G35" s="9"/>
      <c r="H35" s="9"/>
      <c r="I35" s="9"/>
      <c r="J35" s="9"/>
      <c r="K35" s="18"/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  <c r="S35" s="18" t="str">
        <f t="shared" si="0"/>
        <v/>
      </c>
      <c r="T35" s="18" t="str">
        <f t="shared" si="0"/>
        <v/>
      </c>
      <c r="U35" s="18" t="str">
        <f t="shared" si="0"/>
        <v/>
      </c>
    </row>
    <row r="36" spans="4:21" x14ac:dyDescent="0.25">
      <c r="D36" s="9"/>
      <c r="E36" s="9"/>
      <c r="F36" s="9"/>
      <c r="G36" s="9"/>
      <c r="H36" s="9"/>
      <c r="I36" s="9"/>
      <c r="J36" s="9"/>
      <c r="K36" s="18"/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  <c r="S36" s="18" t="str">
        <f t="shared" si="0"/>
        <v/>
      </c>
      <c r="T36" s="18" t="str">
        <f t="shared" si="0"/>
        <v/>
      </c>
      <c r="U36" s="18" t="str">
        <f t="shared" si="0"/>
        <v/>
      </c>
    </row>
    <row r="37" spans="4:21" x14ac:dyDescent="0.25">
      <c r="D37" s="9"/>
      <c r="E37" s="9"/>
      <c r="F37" s="9"/>
      <c r="G37" s="9"/>
      <c r="H37" s="9"/>
      <c r="I37" s="9"/>
      <c r="J37" s="9"/>
      <c r="K37" s="18"/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  <c r="S37" s="18" t="str">
        <f t="shared" si="0"/>
        <v/>
      </c>
      <c r="T37" s="18" t="str">
        <f t="shared" si="0"/>
        <v/>
      </c>
      <c r="U37" s="18" t="str">
        <f t="shared" si="0"/>
        <v/>
      </c>
    </row>
    <row r="38" spans="4:21" x14ac:dyDescent="0.25">
      <c r="D38" s="9"/>
      <c r="E38" s="9"/>
      <c r="F38" s="9"/>
      <c r="G38" s="9"/>
      <c r="H38" s="9"/>
      <c r="I38" s="9"/>
      <c r="J38" s="9"/>
      <c r="K38" s="18"/>
      <c r="L38" s="18" t="str">
        <f t="shared" si="0"/>
        <v/>
      </c>
      <c r="M38" s="18" t="str">
        <f t="shared" si="0"/>
        <v/>
      </c>
      <c r="N38" s="18" t="str">
        <f t="shared" si="0"/>
        <v/>
      </c>
      <c r="O38" s="18" t="str">
        <f t="shared" si="0"/>
        <v/>
      </c>
      <c r="P38" s="18" t="str">
        <f t="shared" si="0"/>
        <v/>
      </c>
      <c r="Q38" s="18" t="str">
        <f t="shared" si="0"/>
        <v/>
      </c>
      <c r="R38" s="18" t="str">
        <f t="shared" si="0"/>
        <v/>
      </c>
      <c r="S38" s="18" t="str">
        <f t="shared" si="0"/>
        <v/>
      </c>
      <c r="T38" s="18" t="str">
        <f t="shared" si="0"/>
        <v/>
      </c>
      <c r="U38" s="18" t="str">
        <f t="shared" si="0"/>
        <v/>
      </c>
    </row>
    <row r="39" spans="4:21" x14ac:dyDescent="0.25">
      <c r="D39" s="9"/>
      <c r="E39" s="9"/>
      <c r="F39" s="9"/>
      <c r="G39" s="9"/>
      <c r="H39" s="9"/>
      <c r="I39" s="9"/>
      <c r="J39" s="9"/>
      <c r="K39" s="18"/>
      <c r="L39" s="18" t="str">
        <f t="shared" si="0"/>
        <v/>
      </c>
      <c r="M39" s="18" t="str">
        <f t="shared" si="0"/>
        <v/>
      </c>
      <c r="N39" s="18" t="str">
        <f t="shared" si="0"/>
        <v/>
      </c>
      <c r="O39" s="18" t="str">
        <f t="shared" si="0"/>
        <v/>
      </c>
      <c r="P39" s="18" t="str">
        <f t="shared" si="0"/>
        <v/>
      </c>
      <c r="Q39" s="18" t="str">
        <f t="shared" si="0"/>
        <v/>
      </c>
      <c r="R39" s="18" t="str">
        <f t="shared" si="0"/>
        <v/>
      </c>
      <c r="S39" s="18" t="str">
        <f t="shared" si="0"/>
        <v/>
      </c>
      <c r="T39" s="18" t="str">
        <f t="shared" si="0"/>
        <v/>
      </c>
      <c r="U39" s="18" t="str">
        <f t="shared" si="0"/>
        <v/>
      </c>
    </row>
    <row r="40" spans="4:21" x14ac:dyDescent="0.25">
      <c r="D40" s="9"/>
      <c r="E40" s="9"/>
      <c r="F40" s="9"/>
      <c r="G40" s="9"/>
      <c r="H40" s="9"/>
      <c r="I40" s="9"/>
      <c r="J40" s="9"/>
      <c r="K40" s="18"/>
      <c r="L40" s="18" t="str">
        <f t="shared" si="0"/>
        <v/>
      </c>
      <c r="M40" s="18" t="str">
        <f t="shared" si="0"/>
        <v/>
      </c>
      <c r="N40" s="18" t="str">
        <f t="shared" si="0"/>
        <v/>
      </c>
      <c r="O40" s="18" t="str">
        <f t="shared" si="0"/>
        <v/>
      </c>
      <c r="P40" s="18" t="str">
        <f t="shared" si="0"/>
        <v/>
      </c>
      <c r="Q40" s="18" t="str">
        <f t="shared" si="0"/>
        <v/>
      </c>
      <c r="R40" s="18" t="str">
        <f t="shared" si="0"/>
        <v/>
      </c>
      <c r="S40" s="18" t="str">
        <f t="shared" si="0"/>
        <v/>
      </c>
      <c r="T40" s="18" t="str">
        <f t="shared" si="0"/>
        <v/>
      </c>
      <c r="U40" s="18" t="str">
        <f t="shared" si="0"/>
        <v/>
      </c>
    </row>
    <row r="41" spans="4:21" x14ac:dyDescent="0.25">
      <c r="D41" s="9"/>
      <c r="E41" s="9"/>
      <c r="F41" s="9"/>
      <c r="G41" s="9"/>
      <c r="H41" s="9"/>
      <c r="I41" s="9"/>
      <c r="J41" s="9"/>
      <c r="K41" s="18"/>
      <c r="L41" s="18" t="str">
        <f t="shared" si="0"/>
        <v/>
      </c>
      <c r="M41" s="18" t="str">
        <f t="shared" si="0"/>
        <v/>
      </c>
      <c r="N41" s="18" t="str">
        <f t="shared" si="0"/>
        <v/>
      </c>
      <c r="O41" s="18" t="str">
        <f t="shared" si="0"/>
        <v/>
      </c>
      <c r="P41" s="18" t="str">
        <f t="shared" si="0"/>
        <v/>
      </c>
      <c r="Q41" s="18" t="str">
        <f t="shared" si="0"/>
        <v/>
      </c>
      <c r="R41" s="18" t="str">
        <f t="shared" si="0"/>
        <v/>
      </c>
      <c r="S41" s="18" t="str">
        <f t="shared" si="0"/>
        <v/>
      </c>
      <c r="T41" s="18" t="str">
        <f t="shared" si="0"/>
        <v/>
      </c>
      <c r="U41" s="18" t="str">
        <f t="shared" si="0"/>
        <v/>
      </c>
    </row>
    <row r="42" spans="4:21" x14ac:dyDescent="0.25">
      <c r="D42" s="9"/>
      <c r="E42" s="9"/>
      <c r="F42" s="9"/>
      <c r="G42" s="9"/>
      <c r="H42" s="9"/>
      <c r="I42" s="9"/>
      <c r="J42" s="9"/>
      <c r="K42" s="18"/>
      <c r="L42" s="18" t="str">
        <f t="shared" ref="L42:U47" si="1">IF(K42="","",K42)</f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  <c r="S42" s="18" t="str">
        <f t="shared" si="1"/>
        <v/>
      </c>
      <c r="T42" s="18" t="str">
        <f t="shared" si="1"/>
        <v/>
      </c>
      <c r="U42" s="18" t="str">
        <f t="shared" si="1"/>
        <v/>
      </c>
    </row>
    <row r="43" spans="4:21" x14ac:dyDescent="0.25">
      <c r="D43" s="9"/>
      <c r="E43" s="9"/>
      <c r="F43" s="9"/>
      <c r="G43" s="9"/>
      <c r="H43" s="9"/>
      <c r="I43" s="9"/>
      <c r="J43" s="9"/>
      <c r="K43" s="18"/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  <c r="S43" s="18" t="str">
        <f t="shared" si="1"/>
        <v/>
      </c>
      <c r="T43" s="18" t="str">
        <f t="shared" si="1"/>
        <v/>
      </c>
      <c r="U43" s="18" t="str">
        <f t="shared" si="1"/>
        <v/>
      </c>
    </row>
    <row r="44" spans="4:21" x14ac:dyDescent="0.25">
      <c r="D44" s="9"/>
      <c r="E44" s="9"/>
      <c r="F44" s="9"/>
      <c r="G44" s="9"/>
      <c r="H44" s="9"/>
      <c r="I44" s="9"/>
      <c r="J44" s="9"/>
      <c r="K44" s="18"/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  <c r="S44" s="18" t="str">
        <f t="shared" si="1"/>
        <v/>
      </c>
      <c r="T44" s="18" t="str">
        <f t="shared" si="1"/>
        <v/>
      </c>
      <c r="U44" s="18" t="str">
        <f t="shared" si="1"/>
        <v/>
      </c>
    </row>
    <row r="45" spans="4:21" x14ac:dyDescent="0.25">
      <c r="D45" s="9"/>
      <c r="E45" s="9"/>
      <c r="F45" s="9"/>
      <c r="G45" s="9"/>
      <c r="H45" s="9"/>
      <c r="I45" s="9"/>
      <c r="J45" s="9"/>
      <c r="K45" s="18"/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  <c r="S45" s="18" t="str">
        <f t="shared" si="1"/>
        <v/>
      </c>
      <c r="T45" s="18" t="str">
        <f t="shared" si="1"/>
        <v/>
      </c>
      <c r="U45" s="18" t="str">
        <f t="shared" si="1"/>
        <v/>
      </c>
    </row>
    <row r="46" spans="4:21" x14ac:dyDescent="0.25">
      <c r="D46" s="9"/>
      <c r="E46" s="9"/>
      <c r="F46" s="9"/>
      <c r="G46" s="9"/>
      <c r="H46" s="9"/>
      <c r="I46" s="9"/>
      <c r="J46" s="9"/>
      <c r="K46" s="18"/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  <c r="S46" s="18" t="str">
        <f t="shared" si="1"/>
        <v/>
      </c>
      <c r="T46" s="18" t="str">
        <f t="shared" si="1"/>
        <v/>
      </c>
      <c r="U46" s="18" t="str">
        <f t="shared" si="1"/>
        <v/>
      </c>
    </row>
    <row r="47" spans="4:21" ht="15.75" thickBot="1" x14ac:dyDescent="0.3">
      <c r="D47" s="10"/>
      <c r="E47" s="10"/>
      <c r="F47" s="10"/>
      <c r="G47" s="10"/>
      <c r="H47" s="10"/>
      <c r="I47" s="10"/>
      <c r="J47" s="10"/>
      <c r="K47" s="46"/>
      <c r="L47" s="46" t="str">
        <f t="shared" si="1"/>
        <v/>
      </c>
      <c r="M47" s="46" t="str">
        <f t="shared" si="1"/>
        <v/>
      </c>
      <c r="N47" s="46" t="str">
        <f t="shared" si="1"/>
        <v/>
      </c>
      <c r="O47" s="46" t="str">
        <f t="shared" si="1"/>
        <v/>
      </c>
      <c r="P47" s="46" t="str">
        <f t="shared" si="1"/>
        <v/>
      </c>
      <c r="Q47" s="46" t="str">
        <f t="shared" si="1"/>
        <v/>
      </c>
      <c r="R47" s="46" t="str">
        <f t="shared" si="1"/>
        <v/>
      </c>
      <c r="S47" s="46" t="str">
        <f t="shared" si="1"/>
        <v/>
      </c>
      <c r="T47" s="46" t="str">
        <f t="shared" si="1"/>
        <v/>
      </c>
      <c r="U47" s="46" t="str">
        <f t="shared" si="1"/>
        <v/>
      </c>
    </row>
    <row r="48" spans="4:21" x14ac:dyDescent="0.25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5" priority="8"/>
  </conditionalFormatting>
  <conditionalFormatting sqref="I7">
    <cfRule type="uniqueValues" dxfId="4" priority="7"/>
  </conditionalFormatting>
  <conditionalFormatting sqref="I12">
    <cfRule type="uniqueValues" dxfId="3" priority="6"/>
  </conditionalFormatting>
  <conditionalFormatting sqref="I17">
    <cfRule type="uniqueValues" dxfId="2" priority="4"/>
  </conditionalFormatting>
  <conditionalFormatting sqref="I22">
    <cfRule type="uniqueValues" dxfId="1" priority="3"/>
  </conditionalFormatting>
  <conditionalFormatting sqref="I2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H11" sqref="H11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9" width="15.5703125" style="5" customWidth="1"/>
    <col min="10" max="19" width="8.5703125" style="5" customWidth="1"/>
    <col min="20" max="16384" width="11.5703125" style="5"/>
  </cols>
  <sheetData>
    <row r="1" spans="2:19" s="70" customFormat="1" ht="25.35" customHeight="1" x14ac:dyDescent="0.25">
      <c r="B1" s="69" t="s">
        <v>232</v>
      </c>
    </row>
    <row r="3" spans="2:19" ht="15.75" thickBot="1" x14ac:dyDescent="0.3">
      <c r="D3" s="38" t="str">
        <f>JESA_UploadTable(B1,D4:S8,db)</f>
        <v>PAP capex @17:32:54</v>
      </c>
      <c r="J3" s="152" t="s">
        <v>180</v>
      </c>
      <c r="K3" s="152"/>
      <c r="L3" s="152"/>
      <c r="M3" s="152"/>
      <c r="N3" s="152"/>
      <c r="O3" s="152"/>
      <c r="P3" s="152"/>
      <c r="Q3" s="152"/>
      <c r="R3" s="152"/>
      <c r="S3" s="152"/>
    </row>
    <row r="4" spans="2:19" ht="30" customHeight="1" thickBot="1" x14ac:dyDescent="0.3">
      <c r="D4" s="71" t="s">
        <v>8</v>
      </c>
      <c r="E4" s="71" t="s">
        <v>25</v>
      </c>
      <c r="F4" s="73" t="s">
        <v>270</v>
      </c>
      <c r="G4" s="71" t="s">
        <v>12</v>
      </c>
      <c r="H4" s="73" t="s">
        <v>17</v>
      </c>
      <c r="I4" s="75" t="s">
        <v>145</v>
      </c>
      <c r="J4" s="75" t="s">
        <v>71</v>
      </c>
      <c r="K4" s="75" t="s">
        <v>72</v>
      </c>
      <c r="L4" s="75" t="s">
        <v>73</v>
      </c>
      <c r="M4" s="75" t="s">
        <v>74</v>
      </c>
      <c r="N4" s="75" t="s">
        <v>75</v>
      </c>
      <c r="O4" s="75" t="s">
        <v>364</v>
      </c>
      <c r="P4" s="75" t="s">
        <v>76</v>
      </c>
      <c r="Q4" s="75" t="s">
        <v>77</v>
      </c>
      <c r="R4" s="75" t="s">
        <v>78</v>
      </c>
      <c r="S4" s="75" t="s">
        <v>79</v>
      </c>
    </row>
    <row r="5" spans="2:19" x14ac:dyDescent="0.25">
      <c r="D5" s="9" t="s">
        <v>3</v>
      </c>
      <c r="E5" s="9" t="s">
        <v>196</v>
      </c>
      <c r="F5" s="9">
        <v>500</v>
      </c>
      <c r="G5" s="9" t="s">
        <v>22</v>
      </c>
      <c r="H5" s="9" t="s">
        <v>377</v>
      </c>
      <c r="I5" s="39">
        <v>190000000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196</v>
      </c>
      <c r="F6" s="9">
        <v>750</v>
      </c>
      <c r="G6" s="9" t="s">
        <v>22</v>
      </c>
      <c r="H6" s="9" t="s">
        <v>377</v>
      </c>
      <c r="I6" s="39">
        <v>200000000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26</v>
      </c>
      <c r="E7" s="9" t="s">
        <v>196</v>
      </c>
      <c r="F7" s="9">
        <v>500</v>
      </c>
      <c r="G7" s="9" t="s">
        <v>22</v>
      </c>
      <c r="H7" s="9" t="s">
        <v>377</v>
      </c>
      <c r="I7" s="39">
        <v>190000000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196</v>
      </c>
      <c r="F8" s="9">
        <v>750</v>
      </c>
      <c r="G8" s="9" t="s">
        <v>22</v>
      </c>
      <c r="H8" s="9" t="s">
        <v>377</v>
      </c>
      <c r="I8" s="39">
        <v>200000000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.75" thickBot="1" x14ac:dyDescent="0.3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25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B5" sqref="B5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5703125" style="31" customWidth="1"/>
    <col min="15" max="16384" width="11.5703125" style="1"/>
  </cols>
  <sheetData>
    <row r="1" spans="2:14" s="79" customFormat="1" ht="24.95" customHeight="1" x14ac:dyDescent="0.25">
      <c r="B1" s="78" t="s">
        <v>237</v>
      </c>
      <c r="N1" s="107"/>
    </row>
    <row r="3" spans="2:14" ht="15.75" thickBot="1" x14ac:dyDescent="0.3">
      <c r="D3" s="102" t="str">
        <f>JESA_UploadTable(D4,D4:D40,db)</f>
        <v>Granulation/Name @17:32:55</v>
      </c>
      <c r="E3" s="102"/>
      <c r="F3" s="102" t="str">
        <f>JESA_UploadTable(F4,F4:F40,db)</f>
        <v>Granulation/Process @17:32:54</v>
      </c>
      <c r="G3" s="102"/>
      <c r="H3" s="102" t="str">
        <f>JESA_UploadTable(H4,H4:H40,db)</f>
        <v>Granulation/Product @17:32:54</v>
      </c>
      <c r="I3" s="102"/>
      <c r="J3" s="102" t="str">
        <f>JESA_UploadTable(J4,J4:J40,db)</f>
        <v>Granulation/CAPEX @17:32:55</v>
      </c>
      <c r="K3" s="102"/>
      <c r="L3" s="102" t="str">
        <f>JESA_UploadTable(L4,L4:L40,db)</f>
        <v>Granulation/Input @17:32:54</v>
      </c>
      <c r="N3" s="1" t="str">
        <f>JESA_UploadTable(N4,N4:N40,db)</f>
        <v>Granulation/Capacities[kt] @17:32:56</v>
      </c>
    </row>
    <row r="4" spans="2:14" ht="30" customHeight="1" thickBot="1" x14ac:dyDescent="0.3">
      <c r="D4" s="80" t="s">
        <v>238</v>
      </c>
      <c r="F4" s="80" t="s">
        <v>239</v>
      </c>
      <c r="H4" s="80" t="s">
        <v>240</v>
      </c>
      <c r="J4" s="80" t="s">
        <v>241</v>
      </c>
      <c r="L4" s="80" t="s">
        <v>242</v>
      </c>
      <c r="N4" s="106" t="s">
        <v>303</v>
      </c>
    </row>
    <row r="5" spans="2:14" x14ac:dyDescent="0.25">
      <c r="D5" s="29" t="s">
        <v>308</v>
      </c>
      <c r="F5" s="81" t="s">
        <v>381</v>
      </c>
      <c r="H5" s="81" t="s">
        <v>81</v>
      </c>
      <c r="J5" s="30" t="s">
        <v>22</v>
      </c>
      <c r="L5" s="81" t="s">
        <v>259</v>
      </c>
      <c r="N5" s="120">
        <f>850/0.64</f>
        <v>1328.125</v>
      </c>
    </row>
    <row r="6" spans="2:14" x14ac:dyDescent="0.25">
      <c r="D6" s="33" t="s">
        <v>309</v>
      </c>
      <c r="F6" s="82" t="s">
        <v>382</v>
      </c>
      <c r="H6" s="82" t="s">
        <v>82</v>
      </c>
      <c r="J6" s="139" t="s">
        <v>169</v>
      </c>
      <c r="L6" s="82" t="s">
        <v>138</v>
      </c>
      <c r="N6" s="121">
        <v>120</v>
      </c>
    </row>
    <row r="7" spans="2:14" x14ac:dyDescent="0.25">
      <c r="D7" s="33" t="s">
        <v>310</v>
      </c>
      <c r="F7" s="82" t="s">
        <v>383</v>
      </c>
      <c r="H7" s="82" t="s">
        <v>83</v>
      </c>
      <c r="J7" s="33" t="s">
        <v>166</v>
      </c>
      <c r="L7" s="82" t="s">
        <v>81</v>
      </c>
      <c r="N7" s="121">
        <v>150</v>
      </c>
    </row>
    <row r="8" spans="2:14" x14ac:dyDescent="0.25">
      <c r="D8" s="33" t="s">
        <v>311</v>
      </c>
      <c r="F8" s="82" t="s">
        <v>384</v>
      </c>
      <c r="H8" s="82" t="s">
        <v>244</v>
      </c>
      <c r="J8" s="82"/>
      <c r="L8" s="82" t="s">
        <v>82</v>
      </c>
      <c r="N8" s="121">
        <v>160</v>
      </c>
    </row>
    <row r="9" spans="2:14" x14ac:dyDescent="0.25">
      <c r="D9" s="33" t="s">
        <v>312</v>
      </c>
      <c r="F9" s="82"/>
      <c r="H9" s="82" t="s">
        <v>245</v>
      </c>
      <c r="J9" s="82"/>
      <c r="L9" s="138" t="s">
        <v>331</v>
      </c>
      <c r="N9" s="121">
        <v>175</v>
      </c>
    </row>
    <row r="10" spans="2:14" x14ac:dyDescent="0.25">
      <c r="D10" s="33" t="s">
        <v>313</v>
      </c>
      <c r="F10" s="82"/>
      <c r="H10" s="82" t="s">
        <v>84</v>
      </c>
      <c r="J10" s="82"/>
      <c r="L10" s="82" t="s">
        <v>332</v>
      </c>
      <c r="N10" s="121">
        <v>250</v>
      </c>
    </row>
    <row r="11" spans="2:14" x14ac:dyDescent="0.25">
      <c r="D11" s="33" t="s">
        <v>314</v>
      </c>
      <c r="F11" s="82"/>
      <c r="H11" s="82" t="s">
        <v>85</v>
      </c>
      <c r="J11" s="82"/>
      <c r="L11" s="82" t="s">
        <v>333</v>
      </c>
      <c r="N11" s="121">
        <v>500</v>
      </c>
    </row>
    <row r="12" spans="2:14" x14ac:dyDescent="0.25">
      <c r="D12" s="33" t="s">
        <v>315</v>
      </c>
      <c r="F12" s="82"/>
      <c r="H12" s="82" t="s">
        <v>246</v>
      </c>
      <c r="J12" s="82"/>
      <c r="L12" s="82" t="s">
        <v>334</v>
      </c>
      <c r="N12" s="121">
        <v>1000</v>
      </c>
    </row>
    <row r="13" spans="2:14" x14ac:dyDescent="0.25">
      <c r="D13" s="33" t="s">
        <v>316</v>
      </c>
      <c r="F13" s="82"/>
      <c r="H13" s="82" t="s">
        <v>365</v>
      </c>
      <c r="I13" s="1" t="s">
        <v>273</v>
      </c>
      <c r="J13" s="82"/>
      <c r="L13" s="82" t="s">
        <v>84</v>
      </c>
      <c r="N13" s="121">
        <v>310</v>
      </c>
    </row>
    <row r="14" spans="2:14" x14ac:dyDescent="0.25">
      <c r="D14" s="33" t="s">
        <v>317</v>
      </c>
      <c r="F14" s="82"/>
      <c r="H14" s="82" t="s">
        <v>366</v>
      </c>
      <c r="I14" s="1" t="s">
        <v>273</v>
      </c>
      <c r="J14" s="82"/>
      <c r="L14" s="82" t="s">
        <v>335</v>
      </c>
      <c r="N14" s="121"/>
    </row>
    <row r="15" spans="2:14" x14ac:dyDescent="0.25">
      <c r="D15" s="33" t="s">
        <v>318</v>
      </c>
      <c r="F15" s="82"/>
      <c r="H15" s="82"/>
      <c r="J15" s="82"/>
      <c r="L15" s="82" t="s">
        <v>336</v>
      </c>
      <c r="N15" s="121"/>
    </row>
    <row r="16" spans="2:14" x14ac:dyDescent="0.25">
      <c r="D16" s="33" t="s">
        <v>319</v>
      </c>
      <c r="F16" s="82"/>
      <c r="H16" s="82"/>
      <c r="J16" s="82"/>
      <c r="L16" s="82" t="s">
        <v>337</v>
      </c>
      <c r="N16" s="121"/>
    </row>
    <row r="17" spans="4:14" x14ac:dyDescent="0.25">
      <c r="D17" s="33" t="s">
        <v>320</v>
      </c>
      <c r="F17" s="82"/>
      <c r="H17" s="82"/>
      <c r="J17" s="82"/>
      <c r="L17" s="82" t="s">
        <v>338</v>
      </c>
      <c r="N17" s="121"/>
    </row>
    <row r="18" spans="4:14" x14ac:dyDescent="0.25">
      <c r="D18" s="33" t="s">
        <v>321</v>
      </c>
      <c r="F18" s="82"/>
      <c r="H18" s="82"/>
      <c r="J18" s="82"/>
      <c r="L18" s="82" t="s">
        <v>460</v>
      </c>
      <c r="N18" s="121"/>
    </row>
    <row r="19" spans="4:14" x14ac:dyDescent="0.25">
      <c r="D19" s="33" t="s">
        <v>322</v>
      </c>
      <c r="F19" s="82"/>
      <c r="H19" s="82"/>
      <c r="J19" s="82"/>
      <c r="L19" s="82"/>
      <c r="N19" s="121"/>
    </row>
    <row r="20" spans="4:14" x14ac:dyDescent="0.25">
      <c r="D20" s="33" t="s">
        <v>323</v>
      </c>
      <c r="F20" s="82"/>
      <c r="H20" s="82"/>
      <c r="J20" s="82"/>
      <c r="L20" s="82"/>
      <c r="N20" s="121"/>
    </row>
    <row r="21" spans="4:14" x14ac:dyDescent="0.25">
      <c r="D21" s="33" t="s">
        <v>324</v>
      </c>
      <c r="F21" s="82"/>
      <c r="H21" s="82"/>
      <c r="J21" s="82"/>
      <c r="L21" s="82"/>
      <c r="N21" s="121"/>
    </row>
    <row r="22" spans="4:14" x14ac:dyDescent="0.25">
      <c r="D22" s="33" t="s">
        <v>325</v>
      </c>
      <c r="F22" s="82"/>
      <c r="H22" s="82"/>
      <c r="J22" s="82"/>
      <c r="L22" s="82"/>
      <c r="N22" s="121"/>
    </row>
    <row r="23" spans="4:14" x14ac:dyDescent="0.25">
      <c r="D23" s="33" t="s">
        <v>326</v>
      </c>
      <c r="F23" s="82"/>
      <c r="H23" s="82"/>
      <c r="J23" s="82"/>
      <c r="L23" s="82"/>
      <c r="N23" s="121"/>
    </row>
    <row r="24" spans="4:14" x14ac:dyDescent="0.25">
      <c r="D24" s="33" t="s">
        <v>327</v>
      </c>
      <c r="F24" s="82"/>
      <c r="H24" s="82"/>
      <c r="J24" s="82"/>
      <c r="L24" s="82"/>
      <c r="N24" s="121"/>
    </row>
    <row r="25" spans="4:14" x14ac:dyDescent="0.25">
      <c r="D25" s="33" t="s">
        <v>328</v>
      </c>
      <c r="F25" s="82"/>
      <c r="H25" s="82"/>
      <c r="J25" s="82"/>
      <c r="L25" s="82"/>
      <c r="N25" s="121"/>
    </row>
    <row r="26" spans="4:14" x14ac:dyDescent="0.25">
      <c r="D26" s="33" t="s">
        <v>329</v>
      </c>
      <c r="F26" s="82"/>
      <c r="H26" s="82"/>
      <c r="J26" s="82"/>
      <c r="L26" s="82"/>
      <c r="N26" s="121"/>
    </row>
    <row r="27" spans="4:14" x14ac:dyDescent="0.25">
      <c r="D27" s="33" t="s">
        <v>330</v>
      </c>
      <c r="F27" s="82"/>
      <c r="H27" s="82"/>
      <c r="J27" s="82"/>
      <c r="L27" s="82"/>
      <c r="N27" s="121"/>
    </row>
    <row r="28" spans="4:14" x14ac:dyDescent="0.25">
      <c r="D28" s="82"/>
      <c r="F28" s="82"/>
      <c r="H28" s="82"/>
      <c r="J28" s="82"/>
      <c r="L28" s="82"/>
      <c r="N28" s="121"/>
    </row>
    <row r="29" spans="4:14" x14ac:dyDescent="0.25">
      <c r="D29" s="82"/>
      <c r="F29" s="82"/>
      <c r="H29" s="82"/>
      <c r="J29" s="82"/>
      <c r="L29" s="82"/>
      <c r="N29" s="121"/>
    </row>
    <row r="30" spans="4:14" x14ac:dyDescent="0.25">
      <c r="D30" s="82"/>
      <c r="F30" s="82"/>
      <c r="H30" s="82"/>
      <c r="J30" s="82"/>
      <c r="L30" s="82"/>
      <c r="N30" s="121"/>
    </row>
    <row r="31" spans="4:14" x14ac:dyDescent="0.25">
      <c r="D31" s="82"/>
      <c r="F31" s="82"/>
      <c r="H31" s="82"/>
      <c r="J31" s="82"/>
      <c r="L31" s="82"/>
      <c r="N31" s="121"/>
    </row>
    <row r="32" spans="4:14" x14ac:dyDescent="0.25">
      <c r="D32" s="82"/>
      <c r="F32" s="82"/>
      <c r="H32" s="82"/>
      <c r="J32" s="82"/>
      <c r="L32" s="82"/>
      <c r="N32" s="121"/>
    </row>
    <row r="33" spans="4:14" x14ac:dyDescent="0.25">
      <c r="D33" s="82"/>
      <c r="F33" s="82"/>
      <c r="H33" s="82"/>
      <c r="J33" s="82"/>
      <c r="L33" s="82"/>
      <c r="N33" s="121"/>
    </row>
    <row r="34" spans="4:14" x14ac:dyDescent="0.25">
      <c r="D34" s="82"/>
      <c r="F34" s="82"/>
      <c r="H34" s="82"/>
      <c r="J34" s="82"/>
      <c r="L34" s="82"/>
      <c r="N34" s="121"/>
    </row>
    <row r="35" spans="4:14" x14ac:dyDescent="0.25">
      <c r="D35" s="82"/>
      <c r="F35" s="82"/>
      <c r="H35" s="82"/>
      <c r="J35" s="82"/>
      <c r="L35" s="82"/>
      <c r="N35" s="121"/>
    </row>
    <row r="36" spans="4:14" x14ac:dyDescent="0.25">
      <c r="D36" s="82"/>
      <c r="F36" s="82"/>
      <c r="H36" s="82"/>
      <c r="J36" s="82"/>
      <c r="L36" s="82"/>
      <c r="N36" s="121"/>
    </row>
    <row r="37" spans="4:14" x14ac:dyDescent="0.25">
      <c r="D37" s="82"/>
      <c r="F37" s="82"/>
      <c r="H37" s="82"/>
      <c r="J37" s="82"/>
      <c r="L37" s="82"/>
      <c r="N37" s="121"/>
    </row>
    <row r="38" spans="4:14" x14ac:dyDescent="0.25">
      <c r="D38" s="82"/>
      <c r="F38" s="82"/>
      <c r="H38" s="82"/>
      <c r="J38" s="82"/>
      <c r="L38" s="82"/>
      <c r="N38" s="121"/>
    </row>
    <row r="39" spans="4:14" x14ac:dyDescent="0.25">
      <c r="D39" s="82"/>
      <c r="F39" s="82"/>
      <c r="H39" s="82"/>
      <c r="J39" s="82"/>
      <c r="L39" s="82"/>
      <c r="N39" s="121"/>
    </row>
    <row r="40" spans="4:14" ht="15.75" thickBot="1" x14ac:dyDescent="0.3">
      <c r="D40" s="83"/>
      <c r="F40" s="83"/>
      <c r="H40" s="83"/>
      <c r="J40" s="83"/>
      <c r="L40" s="83"/>
      <c r="N40" s="122"/>
    </row>
    <row r="41" spans="4:14" x14ac:dyDescent="0.25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5"/>
  <sheetViews>
    <sheetView zoomScaleNormal="100" zoomScaleSheetLayoutView="100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8" width="23.28515625" style="5" bestFit="1" customWidth="1"/>
    <col min="9" max="9" width="27" style="5" bestFit="1" customWidth="1"/>
    <col min="10" max="14" width="15.85546875" style="5" customWidth="1"/>
    <col min="15" max="15" width="59.42578125" style="5" bestFit="1" customWidth="1"/>
    <col min="16" max="16384" width="11.5703125" style="5"/>
  </cols>
  <sheetData>
    <row r="1" spans="2:15" s="79" customFormat="1" ht="24.95" customHeight="1" x14ac:dyDescent="0.25">
      <c r="B1" s="78" t="s">
        <v>247</v>
      </c>
      <c r="K1" s="117"/>
    </row>
    <row r="3" spans="2:15" ht="15.75" thickBot="1" x14ac:dyDescent="0.3">
      <c r="D3" s="38" t="str">
        <f>JESA_UploadTable(B1,D4:O18,db)</f>
        <v>Granulation options @17:32:56</v>
      </c>
    </row>
    <row r="4" spans="2:15" ht="30" customHeight="1" thickBot="1" x14ac:dyDescent="0.3">
      <c r="D4" s="84" t="s">
        <v>8</v>
      </c>
      <c r="E4" s="84" t="s">
        <v>30</v>
      </c>
      <c r="F4" s="85" t="s">
        <v>350</v>
      </c>
      <c r="G4" s="85" t="s">
        <v>160</v>
      </c>
      <c r="H4" s="85" t="s">
        <v>140</v>
      </c>
      <c r="I4" s="85" t="s">
        <v>25</v>
      </c>
      <c r="J4" s="80" t="s">
        <v>270</v>
      </c>
      <c r="K4" s="116" t="s">
        <v>17</v>
      </c>
      <c r="L4" s="80" t="s">
        <v>70</v>
      </c>
      <c r="M4" s="80" t="s">
        <v>144</v>
      </c>
      <c r="N4" s="80" t="s">
        <v>148</v>
      </c>
      <c r="O4" s="84" t="s">
        <v>149</v>
      </c>
    </row>
    <row r="5" spans="2:15" ht="15.75" thickBot="1" x14ac:dyDescent="0.3">
      <c r="D5" s="9" t="s">
        <v>26</v>
      </c>
      <c r="E5" s="9" t="s">
        <v>316</v>
      </c>
      <c r="F5" s="9" t="s">
        <v>351</v>
      </c>
      <c r="G5" s="9" t="s">
        <v>349</v>
      </c>
      <c r="H5" s="118" t="s">
        <v>84</v>
      </c>
      <c r="I5" s="9" t="s">
        <v>381</v>
      </c>
      <c r="J5" s="15">
        <v>1328.125</v>
      </c>
      <c r="K5" s="11" t="s">
        <v>339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.75" thickBot="1" x14ac:dyDescent="0.3">
      <c r="D6" s="9" t="s">
        <v>26</v>
      </c>
      <c r="E6" s="9" t="s">
        <v>319</v>
      </c>
      <c r="F6" s="9" t="s">
        <v>351</v>
      </c>
      <c r="G6" s="9" t="s">
        <v>349</v>
      </c>
      <c r="H6" s="118" t="s">
        <v>380</v>
      </c>
      <c r="I6" s="9" t="s">
        <v>381</v>
      </c>
      <c r="J6" s="15">
        <v>310</v>
      </c>
      <c r="K6" s="11" t="s">
        <v>339</v>
      </c>
      <c r="L6" s="11" t="s">
        <v>36</v>
      </c>
      <c r="M6" s="15">
        <v>1980</v>
      </c>
      <c r="N6" s="15">
        <v>2100</v>
      </c>
      <c r="O6" s="8" t="str">
        <f t="shared" ref="O6:O35" si="0">IF(D6="","","/Granulation/"&amp;CONCATENATE(D6,"/",E6,"/",I6,"/",J6,"/",L6,"/",M6,"/",N6))</f>
        <v>/Granulation/Safi/MCP1/ChemicalGranulation/310/Existing/1980/2100</v>
      </c>
    </row>
    <row r="7" spans="2:15" ht="15.75" thickBot="1" x14ac:dyDescent="0.3">
      <c r="D7" s="9" t="s">
        <v>26</v>
      </c>
      <c r="E7" s="9" t="s">
        <v>316</v>
      </c>
      <c r="F7" s="9" t="s">
        <v>351</v>
      </c>
      <c r="G7" s="9" t="s">
        <v>349</v>
      </c>
      <c r="H7" s="118" t="s">
        <v>84</v>
      </c>
      <c r="I7" s="9" t="s">
        <v>381</v>
      </c>
      <c r="J7" s="15">
        <v>1328.125</v>
      </c>
      <c r="K7" s="11" t="s">
        <v>339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/Granulation/Safi/TSP1/ChemicalGranulation/1328,125/Existing/1980/2024</v>
      </c>
    </row>
    <row r="8" spans="2:15" ht="15.75" thickBot="1" x14ac:dyDescent="0.3">
      <c r="D8" s="9" t="s">
        <v>26</v>
      </c>
      <c r="E8" s="9" t="s">
        <v>319</v>
      </c>
      <c r="F8" s="9" t="s">
        <v>351</v>
      </c>
      <c r="G8" s="9" t="s">
        <v>349</v>
      </c>
      <c r="H8" s="118" t="s">
        <v>380</v>
      </c>
      <c r="I8" s="9" t="s">
        <v>381</v>
      </c>
      <c r="J8" s="15">
        <v>310</v>
      </c>
      <c r="K8" s="11" t="s">
        <v>339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/Granulation/Safi/MCP1/ChemicalGranulation/310/Existing/1980/2024</v>
      </c>
    </row>
    <row r="9" spans="2:15" ht="15.75" thickBot="1" x14ac:dyDescent="0.3">
      <c r="D9" s="9" t="s">
        <v>26</v>
      </c>
      <c r="E9" s="9" t="s">
        <v>316</v>
      </c>
      <c r="F9" s="9" t="s">
        <v>351</v>
      </c>
      <c r="G9" s="9" t="s">
        <v>349</v>
      </c>
      <c r="H9" s="118" t="s">
        <v>84</v>
      </c>
      <c r="I9" s="9" t="s">
        <v>381</v>
      </c>
      <c r="J9" s="15">
        <v>1328.125</v>
      </c>
      <c r="K9" s="11" t="s">
        <v>339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/Granulation/Safi/TSP1/ChemicalGranulation/1328,125/Existing/1980/2030</v>
      </c>
    </row>
    <row r="10" spans="2:15" ht="15.75" thickBot="1" x14ac:dyDescent="0.3">
      <c r="D10" s="9" t="s">
        <v>26</v>
      </c>
      <c r="E10" s="9" t="s">
        <v>319</v>
      </c>
      <c r="F10" s="9" t="s">
        <v>351</v>
      </c>
      <c r="G10" s="9" t="s">
        <v>349</v>
      </c>
      <c r="H10" s="118" t="s">
        <v>380</v>
      </c>
      <c r="I10" s="9" t="s">
        <v>381</v>
      </c>
      <c r="J10" s="15">
        <v>310</v>
      </c>
      <c r="K10" s="11" t="s">
        <v>339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.75" thickBot="1" x14ac:dyDescent="0.3">
      <c r="D11" s="9" t="s">
        <v>26</v>
      </c>
      <c r="E11" s="9">
        <v>8</v>
      </c>
      <c r="F11" s="9" t="s">
        <v>351</v>
      </c>
      <c r="G11" s="9" t="s">
        <v>352</v>
      </c>
      <c r="H11" s="118" t="s">
        <v>365</v>
      </c>
      <c r="I11" s="9" t="s">
        <v>381</v>
      </c>
      <c r="J11" s="15">
        <v>1000</v>
      </c>
      <c r="K11" s="11" t="s">
        <v>339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.75" thickBot="1" x14ac:dyDescent="0.3">
      <c r="D12" s="9" t="s">
        <v>26</v>
      </c>
      <c r="E12" s="9">
        <v>3</v>
      </c>
      <c r="F12" s="9" t="s">
        <v>351</v>
      </c>
      <c r="G12" s="9" t="s">
        <v>352</v>
      </c>
      <c r="H12" s="118" t="s">
        <v>365</v>
      </c>
      <c r="I12" s="9" t="s">
        <v>381</v>
      </c>
      <c r="J12" s="15">
        <v>500</v>
      </c>
      <c r="K12" s="11" t="s">
        <v>339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.75" thickBot="1" x14ac:dyDescent="0.3">
      <c r="D13" s="9" t="s">
        <v>26</v>
      </c>
      <c r="E13" s="9">
        <v>1</v>
      </c>
      <c r="F13" s="9" t="s">
        <v>351</v>
      </c>
      <c r="G13" s="9" t="s">
        <v>349</v>
      </c>
      <c r="H13" s="118" t="s">
        <v>380</v>
      </c>
      <c r="I13" s="9" t="s">
        <v>381</v>
      </c>
      <c r="J13" s="15">
        <v>175</v>
      </c>
      <c r="K13" s="11" t="s">
        <v>339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.75" thickBot="1" x14ac:dyDescent="0.3">
      <c r="D14" s="9"/>
      <c r="E14" s="9"/>
      <c r="F14" s="9"/>
      <c r="G14" s="9"/>
      <c r="H14" s="118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.75" thickBot="1" x14ac:dyDescent="0.3">
      <c r="D15" s="9"/>
      <c r="E15" s="9"/>
      <c r="F15" s="9"/>
      <c r="G15" s="9"/>
      <c r="H15" s="118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.75" thickBot="1" x14ac:dyDescent="0.3">
      <c r="D16" s="9"/>
      <c r="E16" s="9"/>
      <c r="F16" s="9"/>
      <c r="G16" s="9"/>
      <c r="H16" s="118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.75" thickBot="1" x14ac:dyDescent="0.3">
      <c r="D17" s="9"/>
      <c r="E17" s="9"/>
      <c r="F17" s="9"/>
      <c r="G17" s="9"/>
      <c r="H17" s="118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.75" thickBot="1" x14ac:dyDescent="0.3">
      <c r="D18" s="9"/>
      <c r="E18" s="9"/>
      <c r="F18" s="9"/>
      <c r="G18" s="9"/>
      <c r="H18" s="118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.75" thickBot="1" x14ac:dyDescent="0.3">
      <c r="D19" s="9"/>
      <c r="E19" s="9"/>
      <c r="F19" s="9"/>
      <c r="G19" s="9"/>
      <c r="H19" s="118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.75" thickBot="1" x14ac:dyDescent="0.3">
      <c r="D20" s="9"/>
      <c r="E20" s="9"/>
      <c r="F20" s="9"/>
      <c r="G20" s="9"/>
      <c r="H20" s="118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.75" thickBot="1" x14ac:dyDescent="0.3">
      <c r="D21" s="9"/>
      <c r="E21" s="9"/>
      <c r="F21" s="9"/>
      <c r="G21" s="9"/>
      <c r="H21" s="118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.75" thickBot="1" x14ac:dyDescent="0.3">
      <c r="D22" s="9"/>
      <c r="E22" s="9"/>
      <c r="F22" s="9"/>
      <c r="G22" s="9"/>
      <c r="H22" s="118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.75" thickBot="1" x14ac:dyDescent="0.3">
      <c r="D23" s="9"/>
      <c r="E23" s="9"/>
      <c r="F23" s="9"/>
      <c r="G23" s="9"/>
      <c r="H23" s="118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.75" thickBot="1" x14ac:dyDescent="0.3">
      <c r="D24" s="9"/>
      <c r="E24" s="9"/>
      <c r="F24" s="9"/>
      <c r="G24" s="9"/>
      <c r="H24" s="118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.75" thickBot="1" x14ac:dyDescent="0.3">
      <c r="D25" s="9"/>
      <c r="E25" s="9"/>
      <c r="F25" s="9"/>
      <c r="G25" s="9"/>
      <c r="H25" s="118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.75" thickBot="1" x14ac:dyDescent="0.3">
      <c r="D26" s="9"/>
      <c r="E26" s="9"/>
      <c r="F26" s="9"/>
      <c r="G26" s="9"/>
      <c r="H26" s="118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.75" thickBot="1" x14ac:dyDescent="0.3">
      <c r="D27" s="9"/>
      <c r="E27" s="9"/>
      <c r="F27" s="9"/>
      <c r="G27" s="9"/>
      <c r="H27" s="118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.75" thickBot="1" x14ac:dyDescent="0.3">
      <c r="D28" s="9"/>
      <c r="E28" s="9"/>
      <c r="F28" s="9"/>
      <c r="G28" s="9"/>
      <c r="H28" s="118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.75" thickBot="1" x14ac:dyDescent="0.3">
      <c r="D29" s="9"/>
      <c r="E29" s="9"/>
      <c r="F29" s="9"/>
      <c r="G29" s="9"/>
      <c r="H29" s="118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.75" thickBot="1" x14ac:dyDescent="0.3">
      <c r="D30" s="9"/>
      <c r="E30" s="9"/>
      <c r="F30" s="9"/>
      <c r="G30" s="9"/>
      <c r="H30" s="118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.75" thickBot="1" x14ac:dyDescent="0.3">
      <c r="D31" s="9"/>
      <c r="E31" s="9"/>
      <c r="F31" s="9"/>
      <c r="G31" s="9"/>
      <c r="H31" s="118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.75" thickBot="1" x14ac:dyDescent="0.3">
      <c r="D32" s="9"/>
      <c r="E32" s="9"/>
      <c r="F32" s="9"/>
      <c r="G32" s="9"/>
      <c r="H32" s="118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.75" thickBot="1" x14ac:dyDescent="0.3">
      <c r="D33" s="9"/>
      <c r="E33" s="9"/>
      <c r="F33" s="9"/>
      <c r="G33" s="9"/>
      <c r="H33" s="118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.75" thickBot="1" x14ac:dyDescent="0.3">
      <c r="D34" s="10"/>
      <c r="E34" s="10"/>
      <c r="F34" s="10"/>
      <c r="G34" s="10"/>
      <c r="H34" s="119"/>
      <c r="I34" s="10"/>
      <c r="J34" s="16"/>
      <c r="K34" s="12"/>
      <c r="L34" s="12"/>
      <c r="M34" s="16"/>
      <c r="N34" s="16"/>
      <c r="O34" s="8" t="str">
        <f t="shared" si="0"/>
        <v/>
      </c>
    </row>
    <row r="35" spans="4:15" x14ac:dyDescent="0.25">
      <c r="D35" s="5" t="e">
        <v>#N/A</v>
      </c>
      <c r="E35" s="5" t="e">
        <v>#N/A</v>
      </c>
      <c r="I35" s="5" t="e">
        <v>#N/A</v>
      </c>
      <c r="J35" s="5" t="e">
        <v>#N/A</v>
      </c>
      <c r="M35" s="5" t="e">
        <v>#N/A</v>
      </c>
      <c r="N35" s="5" t="e">
        <v>#N/A</v>
      </c>
      <c r="O35" s="8" t="e">
        <f t="shared" si="0"/>
        <v>#N/A</v>
      </c>
    </row>
  </sheetData>
  <dataValidations count="8">
    <dataValidation type="list" allowBlank="1" showInputMessage="1" showErrorMessage="1" sqref="L5:L34">
      <formula1>"Existing,New"</formula1>
    </dataValidation>
    <dataValidation type="list" allowBlank="1" showInputMessage="1" showErrorMessage="1" sqref="D5:D34">
      <formula1>Location</formula1>
    </dataValidation>
    <dataValidation type="list" allowBlank="1" showInputMessage="1" showErrorMessage="1" sqref="I5:I34">
      <formula1>GranulProcess</formula1>
    </dataValidation>
    <dataValidation type="list" allowBlank="1" showInputMessage="1" showErrorMessage="1" sqref="J5:J34">
      <formula1>GranulCapacities</formula1>
    </dataValidation>
    <dataValidation type="list" allowBlank="1" showInputMessage="1" showErrorMessage="1" sqref="K5:K54">
      <formula1>Unit</formula1>
    </dataValidation>
    <dataValidation type="list" allowBlank="1" showInputMessage="1" showErrorMessage="1" sqref="G5:G34">
      <formula1>"Monoproduit,Multiproduits"</formula1>
    </dataValidation>
    <dataValidation type="list" allowBlank="1" showInputMessage="1" showErrorMessage="1" sqref="H5:H34">
      <formula1>GranulProducts</formula1>
    </dataValidation>
    <dataValidation type="list" allowBlank="1" showInputMessage="1" showErrorMessage="1" sqref="F5:F34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7" width="15.85546875" style="5" customWidth="1"/>
    <col min="8" max="18" width="8.85546875" style="5" customWidth="1"/>
    <col min="19" max="16384" width="11.5703125" style="5"/>
  </cols>
  <sheetData>
    <row r="1" spans="2:18" s="79" customFormat="1" ht="24.95" customHeight="1" x14ac:dyDescent="0.25">
      <c r="B1" s="78" t="s">
        <v>248</v>
      </c>
    </row>
    <row r="3" spans="2:18" ht="15.75" thickBot="1" x14ac:dyDescent="0.3">
      <c r="D3" s="38" t="str">
        <f>JESA_UploadTable(B1,D4:R14,db)</f>
        <v>Granulation production @17:32:56</v>
      </c>
    </row>
    <row r="4" spans="2:18" ht="30" customHeight="1" thickBot="1" x14ac:dyDescent="0.3">
      <c r="D4" s="84" t="s">
        <v>25</v>
      </c>
      <c r="E4" s="84" t="s">
        <v>230</v>
      </c>
      <c r="F4" s="84" t="s">
        <v>24</v>
      </c>
      <c r="G4" s="80" t="s">
        <v>17</v>
      </c>
      <c r="H4" s="86" t="s">
        <v>37</v>
      </c>
      <c r="I4" s="86" t="s">
        <v>38</v>
      </c>
      <c r="J4" s="86" t="s">
        <v>39</v>
      </c>
      <c r="K4" s="86" t="s">
        <v>40</v>
      </c>
      <c r="L4" s="86" t="s">
        <v>41</v>
      </c>
      <c r="M4" s="86" t="s">
        <v>42</v>
      </c>
      <c r="N4" s="86" t="s">
        <v>43</v>
      </c>
      <c r="O4" s="86" t="s">
        <v>44</v>
      </c>
      <c r="P4" s="86" t="s">
        <v>45</v>
      </c>
      <c r="Q4" s="86" t="s">
        <v>46</v>
      </c>
      <c r="R4" s="86" t="s">
        <v>47</v>
      </c>
    </row>
    <row r="5" spans="2:18" ht="15.75" thickBot="1" x14ac:dyDescent="0.3">
      <c r="D5" s="8" t="s">
        <v>381</v>
      </c>
      <c r="E5" s="8" t="s">
        <v>460</v>
      </c>
      <c r="F5" s="8" t="s">
        <v>81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.75" thickBot="1" x14ac:dyDescent="0.3">
      <c r="D6" s="9" t="s">
        <v>381</v>
      </c>
      <c r="E6" s="8" t="s">
        <v>460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.75" thickBot="1" x14ac:dyDescent="0.3">
      <c r="D7" s="9" t="s">
        <v>381</v>
      </c>
      <c r="E7" s="8" t="s">
        <v>460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.75" thickBot="1" x14ac:dyDescent="0.3">
      <c r="D8" s="9" t="s">
        <v>381</v>
      </c>
      <c r="E8" s="8" t="s">
        <v>460</v>
      </c>
      <c r="F8" s="9" t="s">
        <v>244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.75" thickBot="1" x14ac:dyDescent="0.3">
      <c r="D9" s="9" t="s">
        <v>381</v>
      </c>
      <c r="E9" s="8" t="s">
        <v>460</v>
      </c>
      <c r="F9" s="9" t="s">
        <v>245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.75" thickBot="1" x14ac:dyDescent="0.3">
      <c r="D10" s="9" t="s">
        <v>381</v>
      </c>
      <c r="E10" s="8" t="s">
        <v>460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.75" thickBot="1" x14ac:dyDescent="0.3">
      <c r="D11" s="9" t="s">
        <v>381</v>
      </c>
      <c r="E11" s="8" t="s">
        <v>460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25">
      <c r="D12" s="9" t="s">
        <v>381</v>
      </c>
      <c r="E12" s="8" t="s">
        <v>460</v>
      </c>
      <c r="F12" s="9" t="s">
        <v>246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25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25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2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2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2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2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2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2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2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2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2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2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2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2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2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2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2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2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2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2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2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2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2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2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2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2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2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2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2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2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2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2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2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2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2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2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2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2"/>
        <v/>
      </c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</row>
    <row r="51" spans="4:18" x14ac:dyDescent="0.2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35"/>
  <sheetViews>
    <sheetView zoomScaleNormal="100" workbookViewId="0"/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5.85546875" style="5" customWidth="1"/>
    <col min="7" max="10" width="15.85546875" style="5" customWidth="1"/>
    <col min="11" max="21" width="8.85546875" style="5" customWidth="1"/>
    <col min="22" max="22" width="11.5703125" style="5"/>
    <col min="23" max="23" width="12.28515625" style="5" bestFit="1" customWidth="1"/>
    <col min="24" max="16384" width="11.5703125" style="5"/>
  </cols>
  <sheetData>
    <row r="1" spans="2:21" s="79" customFormat="1" ht="24.95" customHeight="1" x14ac:dyDescent="0.25">
      <c r="B1" s="78" t="s">
        <v>249</v>
      </c>
    </row>
    <row r="3" spans="2:21" ht="15.75" thickBot="1" x14ac:dyDescent="0.3">
      <c r="D3" s="38" t="str">
        <f>JESA_UploadTable(B1,D4:U205,db)</f>
        <v>Granulation opex @17:32:55</v>
      </c>
      <c r="E3" s="38"/>
      <c r="F3" s="38"/>
    </row>
    <row r="4" spans="2:21" ht="30" customHeight="1" thickBot="1" x14ac:dyDescent="0.3">
      <c r="D4" s="84" t="s">
        <v>8</v>
      </c>
      <c r="E4" s="84" t="s">
        <v>350</v>
      </c>
      <c r="F4" s="84" t="s">
        <v>25</v>
      </c>
      <c r="G4" s="80" t="s">
        <v>270</v>
      </c>
      <c r="H4" s="84" t="s">
        <v>24</v>
      </c>
      <c r="I4" s="84" t="s">
        <v>12</v>
      </c>
      <c r="J4" s="80" t="s">
        <v>17</v>
      </c>
      <c r="K4" s="86" t="s">
        <v>37</v>
      </c>
      <c r="L4" s="86" t="s">
        <v>38</v>
      </c>
      <c r="M4" s="86" t="s">
        <v>39</v>
      </c>
      <c r="N4" s="86" t="s">
        <v>40</v>
      </c>
      <c r="O4" s="86" t="s">
        <v>41</v>
      </c>
      <c r="P4" s="86" t="s">
        <v>42</v>
      </c>
      <c r="Q4" s="86" t="s">
        <v>43</v>
      </c>
      <c r="R4" s="86" t="s">
        <v>44</v>
      </c>
      <c r="S4" s="86" t="s">
        <v>45</v>
      </c>
      <c r="T4" s="86" t="s">
        <v>46</v>
      </c>
      <c r="U4" s="86" t="s">
        <v>47</v>
      </c>
    </row>
    <row r="5" spans="2:21" x14ac:dyDescent="0.25">
      <c r="D5" s="8" t="s">
        <v>26</v>
      </c>
      <c r="E5" s="8" t="s">
        <v>351</v>
      </c>
      <c r="F5" s="8" t="s">
        <v>381</v>
      </c>
      <c r="G5" s="14">
        <v>1328.125</v>
      </c>
      <c r="H5" s="8" t="s">
        <v>84</v>
      </c>
      <c r="I5" s="8" t="s">
        <v>292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25">
      <c r="D6" s="9" t="s">
        <v>26</v>
      </c>
      <c r="E6" s="9" t="s">
        <v>351</v>
      </c>
      <c r="F6" s="9" t="s">
        <v>381</v>
      </c>
      <c r="G6" s="15">
        <v>1328.125</v>
      </c>
      <c r="H6" s="9" t="s">
        <v>84</v>
      </c>
      <c r="I6" s="9" t="s">
        <v>460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25">
      <c r="D7" s="9" t="s">
        <v>26</v>
      </c>
      <c r="E7" s="9" t="s">
        <v>351</v>
      </c>
      <c r="F7" s="9" t="s">
        <v>381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25">
      <c r="D8" s="9" t="s">
        <v>26</v>
      </c>
      <c r="E8" s="9" t="s">
        <v>351</v>
      </c>
      <c r="F8" s="9" t="s">
        <v>381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25">
      <c r="D9" s="9" t="s">
        <v>26</v>
      </c>
      <c r="E9" s="9" t="s">
        <v>351</v>
      </c>
      <c r="F9" s="9" t="s">
        <v>381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25">
      <c r="D10" s="9" t="s">
        <v>26</v>
      </c>
      <c r="E10" s="9" t="s">
        <v>351</v>
      </c>
      <c r="F10" s="9" t="s">
        <v>381</v>
      </c>
      <c r="G10" s="15">
        <v>1328.125</v>
      </c>
      <c r="H10" s="9" t="s">
        <v>84</v>
      </c>
      <c r="I10" s="9" t="s">
        <v>340</v>
      </c>
      <c r="J10" s="9" t="s">
        <v>341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25">
      <c r="D11" s="9" t="s">
        <v>26</v>
      </c>
      <c r="E11" s="9" t="s">
        <v>351</v>
      </c>
      <c r="F11" s="9" t="s">
        <v>381</v>
      </c>
      <c r="G11" s="15">
        <v>1328.125</v>
      </c>
      <c r="H11" s="9" t="s">
        <v>84</v>
      </c>
      <c r="I11" s="9" t="s">
        <v>342</v>
      </c>
      <c r="J11" s="9" t="s">
        <v>341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25">
      <c r="D12" s="9" t="s">
        <v>26</v>
      </c>
      <c r="E12" s="9" t="s">
        <v>351</v>
      </c>
      <c r="F12" s="9" t="s">
        <v>381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25">
      <c r="D13" s="9" t="s">
        <v>26</v>
      </c>
      <c r="E13" s="9" t="s">
        <v>351</v>
      </c>
      <c r="F13" s="9" t="s">
        <v>381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25">
      <c r="D14" s="9" t="s">
        <v>26</v>
      </c>
      <c r="E14" s="9" t="s">
        <v>351</v>
      </c>
      <c r="F14" s="9" t="s">
        <v>381</v>
      </c>
      <c r="G14" s="15">
        <v>1328.125</v>
      </c>
      <c r="H14" s="9" t="s">
        <v>84</v>
      </c>
      <c r="I14" s="9" t="s">
        <v>343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25">
      <c r="D15" s="9" t="s">
        <v>26</v>
      </c>
      <c r="E15" s="9" t="s">
        <v>351</v>
      </c>
      <c r="F15" s="9" t="s">
        <v>381</v>
      </c>
      <c r="G15" s="15">
        <v>1328.125</v>
      </c>
      <c r="H15" s="9" t="s">
        <v>84</v>
      </c>
      <c r="I15" s="9" t="s">
        <v>344</v>
      </c>
      <c r="J15" s="9" t="s">
        <v>345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25">
      <c r="D16" s="9" t="s">
        <v>26</v>
      </c>
      <c r="E16" s="9" t="s">
        <v>351</v>
      </c>
      <c r="F16" s="9" t="s">
        <v>381</v>
      </c>
      <c r="G16" s="15">
        <v>310</v>
      </c>
      <c r="H16" s="9" t="s">
        <v>85</v>
      </c>
      <c r="I16" s="9" t="s">
        <v>346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25">
      <c r="D17" s="9" t="s">
        <v>26</v>
      </c>
      <c r="E17" s="9" t="s">
        <v>351</v>
      </c>
      <c r="F17" s="9" t="s">
        <v>381</v>
      </c>
      <c r="G17" s="15">
        <v>310</v>
      </c>
      <c r="H17" s="9" t="s">
        <v>85</v>
      </c>
      <c r="I17" s="9" t="s">
        <v>460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25">
      <c r="D18" s="9" t="s">
        <v>26</v>
      </c>
      <c r="E18" s="9" t="s">
        <v>351</v>
      </c>
      <c r="F18" s="9" t="s">
        <v>381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25">
      <c r="D19" s="9" t="s">
        <v>26</v>
      </c>
      <c r="E19" s="9" t="s">
        <v>351</v>
      </c>
      <c r="F19" s="9" t="s">
        <v>381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25">
      <c r="D20" s="9" t="s">
        <v>26</v>
      </c>
      <c r="E20" s="9" t="s">
        <v>351</v>
      </c>
      <c r="F20" s="9" t="s">
        <v>381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25">
      <c r="D21" s="9" t="s">
        <v>26</v>
      </c>
      <c r="E21" s="9" t="s">
        <v>351</v>
      </c>
      <c r="F21" s="9" t="s">
        <v>381</v>
      </c>
      <c r="G21" s="15">
        <v>310</v>
      </c>
      <c r="H21" s="9" t="s">
        <v>85</v>
      </c>
      <c r="I21" s="9" t="s">
        <v>340</v>
      </c>
      <c r="J21" s="9" t="s">
        <v>341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25">
      <c r="D22" s="9" t="s">
        <v>26</v>
      </c>
      <c r="E22" s="9" t="s">
        <v>351</v>
      </c>
      <c r="F22" s="9" t="s">
        <v>381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25">
      <c r="D23" s="9" t="s">
        <v>26</v>
      </c>
      <c r="E23" s="9" t="s">
        <v>351</v>
      </c>
      <c r="F23" s="9" t="s">
        <v>381</v>
      </c>
      <c r="G23" s="15">
        <v>310</v>
      </c>
      <c r="H23" s="9" t="s">
        <v>85</v>
      </c>
      <c r="I23" s="9" t="s">
        <v>343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25">
      <c r="D24" s="9" t="s">
        <v>26</v>
      </c>
      <c r="E24" s="9" t="s">
        <v>351</v>
      </c>
      <c r="F24" s="9" t="s">
        <v>381</v>
      </c>
      <c r="G24" s="15">
        <v>310</v>
      </c>
      <c r="H24" s="9" t="s">
        <v>85</v>
      </c>
      <c r="I24" s="9" t="s">
        <v>344</v>
      </c>
      <c r="J24" s="9" t="s">
        <v>345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25">
      <c r="D25" s="9" t="s">
        <v>26</v>
      </c>
      <c r="E25" s="9" t="s">
        <v>351</v>
      </c>
      <c r="F25" s="9" t="s">
        <v>381</v>
      </c>
      <c r="G25" s="15">
        <v>310</v>
      </c>
      <c r="H25" s="9" t="s">
        <v>246</v>
      </c>
      <c r="I25" s="9" t="s">
        <v>346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25">
      <c r="D26" s="9" t="s">
        <v>26</v>
      </c>
      <c r="E26" s="9" t="s">
        <v>351</v>
      </c>
      <c r="F26" s="9" t="s">
        <v>381</v>
      </c>
      <c r="G26" s="15">
        <v>310</v>
      </c>
      <c r="H26" s="9" t="s">
        <v>246</v>
      </c>
      <c r="I26" s="9" t="s">
        <v>460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25">
      <c r="D27" s="9" t="s">
        <v>26</v>
      </c>
      <c r="E27" s="9" t="s">
        <v>351</v>
      </c>
      <c r="F27" s="9" t="s">
        <v>381</v>
      </c>
      <c r="G27" s="15">
        <v>310</v>
      </c>
      <c r="H27" s="9" t="s">
        <v>246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25">
      <c r="D28" s="9" t="s">
        <v>26</v>
      </c>
      <c r="E28" s="9" t="s">
        <v>351</v>
      </c>
      <c r="F28" s="9" t="s">
        <v>381</v>
      </c>
      <c r="G28" s="15">
        <v>310</v>
      </c>
      <c r="H28" s="9" t="s">
        <v>246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25">
      <c r="D29" s="9" t="s">
        <v>26</v>
      </c>
      <c r="E29" s="9" t="s">
        <v>351</v>
      </c>
      <c r="F29" s="9" t="s">
        <v>381</v>
      </c>
      <c r="G29" s="15">
        <v>310</v>
      </c>
      <c r="H29" s="9" t="s">
        <v>246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25">
      <c r="D30" s="9" t="s">
        <v>26</v>
      </c>
      <c r="E30" s="9" t="s">
        <v>351</v>
      </c>
      <c r="F30" s="9" t="s">
        <v>381</v>
      </c>
      <c r="G30" s="15">
        <v>310</v>
      </c>
      <c r="H30" s="9" t="s">
        <v>246</v>
      </c>
      <c r="I30" s="9" t="s">
        <v>340</v>
      </c>
      <c r="J30" s="9" t="s">
        <v>341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25">
      <c r="D31" s="9" t="s">
        <v>26</v>
      </c>
      <c r="E31" s="9" t="s">
        <v>351</v>
      </c>
      <c r="F31" s="9" t="s">
        <v>381</v>
      </c>
      <c r="G31" s="15">
        <v>310</v>
      </c>
      <c r="H31" s="9" t="s">
        <v>246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25">
      <c r="D32" s="9" t="s">
        <v>26</v>
      </c>
      <c r="E32" s="9" t="s">
        <v>351</v>
      </c>
      <c r="F32" s="9" t="s">
        <v>381</v>
      </c>
      <c r="G32" s="15">
        <v>310</v>
      </c>
      <c r="H32" s="9" t="s">
        <v>246</v>
      </c>
      <c r="I32" s="9" t="s">
        <v>343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25">
      <c r="D33" s="9" t="s">
        <v>26</v>
      </c>
      <c r="E33" s="9" t="s">
        <v>351</v>
      </c>
      <c r="F33" s="9" t="s">
        <v>381</v>
      </c>
      <c r="G33" s="15">
        <v>310</v>
      </c>
      <c r="H33" s="9" t="s">
        <v>246</v>
      </c>
      <c r="I33" s="9" t="s">
        <v>344</v>
      </c>
      <c r="J33" s="9" t="s">
        <v>345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25">
      <c r="D34" s="9" t="s">
        <v>26</v>
      </c>
      <c r="E34" s="9" t="s">
        <v>351</v>
      </c>
      <c r="F34" s="9" t="s">
        <v>381</v>
      </c>
      <c r="G34" s="15">
        <v>1000</v>
      </c>
      <c r="H34" s="9" t="s">
        <v>82</v>
      </c>
      <c r="I34" s="9" t="s">
        <v>347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25">
      <c r="D35" s="9" t="s">
        <v>26</v>
      </c>
      <c r="E35" s="9" t="s">
        <v>351</v>
      </c>
      <c r="F35" s="9" t="s">
        <v>381</v>
      </c>
      <c r="G35" s="15">
        <v>1000</v>
      </c>
      <c r="H35" s="9" t="s">
        <v>82</v>
      </c>
      <c r="I35" s="9" t="s">
        <v>460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25">
      <c r="D36" s="9" t="s">
        <v>26</v>
      </c>
      <c r="E36" s="9" t="s">
        <v>351</v>
      </c>
      <c r="F36" s="9" t="s">
        <v>381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25">
      <c r="D37" s="9" t="s">
        <v>26</v>
      </c>
      <c r="E37" s="9" t="s">
        <v>351</v>
      </c>
      <c r="F37" s="9" t="s">
        <v>381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25">
      <c r="D38" s="9" t="s">
        <v>26</v>
      </c>
      <c r="E38" s="9" t="s">
        <v>351</v>
      </c>
      <c r="F38" s="9" t="s">
        <v>381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25">
      <c r="D39" s="9" t="s">
        <v>26</v>
      </c>
      <c r="E39" s="9" t="s">
        <v>351</v>
      </c>
      <c r="F39" s="9" t="s">
        <v>381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25">
      <c r="D40" s="9" t="s">
        <v>26</v>
      </c>
      <c r="E40" s="9" t="s">
        <v>351</v>
      </c>
      <c r="F40" s="9" t="s">
        <v>381</v>
      </c>
      <c r="G40" s="15">
        <v>1000</v>
      </c>
      <c r="H40" s="9" t="s">
        <v>82</v>
      </c>
      <c r="I40" s="9" t="s">
        <v>340</v>
      </c>
      <c r="J40" s="9" t="s">
        <v>341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25">
      <c r="D41" s="9" t="s">
        <v>26</v>
      </c>
      <c r="E41" s="9" t="s">
        <v>351</v>
      </c>
      <c r="F41" s="9" t="s">
        <v>381</v>
      </c>
      <c r="G41" s="15">
        <v>1000</v>
      </c>
      <c r="H41" s="9" t="s">
        <v>82</v>
      </c>
      <c r="I41" s="9" t="s">
        <v>342</v>
      </c>
      <c r="J41" s="9" t="s">
        <v>341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25">
      <c r="D42" s="9" t="s">
        <v>26</v>
      </c>
      <c r="E42" s="9" t="s">
        <v>351</v>
      </c>
      <c r="F42" s="9" t="s">
        <v>381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25">
      <c r="D43" s="9" t="s">
        <v>26</v>
      </c>
      <c r="E43" s="9" t="s">
        <v>351</v>
      </c>
      <c r="F43" s="9" t="s">
        <v>381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25">
      <c r="D44" s="9" t="s">
        <v>26</v>
      </c>
      <c r="E44" s="9" t="s">
        <v>351</v>
      </c>
      <c r="F44" s="9" t="s">
        <v>381</v>
      </c>
      <c r="G44" s="15">
        <v>1000</v>
      </c>
      <c r="H44" s="9" t="s">
        <v>82</v>
      </c>
      <c r="I44" s="9" t="s">
        <v>343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25">
      <c r="D45" s="9" t="s">
        <v>26</v>
      </c>
      <c r="E45" s="9" t="s">
        <v>351</v>
      </c>
      <c r="F45" s="9" t="s">
        <v>381</v>
      </c>
      <c r="G45" s="15">
        <v>1000</v>
      </c>
      <c r="H45" s="9" t="s">
        <v>82</v>
      </c>
      <c r="I45" s="9" t="s">
        <v>344</v>
      </c>
      <c r="J45" s="9" t="s">
        <v>345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25">
      <c r="D46" s="9" t="s">
        <v>26</v>
      </c>
      <c r="E46" s="9" t="s">
        <v>351</v>
      </c>
      <c r="F46" s="9" t="s">
        <v>381</v>
      </c>
      <c r="G46" s="15">
        <v>1000</v>
      </c>
      <c r="H46" s="9" t="s">
        <v>81</v>
      </c>
      <c r="I46" s="9" t="s">
        <v>347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25">
      <c r="D47" s="9" t="s">
        <v>26</v>
      </c>
      <c r="E47" s="9" t="s">
        <v>351</v>
      </c>
      <c r="F47" s="9" t="s">
        <v>381</v>
      </c>
      <c r="G47" s="15">
        <v>1000</v>
      </c>
      <c r="H47" s="9" t="s">
        <v>81</v>
      </c>
      <c r="I47" s="9" t="s">
        <v>460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25">
      <c r="D48" s="9" t="s">
        <v>26</v>
      </c>
      <c r="E48" s="9" t="s">
        <v>351</v>
      </c>
      <c r="F48" s="9" t="s">
        <v>381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25">
      <c r="D49" s="9" t="s">
        <v>26</v>
      </c>
      <c r="E49" s="9" t="s">
        <v>351</v>
      </c>
      <c r="F49" s="9" t="s">
        <v>381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25">
      <c r="D50" s="9" t="s">
        <v>26</v>
      </c>
      <c r="E50" s="9" t="s">
        <v>351</v>
      </c>
      <c r="F50" s="9" t="s">
        <v>381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25">
      <c r="D51" s="9" t="s">
        <v>26</v>
      </c>
      <c r="E51" s="9" t="s">
        <v>351</v>
      </c>
      <c r="F51" s="9" t="s">
        <v>381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25">
      <c r="D52" s="9" t="s">
        <v>26</v>
      </c>
      <c r="E52" s="9" t="s">
        <v>351</v>
      </c>
      <c r="F52" s="9" t="s">
        <v>381</v>
      </c>
      <c r="G52" s="9">
        <v>1000</v>
      </c>
      <c r="H52" s="9" t="s">
        <v>81</v>
      </c>
      <c r="I52" s="9" t="s">
        <v>340</v>
      </c>
      <c r="J52" s="9" t="s">
        <v>341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25">
      <c r="D53" s="9" t="s">
        <v>26</v>
      </c>
      <c r="E53" s="9" t="s">
        <v>351</v>
      </c>
      <c r="F53" s="9" t="s">
        <v>381</v>
      </c>
      <c r="G53" s="9">
        <v>1000</v>
      </c>
      <c r="H53" s="9" t="s">
        <v>81</v>
      </c>
      <c r="I53" s="9" t="s">
        <v>342</v>
      </c>
      <c r="J53" s="9" t="s">
        <v>341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25">
      <c r="D54" s="9" t="s">
        <v>26</v>
      </c>
      <c r="E54" s="9" t="s">
        <v>351</v>
      </c>
      <c r="F54" s="9" t="s">
        <v>381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25">
      <c r="D55" s="9" t="s">
        <v>26</v>
      </c>
      <c r="E55" s="9" t="s">
        <v>351</v>
      </c>
      <c r="F55" s="9" t="s">
        <v>381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25">
      <c r="D56" s="9" t="s">
        <v>26</v>
      </c>
      <c r="E56" s="9" t="s">
        <v>351</v>
      </c>
      <c r="F56" s="9" t="s">
        <v>381</v>
      </c>
      <c r="G56" s="9">
        <v>1000</v>
      </c>
      <c r="H56" s="9" t="s">
        <v>81</v>
      </c>
      <c r="I56" s="9" t="s">
        <v>343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25">
      <c r="D57" s="9" t="s">
        <v>26</v>
      </c>
      <c r="E57" s="9" t="s">
        <v>351</v>
      </c>
      <c r="F57" s="9" t="s">
        <v>381</v>
      </c>
      <c r="G57" s="9">
        <v>1000</v>
      </c>
      <c r="H57" s="9" t="s">
        <v>81</v>
      </c>
      <c r="I57" s="9" t="s">
        <v>344</v>
      </c>
      <c r="J57" s="9" t="s">
        <v>345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25">
      <c r="D58" s="9" t="s">
        <v>26</v>
      </c>
      <c r="E58" s="9" t="s">
        <v>351</v>
      </c>
      <c r="F58" s="9" t="s">
        <v>381</v>
      </c>
      <c r="G58" s="9">
        <v>1000</v>
      </c>
      <c r="H58" s="9" t="s">
        <v>83</v>
      </c>
      <c r="I58" s="9" t="s">
        <v>347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25">
      <c r="D59" s="9" t="s">
        <v>26</v>
      </c>
      <c r="E59" s="9" t="s">
        <v>351</v>
      </c>
      <c r="F59" s="9" t="s">
        <v>381</v>
      </c>
      <c r="G59" s="9">
        <v>1000</v>
      </c>
      <c r="H59" s="9" t="s">
        <v>83</v>
      </c>
      <c r="I59" s="9" t="s">
        <v>460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25">
      <c r="D60" s="9" t="s">
        <v>26</v>
      </c>
      <c r="E60" s="9" t="s">
        <v>351</v>
      </c>
      <c r="F60" s="9" t="s">
        <v>381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25">
      <c r="D61" s="9" t="s">
        <v>26</v>
      </c>
      <c r="E61" s="9" t="s">
        <v>351</v>
      </c>
      <c r="F61" s="9" t="s">
        <v>381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25">
      <c r="D62" s="9" t="s">
        <v>26</v>
      </c>
      <c r="E62" s="9" t="s">
        <v>351</v>
      </c>
      <c r="F62" s="9" t="s">
        <v>381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25">
      <c r="D63" s="9" t="s">
        <v>26</v>
      </c>
      <c r="E63" s="9" t="s">
        <v>351</v>
      </c>
      <c r="F63" s="9" t="s">
        <v>381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25">
      <c r="D64" s="9" t="s">
        <v>26</v>
      </c>
      <c r="E64" s="9" t="s">
        <v>351</v>
      </c>
      <c r="F64" s="9" t="s">
        <v>381</v>
      </c>
      <c r="G64" s="9">
        <v>1000</v>
      </c>
      <c r="H64" s="9" t="s">
        <v>83</v>
      </c>
      <c r="I64" s="9" t="s">
        <v>340</v>
      </c>
      <c r="J64" s="9" t="s">
        <v>341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25">
      <c r="D65" s="9" t="s">
        <v>26</v>
      </c>
      <c r="E65" s="9" t="s">
        <v>351</v>
      </c>
      <c r="F65" s="9" t="s">
        <v>381</v>
      </c>
      <c r="G65" s="9">
        <v>1000</v>
      </c>
      <c r="H65" s="9" t="s">
        <v>83</v>
      </c>
      <c r="I65" s="9" t="s">
        <v>342</v>
      </c>
      <c r="J65" s="9" t="s">
        <v>341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25">
      <c r="D66" s="9" t="s">
        <v>26</v>
      </c>
      <c r="E66" s="9" t="s">
        <v>351</v>
      </c>
      <c r="F66" s="9" t="s">
        <v>381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25">
      <c r="D67" s="9" t="s">
        <v>26</v>
      </c>
      <c r="E67" s="9" t="s">
        <v>351</v>
      </c>
      <c r="F67" s="9" t="s">
        <v>381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25">
      <c r="D68" s="9" t="s">
        <v>26</v>
      </c>
      <c r="E68" s="9" t="s">
        <v>351</v>
      </c>
      <c r="F68" s="9" t="s">
        <v>381</v>
      </c>
      <c r="G68" s="9">
        <v>1000</v>
      </c>
      <c r="H68" s="9" t="s">
        <v>83</v>
      </c>
      <c r="I68" s="9" t="s">
        <v>332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25">
      <c r="D69" s="9" t="s">
        <v>26</v>
      </c>
      <c r="E69" s="9" t="s">
        <v>351</v>
      </c>
      <c r="F69" s="9" t="s">
        <v>381</v>
      </c>
      <c r="G69" s="9">
        <v>1000</v>
      </c>
      <c r="H69" s="9" t="s">
        <v>83</v>
      </c>
      <c r="I69" s="9" t="s">
        <v>343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25">
      <c r="D70" s="9" t="s">
        <v>26</v>
      </c>
      <c r="E70" s="9" t="s">
        <v>351</v>
      </c>
      <c r="F70" s="9" t="s">
        <v>381</v>
      </c>
      <c r="G70" s="9">
        <v>1000</v>
      </c>
      <c r="H70" s="9" t="s">
        <v>83</v>
      </c>
      <c r="I70" s="9" t="s">
        <v>344</v>
      </c>
      <c r="J70" s="9" t="s">
        <v>345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25">
      <c r="D71" s="9" t="s">
        <v>26</v>
      </c>
      <c r="E71" s="9" t="s">
        <v>351</v>
      </c>
      <c r="F71" s="9" t="s">
        <v>381</v>
      </c>
      <c r="G71" s="9">
        <v>1000</v>
      </c>
      <c r="H71" s="9" t="s">
        <v>244</v>
      </c>
      <c r="I71" s="9" t="s">
        <v>347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25">
      <c r="D72" s="9" t="s">
        <v>26</v>
      </c>
      <c r="E72" s="9" t="s">
        <v>351</v>
      </c>
      <c r="F72" s="9" t="s">
        <v>381</v>
      </c>
      <c r="G72" s="9">
        <v>1000</v>
      </c>
      <c r="H72" s="9" t="s">
        <v>244</v>
      </c>
      <c r="I72" s="9" t="s">
        <v>460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25">
      <c r="D73" s="9" t="s">
        <v>26</v>
      </c>
      <c r="E73" s="9" t="s">
        <v>351</v>
      </c>
      <c r="F73" s="9" t="s">
        <v>381</v>
      </c>
      <c r="G73" s="9">
        <v>1000</v>
      </c>
      <c r="H73" s="9" t="s">
        <v>244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25">
      <c r="D74" s="9" t="s">
        <v>26</v>
      </c>
      <c r="E74" s="9" t="s">
        <v>351</v>
      </c>
      <c r="F74" s="9" t="s">
        <v>381</v>
      </c>
      <c r="G74" s="9">
        <v>1000</v>
      </c>
      <c r="H74" s="9" t="s">
        <v>244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25">
      <c r="D75" s="9" t="s">
        <v>26</v>
      </c>
      <c r="E75" s="9" t="s">
        <v>351</v>
      </c>
      <c r="F75" s="9" t="s">
        <v>381</v>
      </c>
      <c r="G75" s="9">
        <v>1000</v>
      </c>
      <c r="H75" s="9" t="s">
        <v>244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25">
      <c r="D76" s="9" t="s">
        <v>26</v>
      </c>
      <c r="E76" s="9" t="s">
        <v>351</v>
      </c>
      <c r="F76" s="9" t="s">
        <v>381</v>
      </c>
      <c r="G76" s="9">
        <v>1000</v>
      </c>
      <c r="H76" s="9" t="s">
        <v>244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25">
      <c r="D77" s="9" t="s">
        <v>26</v>
      </c>
      <c r="E77" s="9" t="s">
        <v>351</v>
      </c>
      <c r="F77" s="9" t="s">
        <v>381</v>
      </c>
      <c r="G77" s="9">
        <v>1000</v>
      </c>
      <c r="H77" s="9" t="s">
        <v>244</v>
      </c>
      <c r="I77" s="9" t="s">
        <v>340</v>
      </c>
      <c r="J77" s="9" t="s">
        <v>341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25">
      <c r="D78" s="9" t="s">
        <v>26</v>
      </c>
      <c r="E78" s="9" t="s">
        <v>351</v>
      </c>
      <c r="F78" s="9" t="s">
        <v>381</v>
      </c>
      <c r="G78" s="9">
        <v>1000</v>
      </c>
      <c r="H78" s="9" t="s">
        <v>244</v>
      </c>
      <c r="I78" s="9" t="s">
        <v>342</v>
      </c>
      <c r="J78" s="9" t="s">
        <v>341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25">
      <c r="D79" s="9" t="s">
        <v>26</v>
      </c>
      <c r="E79" s="9" t="s">
        <v>351</v>
      </c>
      <c r="F79" s="9" t="s">
        <v>381</v>
      </c>
      <c r="G79" s="9">
        <v>1000</v>
      </c>
      <c r="H79" s="9" t="s">
        <v>244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25">
      <c r="D80" s="9" t="s">
        <v>26</v>
      </c>
      <c r="E80" s="9" t="s">
        <v>351</v>
      </c>
      <c r="F80" s="9" t="s">
        <v>381</v>
      </c>
      <c r="G80" s="9">
        <v>1000</v>
      </c>
      <c r="H80" s="9" t="s">
        <v>244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25">
      <c r="D81" s="9" t="s">
        <v>26</v>
      </c>
      <c r="E81" s="9" t="s">
        <v>351</v>
      </c>
      <c r="F81" s="9" t="s">
        <v>381</v>
      </c>
      <c r="G81" s="9">
        <v>1000</v>
      </c>
      <c r="H81" s="9" t="s">
        <v>244</v>
      </c>
      <c r="I81" s="9" t="s">
        <v>343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25">
      <c r="D82" s="9" t="s">
        <v>26</v>
      </c>
      <c r="E82" s="9" t="s">
        <v>351</v>
      </c>
      <c r="F82" s="9" t="s">
        <v>381</v>
      </c>
      <c r="G82" s="9">
        <v>1000</v>
      </c>
      <c r="H82" s="9" t="s">
        <v>244</v>
      </c>
      <c r="I82" s="9" t="s">
        <v>344</v>
      </c>
      <c r="J82" s="9" t="s">
        <v>345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25">
      <c r="D83" s="9" t="s">
        <v>26</v>
      </c>
      <c r="E83" s="9" t="s">
        <v>351</v>
      </c>
      <c r="F83" s="9" t="s">
        <v>381</v>
      </c>
      <c r="G83" s="9">
        <v>1000</v>
      </c>
      <c r="H83" s="9" t="s">
        <v>245</v>
      </c>
      <c r="I83" s="9" t="s">
        <v>347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25">
      <c r="D84" s="9" t="s">
        <v>26</v>
      </c>
      <c r="E84" s="9" t="s">
        <v>351</v>
      </c>
      <c r="F84" s="9" t="s">
        <v>381</v>
      </c>
      <c r="G84" s="9">
        <v>1000</v>
      </c>
      <c r="H84" s="9" t="s">
        <v>245</v>
      </c>
      <c r="I84" s="9" t="s">
        <v>460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25">
      <c r="D85" s="9" t="s">
        <v>26</v>
      </c>
      <c r="E85" s="9" t="s">
        <v>351</v>
      </c>
      <c r="F85" s="9" t="s">
        <v>381</v>
      </c>
      <c r="G85" s="9">
        <v>1000</v>
      </c>
      <c r="H85" s="9" t="s">
        <v>245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25">
      <c r="D86" s="9" t="s">
        <v>26</v>
      </c>
      <c r="E86" s="9" t="s">
        <v>351</v>
      </c>
      <c r="F86" s="9" t="s">
        <v>381</v>
      </c>
      <c r="G86" s="9">
        <v>1000</v>
      </c>
      <c r="H86" s="9" t="s">
        <v>245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25">
      <c r="D87" s="9" t="s">
        <v>26</v>
      </c>
      <c r="E87" s="9" t="s">
        <v>351</v>
      </c>
      <c r="F87" s="9" t="s">
        <v>381</v>
      </c>
      <c r="G87" s="9">
        <v>1000</v>
      </c>
      <c r="H87" s="9" t="s">
        <v>245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25">
      <c r="D88" s="9" t="s">
        <v>26</v>
      </c>
      <c r="E88" s="9" t="s">
        <v>351</v>
      </c>
      <c r="F88" s="9" t="s">
        <v>381</v>
      </c>
      <c r="G88" s="9">
        <v>1000</v>
      </c>
      <c r="H88" s="9" t="s">
        <v>245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25">
      <c r="D89" s="9" t="s">
        <v>26</v>
      </c>
      <c r="E89" s="9" t="s">
        <v>351</v>
      </c>
      <c r="F89" s="9" t="s">
        <v>381</v>
      </c>
      <c r="G89" s="9">
        <v>1000</v>
      </c>
      <c r="H89" s="9" t="s">
        <v>245</v>
      </c>
      <c r="I89" s="9" t="s">
        <v>340</v>
      </c>
      <c r="J89" s="9" t="s">
        <v>341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25">
      <c r="D90" s="9" t="s">
        <v>26</v>
      </c>
      <c r="E90" s="9" t="s">
        <v>351</v>
      </c>
      <c r="F90" s="9" t="s">
        <v>381</v>
      </c>
      <c r="G90" s="9">
        <v>1000</v>
      </c>
      <c r="H90" s="9" t="s">
        <v>245</v>
      </c>
      <c r="I90" s="9" t="s">
        <v>342</v>
      </c>
      <c r="J90" s="9" t="s">
        <v>341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25">
      <c r="D91" s="9" t="s">
        <v>26</v>
      </c>
      <c r="E91" s="9" t="s">
        <v>351</v>
      </c>
      <c r="F91" s="9" t="s">
        <v>381</v>
      </c>
      <c r="G91" s="9">
        <v>1000</v>
      </c>
      <c r="H91" s="9" t="s">
        <v>245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25">
      <c r="D92" s="9" t="s">
        <v>26</v>
      </c>
      <c r="E92" s="9" t="s">
        <v>351</v>
      </c>
      <c r="F92" s="9" t="s">
        <v>381</v>
      </c>
      <c r="G92" s="9">
        <v>1000</v>
      </c>
      <c r="H92" s="9" t="s">
        <v>245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25">
      <c r="D93" s="9" t="s">
        <v>26</v>
      </c>
      <c r="E93" s="9" t="s">
        <v>351</v>
      </c>
      <c r="F93" s="9" t="s">
        <v>381</v>
      </c>
      <c r="G93" s="9">
        <v>1000</v>
      </c>
      <c r="H93" s="9" t="s">
        <v>245</v>
      </c>
      <c r="I93" s="9" t="s">
        <v>343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25">
      <c r="D94" s="9" t="s">
        <v>26</v>
      </c>
      <c r="E94" s="9" t="s">
        <v>351</v>
      </c>
      <c r="F94" s="9" t="s">
        <v>381</v>
      </c>
      <c r="G94" s="9">
        <v>1000</v>
      </c>
      <c r="H94" s="9" t="s">
        <v>245</v>
      </c>
      <c r="I94" s="9" t="s">
        <v>344</v>
      </c>
      <c r="J94" s="9" t="s">
        <v>345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25">
      <c r="D95" s="9" t="s">
        <v>26</v>
      </c>
      <c r="E95" s="9" t="s">
        <v>351</v>
      </c>
      <c r="F95" s="9" t="s">
        <v>381</v>
      </c>
      <c r="G95" s="9">
        <v>1000</v>
      </c>
      <c r="H95" s="9" t="s">
        <v>84</v>
      </c>
      <c r="I95" s="9" t="s">
        <v>292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25">
      <c r="D96" s="9" t="s">
        <v>26</v>
      </c>
      <c r="E96" s="9" t="s">
        <v>351</v>
      </c>
      <c r="F96" s="9" t="s">
        <v>381</v>
      </c>
      <c r="G96" s="9">
        <v>1000</v>
      </c>
      <c r="H96" s="9" t="s">
        <v>84</v>
      </c>
      <c r="I96" s="9" t="s">
        <v>460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25">
      <c r="D97" s="9" t="s">
        <v>26</v>
      </c>
      <c r="E97" s="9" t="s">
        <v>351</v>
      </c>
      <c r="F97" s="9" t="s">
        <v>381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25">
      <c r="D98" s="9" t="s">
        <v>26</v>
      </c>
      <c r="E98" s="9" t="s">
        <v>351</v>
      </c>
      <c r="F98" s="9" t="s">
        <v>381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25">
      <c r="D99" s="9" t="s">
        <v>26</v>
      </c>
      <c r="E99" s="9" t="s">
        <v>351</v>
      </c>
      <c r="F99" s="9" t="s">
        <v>381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25">
      <c r="D100" s="9" t="s">
        <v>26</v>
      </c>
      <c r="E100" s="9" t="s">
        <v>351</v>
      </c>
      <c r="F100" s="9" t="s">
        <v>381</v>
      </c>
      <c r="G100" s="9">
        <v>1000</v>
      </c>
      <c r="H100" s="9" t="s">
        <v>84</v>
      </c>
      <c r="I100" s="9" t="s">
        <v>340</v>
      </c>
      <c r="J100" s="9" t="s">
        <v>341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25">
      <c r="D101" s="9" t="s">
        <v>26</v>
      </c>
      <c r="E101" s="9" t="s">
        <v>351</v>
      </c>
      <c r="F101" s="9" t="s">
        <v>381</v>
      </c>
      <c r="G101" s="9">
        <v>1000</v>
      </c>
      <c r="H101" s="9" t="s">
        <v>84</v>
      </c>
      <c r="I101" s="9" t="s">
        <v>342</v>
      </c>
      <c r="J101" s="9" t="s">
        <v>341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25">
      <c r="D102" s="9" t="s">
        <v>26</v>
      </c>
      <c r="E102" s="9" t="s">
        <v>351</v>
      </c>
      <c r="F102" s="9" t="s">
        <v>381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25">
      <c r="D103" s="9" t="s">
        <v>26</v>
      </c>
      <c r="E103" s="9" t="s">
        <v>351</v>
      </c>
      <c r="F103" s="9" t="s">
        <v>381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25">
      <c r="D104" s="9" t="s">
        <v>26</v>
      </c>
      <c r="E104" s="9" t="s">
        <v>351</v>
      </c>
      <c r="F104" s="9" t="s">
        <v>381</v>
      </c>
      <c r="G104" s="9">
        <v>1000</v>
      </c>
      <c r="H104" s="9" t="s">
        <v>84</v>
      </c>
      <c r="I104" s="9" t="s">
        <v>343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25">
      <c r="D105" s="9" t="s">
        <v>26</v>
      </c>
      <c r="E105" s="9" t="s">
        <v>351</v>
      </c>
      <c r="F105" s="9" t="s">
        <v>381</v>
      </c>
      <c r="G105" s="9">
        <v>1000</v>
      </c>
      <c r="H105" s="9" t="s">
        <v>84</v>
      </c>
      <c r="I105" s="9" t="s">
        <v>344</v>
      </c>
      <c r="J105" s="9" t="s">
        <v>345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25">
      <c r="D106" s="9" t="s">
        <v>26</v>
      </c>
      <c r="E106" s="9" t="s">
        <v>353</v>
      </c>
      <c r="F106" s="9" t="s">
        <v>383</v>
      </c>
      <c r="G106" s="9">
        <v>120</v>
      </c>
      <c r="H106" s="9" t="s">
        <v>83</v>
      </c>
      <c r="I106" s="9" t="s">
        <v>331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25">
      <c r="D107" s="9" t="s">
        <v>26</v>
      </c>
      <c r="E107" s="9" t="s">
        <v>353</v>
      </c>
      <c r="F107" s="9" t="s">
        <v>383</v>
      </c>
      <c r="G107" s="9">
        <v>120</v>
      </c>
      <c r="H107" s="9" t="s">
        <v>83</v>
      </c>
      <c r="I107" s="9" t="s">
        <v>332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25">
      <c r="D108" s="9" t="s">
        <v>26</v>
      </c>
      <c r="E108" s="9" t="s">
        <v>353</v>
      </c>
      <c r="F108" s="9" t="s">
        <v>383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25">
      <c r="D109" s="9" t="s">
        <v>26</v>
      </c>
      <c r="E109" s="9" t="s">
        <v>353</v>
      </c>
      <c r="F109" s="9" t="s">
        <v>383</v>
      </c>
      <c r="G109" s="9">
        <v>120</v>
      </c>
      <c r="H109" s="9" t="s">
        <v>83</v>
      </c>
      <c r="I109" s="9" t="s">
        <v>334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25">
      <c r="D110" s="9" t="s">
        <v>26</v>
      </c>
      <c r="E110" s="9" t="s">
        <v>353</v>
      </c>
      <c r="F110" s="9" t="s">
        <v>383</v>
      </c>
      <c r="G110" s="9">
        <v>120</v>
      </c>
      <c r="H110" s="9" t="s">
        <v>83</v>
      </c>
      <c r="I110" s="9" t="s">
        <v>348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25">
      <c r="D111" s="9" t="s">
        <v>26</v>
      </c>
      <c r="E111" s="9" t="s">
        <v>353</v>
      </c>
      <c r="F111" s="9" t="s">
        <v>383</v>
      </c>
      <c r="G111" s="9">
        <v>120</v>
      </c>
      <c r="H111" s="9" t="s">
        <v>83</v>
      </c>
      <c r="I111" s="9" t="s">
        <v>342</v>
      </c>
      <c r="J111" s="9" t="s">
        <v>341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25">
      <c r="D112" s="9" t="s">
        <v>26</v>
      </c>
      <c r="E112" s="9" t="s">
        <v>353</v>
      </c>
      <c r="F112" s="9" t="s">
        <v>383</v>
      </c>
      <c r="G112" s="9">
        <v>120</v>
      </c>
      <c r="H112" s="9" t="s">
        <v>83</v>
      </c>
      <c r="I112" s="9" t="s">
        <v>343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25">
      <c r="D113" s="9" t="s">
        <v>26</v>
      </c>
      <c r="E113" s="9" t="s">
        <v>353</v>
      </c>
      <c r="F113" s="9" t="s">
        <v>383</v>
      </c>
      <c r="G113" s="9">
        <v>120</v>
      </c>
      <c r="H113" s="9" t="s">
        <v>83</v>
      </c>
      <c r="I113" s="9" t="s">
        <v>344</v>
      </c>
      <c r="J113" s="9" t="s">
        <v>345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25">
      <c r="D114" s="9" t="s">
        <v>26</v>
      </c>
      <c r="E114" s="9" t="s">
        <v>353</v>
      </c>
      <c r="F114" s="9" t="s">
        <v>383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25">
      <c r="D115" s="9" t="s">
        <v>26</v>
      </c>
      <c r="E115" s="9" t="s">
        <v>353</v>
      </c>
      <c r="F115" s="9" t="s">
        <v>382</v>
      </c>
      <c r="G115" s="9">
        <v>250</v>
      </c>
      <c r="H115" s="9" t="s">
        <v>83</v>
      </c>
      <c r="I115" s="9" t="s">
        <v>331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25">
      <c r="D116" s="9" t="s">
        <v>26</v>
      </c>
      <c r="E116" s="9" t="s">
        <v>353</v>
      </c>
      <c r="F116" s="9" t="s">
        <v>382</v>
      </c>
      <c r="G116" s="9">
        <v>250</v>
      </c>
      <c r="H116" s="9" t="s">
        <v>83</v>
      </c>
      <c r="I116" s="9" t="s">
        <v>347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25">
      <c r="D117" s="9" t="s">
        <v>26</v>
      </c>
      <c r="E117" s="9" t="s">
        <v>353</v>
      </c>
      <c r="F117" s="9" t="s">
        <v>382</v>
      </c>
      <c r="G117" s="9">
        <v>250</v>
      </c>
      <c r="H117" s="9" t="s">
        <v>83</v>
      </c>
      <c r="I117" s="9" t="s">
        <v>332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25">
      <c r="D118" s="9" t="s">
        <v>26</v>
      </c>
      <c r="E118" s="9" t="s">
        <v>353</v>
      </c>
      <c r="F118" s="9" t="s">
        <v>382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25">
      <c r="D119" s="9" t="s">
        <v>26</v>
      </c>
      <c r="E119" s="9" t="s">
        <v>353</v>
      </c>
      <c r="F119" s="9" t="s">
        <v>382</v>
      </c>
      <c r="G119" s="9">
        <v>250</v>
      </c>
      <c r="H119" s="9" t="s">
        <v>83</v>
      </c>
      <c r="I119" s="9" t="s">
        <v>460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25">
      <c r="D120" s="9" t="s">
        <v>26</v>
      </c>
      <c r="E120" s="9" t="s">
        <v>353</v>
      </c>
      <c r="F120" s="9" t="s">
        <v>382</v>
      </c>
      <c r="G120" s="9">
        <v>250</v>
      </c>
      <c r="H120" s="9" t="s">
        <v>83</v>
      </c>
      <c r="I120" s="9" t="s">
        <v>348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25">
      <c r="D121" s="9" t="s">
        <v>26</v>
      </c>
      <c r="E121" s="9" t="s">
        <v>353</v>
      </c>
      <c r="F121" s="9" t="s">
        <v>382</v>
      </c>
      <c r="G121" s="9">
        <v>250</v>
      </c>
      <c r="H121" s="9" t="s">
        <v>83</v>
      </c>
      <c r="I121" s="9" t="s">
        <v>342</v>
      </c>
      <c r="J121" s="9" t="s">
        <v>341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25">
      <c r="D122" s="9" t="s">
        <v>26</v>
      </c>
      <c r="E122" s="9" t="s">
        <v>353</v>
      </c>
      <c r="F122" s="9" t="s">
        <v>382</v>
      </c>
      <c r="G122" s="9">
        <v>250</v>
      </c>
      <c r="H122" s="9" t="s">
        <v>83</v>
      </c>
      <c r="I122" s="9" t="s">
        <v>343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25">
      <c r="D123" s="9" t="s">
        <v>26</v>
      </c>
      <c r="E123" s="9" t="s">
        <v>353</v>
      </c>
      <c r="F123" s="9" t="s">
        <v>382</v>
      </c>
      <c r="G123" s="9">
        <v>250</v>
      </c>
      <c r="H123" s="9" t="s">
        <v>83</v>
      </c>
      <c r="I123" s="9" t="s">
        <v>344</v>
      </c>
      <c r="J123" s="9" t="s">
        <v>345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25">
      <c r="D124" s="9" t="s">
        <v>26</v>
      </c>
      <c r="E124" s="9" t="s">
        <v>353</v>
      </c>
      <c r="F124" s="9" t="s">
        <v>382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25">
      <c r="D125" s="9" t="s">
        <v>26</v>
      </c>
      <c r="E125" s="9" t="s">
        <v>353</v>
      </c>
      <c r="F125" s="9" t="s">
        <v>382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25">
      <c r="D126" s="9" t="s">
        <v>26</v>
      </c>
      <c r="E126" s="9" t="s">
        <v>353</v>
      </c>
      <c r="F126" s="9" t="s">
        <v>382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25">
      <c r="D127" s="9" t="s">
        <v>26</v>
      </c>
      <c r="E127" s="9" t="s">
        <v>351</v>
      </c>
      <c r="F127" s="9" t="s">
        <v>381</v>
      </c>
      <c r="G127" s="9">
        <v>500</v>
      </c>
      <c r="H127" s="9" t="s">
        <v>82</v>
      </c>
      <c r="I127" s="9" t="s">
        <v>347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25">
      <c r="D128" s="9" t="s">
        <v>26</v>
      </c>
      <c r="E128" s="9" t="s">
        <v>351</v>
      </c>
      <c r="F128" s="9" t="s">
        <v>381</v>
      </c>
      <c r="G128" s="9">
        <v>500</v>
      </c>
      <c r="H128" s="9" t="s">
        <v>82</v>
      </c>
      <c r="I128" s="9" t="s">
        <v>460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5" ht="15.75" thickBot="1" x14ac:dyDescent="0.3">
      <c r="D129" s="9" t="s">
        <v>26</v>
      </c>
      <c r="E129" s="9" t="s">
        <v>351</v>
      </c>
      <c r="F129" s="9" t="s">
        <v>381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5" x14ac:dyDescent="0.25">
      <c r="D130" s="9" t="s">
        <v>26</v>
      </c>
      <c r="E130" s="9" t="s">
        <v>351</v>
      </c>
      <c r="F130" s="9" t="s">
        <v>381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  <c r="W130" s="9" t="s">
        <v>184</v>
      </c>
      <c r="X130" s="8" t="s">
        <v>100</v>
      </c>
      <c r="Y130" s="17">
        <v>3</v>
      </c>
    </row>
    <row r="131" spans="4:25" x14ac:dyDescent="0.25">
      <c r="D131" s="9" t="s">
        <v>26</v>
      </c>
      <c r="E131" s="9" t="s">
        <v>351</v>
      </c>
      <c r="F131" s="9" t="s">
        <v>381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  <c r="W131" s="9" t="s">
        <v>29</v>
      </c>
      <c r="X131" s="9" t="s">
        <v>131</v>
      </c>
      <c r="Y131" s="18">
        <v>1</v>
      </c>
    </row>
    <row r="132" spans="4:25" x14ac:dyDescent="0.25">
      <c r="D132" s="9" t="s">
        <v>26</v>
      </c>
      <c r="E132" s="9" t="s">
        <v>351</v>
      </c>
      <c r="F132" s="9" t="s">
        <v>381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  <c r="W132" s="9" t="s">
        <v>185</v>
      </c>
      <c r="X132" s="9" t="s">
        <v>133</v>
      </c>
      <c r="Y132" s="18">
        <v>4</v>
      </c>
    </row>
    <row r="133" spans="4:25" x14ac:dyDescent="0.25">
      <c r="D133" s="9" t="s">
        <v>26</v>
      </c>
      <c r="E133" s="9" t="s">
        <v>351</v>
      </c>
      <c r="F133" s="9" t="s">
        <v>381</v>
      </c>
      <c r="G133" s="9">
        <v>500</v>
      </c>
      <c r="H133" s="9" t="s">
        <v>82</v>
      </c>
      <c r="I133" s="9" t="s">
        <v>340</v>
      </c>
      <c r="J133" s="9" t="s">
        <v>341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W133" s="9" t="s">
        <v>13</v>
      </c>
      <c r="X133" s="9" t="s">
        <v>100</v>
      </c>
      <c r="Y133" s="18">
        <v>0.6</v>
      </c>
    </row>
    <row r="134" spans="4:25" x14ac:dyDescent="0.25">
      <c r="D134" s="9" t="s">
        <v>26</v>
      </c>
      <c r="E134" s="9" t="s">
        <v>351</v>
      </c>
      <c r="F134" s="9" t="s">
        <v>381</v>
      </c>
      <c r="G134" s="9">
        <v>500</v>
      </c>
      <c r="H134" s="9" t="s">
        <v>82</v>
      </c>
      <c r="I134" s="9" t="s">
        <v>342</v>
      </c>
      <c r="J134" s="9" t="s">
        <v>341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  <c r="W134" s="9" t="s">
        <v>15</v>
      </c>
      <c r="X134" s="9" t="s">
        <v>131</v>
      </c>
      <c r="Y134" s="18">
        <v>1</v>
      </c>
    </row>
    <row r="135" spans="4:25" x14ac:dyDescent="0.25">
      <c r="D135" s="9" t="s">
        <v>26</v>
      </c>
      <c r="E135" s="9" t="s">
        <v>351</v>
      </c>
      <c r="F135" s="9" t="s">
        <v>381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  <c r="W135" s="9" t="s">
        <v>35</v>
      </c>
      <c r="X135" s="9" t="s">
        <v>133</v>
      </c>
      <c r="Y135" s="18">
        <v>15</v>
      </c>
    </row>
    <row r="136" spans="4:25" x14ac:dyDescent="0.25">
      <c r="D136" s="9" t="s">
        <v>26</v>
      </c>
      <c r="E136" s="9" t="s">
        <v>351</v>
      </c>
      <c r="F136" s="9" t="s">
        <v>381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  <c r="W136" s="9" t="s">
        <v>186</v>
      </c>
      <c r="X136" s="9" t="s">
        <v>133</v>
      </c>
      <c r="Y136" s="18">
        <v>15</v>
      </c>
    </row>
    <row r="137" spans="4:25" x14ac:dyDescent="0.25">
      <c r="D137" s="9" t="s">
        <v>26</v>
      </c>
      <c r="E137" s="9" t="s">
        <v>351</v>
      </c>
      <c r="F137" s="9" t="s">
        <v>381</v>
      </c>
      <c r="G137" s="9">
        <v>500</v>
      </c>
      <c r="H137" s="9" t="s">
        <v>82</v>
      </c>
      <c r="I137" s="9" t="s">
        <v>343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5" x14ac:dyDescent="0.25">
      <c r="D138" s="9" t="s">
        <v>26</v>
      </c>
      <c r="E138" s="9" t="s">
        <v>351</v>
      </c>
      <c r="F138" s="9" t="s">
        <v>381</v>
      </c>
      <c r="G138" s="9">
        <v>500</v>
      </c>
      <c r="H138" s="9" t="s">
        <v>82</v>
      </c>
      <c r="I138" s="9" t="s">
        <v>344</v>
      </c>
      <c r="J138" s="9" t="s">
        <v>345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5" x14ac:dyDescent="0.25">
      <c r="D139" s="9" t="s">
        <v>26</v>
      </c>
      <c r="E139" s="9" t="s">
        <v>351</v>
      </c>
      <c r="F139" s="9" t="s">
        <v>381</v>
      </c>
      <c r="G139" s="9">
        <v>500</v>
      </c>
      <c r="H139" s="9" t="s">
        <v>81</v>
      </c>
      <c r="I139" s="9" t="s">
        <v>347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  <c r="W139" s="137">
        <f>(K131*Y133+K132*Y134+K127*Y130)</f>
        <v>40.910799999999995</v>
      </c>
      <c r="X139" s="5" t="s">
        <v>377</v>
      </c>
    </row>
    <row r="140" spans="4:25" x14ac:dyDescent="0.25">
      <c r="D140" s="9" t="s">
        <v>26</v>
      </c>
      <c r="E140" s="9" t="s">
        <v>351</v>
      </c>
      <c r="F140" s="9" t="s">
        <v>381</v>
      </c>
      <c r="G140" s="9">
        <v>500</v>
      </c>
      <c r="H140" s="9" t="s">
        <v>81</v>
      </c>
      <c r="I140" s="9" t="s">
        <v>460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  <c r="W140" s="137">
        <f>500000</f>
        <v>500000</v>
      </c>
      <c r="X140" s="5" t="s">
        <v>374</v>
      </c>
    </row>
    <row r="141" spans="4:25" x14ac:dyDescent="0.25">
      <c r="D141" s="9" t="s">
        <v>26</v>
      </c>
      <c r="E141" s="9" t="s">
        <v>351</v>
      </c>
      <c r="F141" s="9" t="s">
        <v>381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5" x14ac:dyDescent="0.25">
      <c r="D142" s="9" t="s">
        <v>26</v>
      </c>
      <c r="E142" s="9" t="s">
        <v>351</v>
      </c>
      <c r="F142" s="9" t="s">
        <v>381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  <c r="W142" s="137">
        <f>W140*W139</f>
        <v>20455399.999999996</v>
      </c>
    </row>
    <row r="143" spans="4:25" x14ac:dyDescent="0.25">
      <c r="D143" s="9" t="s">
        <v>26</v>
      </c>
      <c r="E143" s="9" t="s">
        <v>351</v>
      </c>
      <c r="F143" s="9" t="s">
        <v>381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5" x14ac:dyDescent="0.25">
      <c r="D144" s="9" t="s">
        <v>26</v>
      </c>
      <c r="E144" s="9" t="s">
        <v>351</v>
      </c>
      <c r="F144" s="9" t="s">
        <v>381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  <c r="W144" s="137">
        <f>W142*5</f>
        <v>102276999.99999999</v>
      </c>
    </row>
    <row r="145" spans="4:23" x14ac:dyDescent="0.25">
      <c r="D145" s="9" t="s">
        <v>26</v>
      </c>
      <c r="E145" s="9" t="s">
        <v>351</v>
      </c>
      <c r="F145" s="9" t="s">
        <v>381</v>
      </c>
      <c r="G145" s="9">
        <v>500</v>
      </c>
      <c r="H145" s="9" t="s">
        <v>81</v>
      </c>
      <c r="I145" s="9" t="s">
        <v>340</v>
      </c>
      <c r="J145" s="9" t="s">
        <v>341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3" x14ac:dyDescent="0.25">
      <c r="D146" s="9" t="s">
        <v>26</v>
      </c>
      <c r="E146" s="9" t="s">
        <v>351</v>
      </c>
      <c r="F146" s="9" t="s">
        <v>381</v>
      </c>
      <c r="G146" s="9">
        <v>500</v>
      </c>
      <c r="H146" s="9" t="s">
        <v>81</v>
      </c>
      <c r="I146" s="9" t="s">
        <v>342</v>
      </c>
      <c r="J146" s="9" t="s">
        <v>341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3" x14ac:dyDescent="0.25">
      <c r="D147" s="9" t="s">
        <v>26</v>
      </c>
      <c r="E147" s="9" t="s">
        <v>351</v>
      </c>
      <c r="F147" s="9" t="s">
        <v>381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3" x14ac:dyDescent="0.25">
      <c r="D148" s="9" t="s">
        <v>26</v>
      </c>
      <c r="E148" s="9" t="s">
        <v>351</v>
      </c>
      <c r="F148" s="9" t="s">
        <v>381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  <c r="W148" s="5">
        <f>200.18*500000</f>
        <v>100090000</v>
      </c>
    </row>
    <row r="149" spans="4:23" x14ac:dyDescent="0.25">
      <c r="D149" s="9" t="s">
        <v>26</v>
      </c>
      <c r="E149" s="9" t="s">
        <v>351</v>
      </c>
      <c r="F149" s="9" t="s">
        <v>381</v>
      </c>
      <c r="G149" s="9">
        <v>500</v>
      </c>
      <c r="H149" s="9" t="s">
        <v>81</v>
      </c>
      <c r="I149" s="9" t="s">
        <v>343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3" x14ac:dyDescent="0.25">
      <c r="D150" s="9" t="s">
        <v>26</v>
      </c>
      <c r="E150" s="9" t="s">
        <v>351</v>
      </c>
      <c r="F150" s="9" t="s">
        <v>381</v>
      </c>
      <c r="G150" s="9">
        <v>500</v>
      </c>
      <c r="H150" s="9" t="s">
        <v>81</v>
      </c>
      <c r="I150" s="9" t="s">
        <v>344</v>
      </c>
      <c r="J150" s="9" t="s">
        <v>345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3" x14ac:dyDescent="0.25">
      <c r="D151" s="9" t="s">
        <v>26</v>
      </c>
      <c r="E151" s="9" t="s">
        <v>351</v>
      </c>
      <c r="F151" s="9" t="s">
        <v>381</v>
      </c>
      <c r="G151" s="9">
        <v>500</v>
      </c>
      <c r="H151" s="9" t="s">
        <v>83</v>
      </c>
      <c r="I151" s="9" t="s">
        <v>347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3" x14ac:dyDescent="0.25">
      <c r="D152" s="9" t="s">
        <v>26</v>
      </c>
      <c r="E152" s="9" t="s">
        <v>351</v>
      </c>
      <c r="F152" s="9" t="s">
        <v>381</v>
      </c>
      <c r="G152" s="9">
        <v>500</v>
      </c>
      <c r="H152" s="9" t="s">
        <v>83</v>
      </c>
      <c r="I152" s="9" t="s">
        <v>460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3" x14ac:dyDescent="0.25">
      <c r="D153" s="9" t="s">
        <v>26</v>
      </c>
      <c r="E153" s="9" t="s">
        <v>351</v>
      </c>
      <c r="F153" s="9" t="s">
        <v>381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3" x14ac:dyDescent="0.25">
      <c r="D154" s="9" t="s">
        <v>26</v>
      </c>
      <c r="E154" s="9" t="s">
        <v>351</v>
      </c>
      <c r="F154" s="9" t="s">
        <v>381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3" x14ac:dyDescent="0.25">
      <c r="D155" s="9" t="s">
        <v>26</v>
      </c>
      <c r="E155" s="9" t="s">
        <v>351</v>
      </c>
      <c r="F155" s="9" t="s">
        <v>381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3" x14ac:dyDescent="0.25">
      <c r="D156" s="9" t="s">
        <v>26</v>
      </c>
      <c r="E156" s="9" t="s">
        <v>351</v>
      </c>
      <c r="F156" s="9" t="s">
        <v>381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3" x14ac:dyDescent="0.25">
      <c r="D157" s="9" t="s">
        <v>26</v>
      </c>
      <c r="E157" s="9" t="s">
        <v>351</v>
      </c>
      <c r="F157" s="9" t="s">
        <v>381</v>
      </c>
      <c r="G157" s="9">
        <v>500</v>
      </c>
      <c r="H157" s="9" t="s">
        <v>83</v>
      </c>
      <c r="I157" s="9" t="s">
        <v>340</v>
      </c>
      <c r="J157" s="9" t="s">
        <v>341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3" x14ac:dyDescent="0.25">
      <c r="D158" s="9" t="s">
        <v>26</v>
      </c>
      <c r="E158" s="9" t="s">
        <v>351</v>
      </c>
      <c r="F158" s="9" t="s">
        <v>381</v>
      </c>
      <c r="G158" s="9">
        <v>500</v>
      </c>
      <c r="H158" s="9" t="s">
        <v>83</v>
      </c>
      <c r="I158" s="9" t="s">
        <v>342</v>
      </c>
      <c r="J158" s="9" t="s">
        <v>341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3" x14ac:dyDescent="0.25">
      <c r="D159" s="9" t="s">
        <v>26</v>
      </c>
      <c r="E159" s="9" t="s">
        <v>351</v>
      </c>
      <c r="F159" s="9" t="s">
        <v>381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3" x14ac:dyDescent="0.25">
      <c r="D160" s="9" t="s">
        <v>26</v>
      </c>
      <c r="E160" s="9" t="s">
        <v>351</v>
      </c>
      <c r="F160" s="9" t="s">
        <v>381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25">
      <c r="D161" s="9" t="s">
        <v>26</v>
      </c>
      <c r="E161" s="9" t="s">
        <v>351</v>
      </c>
      <c r="F161" s="9" t="s">
        <v>381</v>
      </c>
      <c r="G161" s="9">
        <v>500</v>
      </c>
      <c r="H161" s="9" t="s">
        <v>83</v>
      </c>
      <c r="I161" s="9" t="s">
        <v>332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25">
      <c r="D162" s="9" t="s">
        <v>26</v>
      </c>
      <c r="E162" s="9" t="s">
        <v>351</v>
      </c>
      <c r="F162" s="9" t="s">
        <v>381</v>
      </c>
      <c r="G162" s="9">
        <v>500</v>
      </c>
      <c r="H162" s="9" t="s">
        <v>83</v>
      </c>
      <c r="I162" s="9" t="s">
        <v>343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25">
      <c r="D163" s="9" t="s">
        <v>26</v>
      </c>
      <c r="E163" s="9" t="s">
        <v>351</v>
      </c>
      <c r="F163" s="9" t="s">
        <v>381</v>
      </c>
      <c r="G163" s="9">
        <v>500</v>
      </c>
      <c r="H163" s="9" t="s">
        <v>83</v>
      </c>
      <c r="I163" s="9" t="s">
        <v>344</v>
      </c>
      <c r="J163" s="9" t="s">
        <v>345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25">
      <c r="D164" s="9" t="s">
        <v>26</v>
      </c>
      <c r="E164" s="9" t="s">
        <v>351</v>
      </c>
      <c r="F164" s="9" t="s">
        <v>381</v>
      </c>
      <c r="G164" s="9">
        <v>500</v>
      </c>
      <c r="H164" s="9" t="s">
        <v>244</v>
      </c>
      <c r="I164" s="9" t="s">
        <v>347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25">
      <c r="D165" s="9" t="s">
        <v>26</v>
      </c>
      <c r="E165" s="9" t="s">
        <v>351</v>
      </c>
      <c r="F165" s="9" t="s">
        <v>381</v>
      </c>
      <c r="G165" s="9">
        <v>500</v>
      </c>
      <c r="H165" s="9" t="s">
        <v>244</v>
      </c>
      <c r="I165" s="9" t="s">
        <v>460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25">
      <c r="D166" s="9" t="s">
        <v>26</v>
      </c>
      <c r="E166" s="9" t="s">
        <v>351</v>
      </c>
      <c r="F166" s="9" t="s">
        <v>381</v>
      </c>
      <c r="G166" s="9">
        <v>500</v>
      </c>
      <c r="H166" s="9" t="s">
        <v>244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25">
      <c r="D167" s="9" t="s">
        <v>26</v>
      </c>
      <c r="E167" s="9" t="s">
        <v>351</v>
      </c>
      <c r="F167" s="9" t="s">
        <v>381</v>
      </c>
      <c r="G167" s="9">
        <v>500</v>
      </c>
      <c r="H167" s="9" t="s">
        <v>244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25">
      <c r="D168" s="9" t="s">
        <v>26</v>
      </c>
      <c r="E168" s="9" t="s">
        <v>351</v>
      </c>
      <c r="F168" s="9" t="s">
        <v>381</v>
      </c>
      <c r="G168" s="9">
        <v>500</v>
      </c>
      <c r="H168" s="9" t="s">
        <v>244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25">
      <c r="D169" s="9" t="s">
        <v>26</v>
      </c>
      <c r="E169" s="9" t="s">
        <v>351</v>
      </c>
      <c r="F169" s="9" t="s">
        <v>381</v>
      </c>
      <c r="G169" s="9">
        <v>500</v>
      </c>
      <c r="H169" s="9" t="s">
        <v>244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25">
      <c r="D170" s="9" t="s">
        <v>26</v>
      </c>
      <c r="E170" s="9" t="s">
        <v>351</v>
      </c>
      <c r="F170" s="9" t="s">
        <v>381</v>
      </c>
      <c r="G170" s="9">
        <v>500</v>
      </c>
      <c r="H170" s="9" t="s">
        <v>244</v>
      </c>
      <c r="I170" s="9" t="s">
        <v>340</v>
      </c>
      <c r="J170" s="9" t="s">
        <v>341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25">
      <c r="D171" s="9" t="s">
        <v>26</v>
      </c>
      <c r="E171" s="9" t="s">
        <v>351</v>
      </c>
      <c r="F171" s="9" t="s">
        <v>381</v>
      </c>
      <c r="G171" s="9">
        <v>500</v>
      </c>
      <c r="H171" s="9" t="s">
        <v>244</v>
      </c>
      <c r="I171" s="9" t="s">
        <v>342</v>
      </c>
      <c r="J171" s="9" t="s">
        <v>341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25">
      <c r="D172" s="9" t="s">
        <v>26</v>
      </c>
      <c r="E172" s="9" t="s">
        <v>351</v>
      </c>
      <c r="F172" s="9" t="s">
        <v>381</v>
      </c>
      <c r="G172" s="9">
        <v>500</v>
      </c>
      <c r="H172" s="9" t="s">
        <v>244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25">
      <c r="D173" s="9" t="s">
        <v>26</v>
      </c>
      <c r="E173" s="9" t="s">
        <v>351</v>
      </c>
      <c r="F173" s="9" t="s">
        <v>381</v>
      </c>
      <c r="G173" s="9">
        <v>500</v>
      </c>
      <c r="H173" s="9" t="s">
        <v>244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25">
      <c r="D174" s="9" t="s">
        <v>26</v>
      </c>
      <c r="E174" s="9" t="s">
        <v>351</v>
      </c>
      <c r="F174" s="9" t="s">
        <v>381</v>
      </c>
      <c r="G174" s="9">
        <v>500</v>
      </c>
      <c r="H174" s="9" t="s">
        <v>244</v>
      </c>
      <c r="I174" s="9" t="s">
        <v>343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25">
      <c r="D175" s="9" t="s">
        <v>26</v>
      </c>
      <c r="E175" s="9" t="s">
        <v>351</v>
      </c>
      <c r="F175" s="9" t="s">
        <v>381</v>
      </c>
      <c r="G175" s="9">
        <v>500</v>
      </c>
      <c r="H175" s="9" t="s">
        <v>244</v>
      </c>
      <c r="I175" s="9" t="s">
        <v>344</v>
      </c>
      <c r="J175" s="9" t="s">
        <v>345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25">
      <c r="D176" s="9" t="s">
        <v>26</v>
      </c>
      <c r="E176" s="9" t="s">
        <v>351</v>
      </c>
      <c r="F176" s="9" t="s">
        <v>381</v>
      </c>
      <c r="G176" s="9">
        <v>500</v>
      </c>
      <c r="H176" s="9" t="s">
        <v>245</v>
      </c>
      <c r="I176" s="9" t="s">
        <v>347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25">
      <c r="D177" s="9" t="s">
        <v>26</v>
      </c>
      <c r="E177" s="9" t="s">
        <v>351</v>
      </c>
      <c r="F177" s="9" t="s">
        <v>381</v>
      </c>
      <c r="G177" s="9">
        <v>500</v>
      </c>
      <c r="H177" s="9" t="s">
        <v>245</v>
      </c>
      <c r="I177" s="9" t="s">
        <v>460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25">
      <c r="D178" s="9" t="s">
        <v>26</v>
      </c>
      <c r="E178" s="9" t="s">
        <v>351</v>
      </c>
      <c r="F178" s="9" t="s">
        <v>381</v>
      </c>
      <c r="G178" s="9">
        <v>500</v>
      </c>
      <c r="H178" s="9" t="s">
        <v>245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25">
      <c r="D179" s="9" t="s">
        <v>26</v>
      </c>
      <c r="E179" s="9" t="s">
        <v>351</v>
      </c>
      <c r="F179" s="9" t="s">
        <v>381</v>
      </c>
      <c r="G179" s="9">
        <v>500</v>
      </c>
      <c r="H179" s="9" t="s">
        <v>245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25">
      <c r="D180" s="9" t="s">
        <v>26</v>
      </c>
      <c r="E180" s="9" t="s">
        <v>351</v>
      </c>
      <c r="F180" s="9" t="s">
        <v>381</v>
      </c>
      <c r="G180" s="9">
        <v>500</v>
      </c>
      <c r="H180" s="9" t="s">
        <v>245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25">
      <c r="D181" s="9" t="s">
        <v>26</v>
      </c>
      <c r="E181" s="9" t="s">
        <v>351</v>
      </c>
      <c r="F181" s="9" t="s">
        <v>381</v>
      </c>
      <c r="G181" s="9">
        <v>500</v>
      </c>
      <c r="H181" s="9" t="s">
        <v>245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25">
      <c r="D182" s="9" t="s">
        <v>26</v>
      </c>
      <c r="E182" s="9" t="s">
        <v>351</v>
      </c>
      <c r="F182" s="9" t="s">
        <v>381</v>
      </c>
      <c r="G182" s="9">
        <v>500</v>
      </c>
      <c r="H182" s="9" t="s">
        <v>245</v>
      </c>
      <c r="I182" s="9" t="s">
        <v>340</v>
      </c>
      <c r="J182" s="9" t="s">
        <v>341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25">
      <c r="D183" s="9" t="s">
        <v>26</v>
      </c>
      <c r="E183" s="9" t="s">
        <v>351</v>
      </c>
      <c r="F183" s="9" t="s">
        <v>381</v>
      </c>
      <c r="G183" s="9">
        <v>500</v>
      </c>
      <c r="H183" s="9" t="s">
        <v>245</v>
      </c>
      <c r="I183" s="9" t="s">
        <v>342</v>
      </c>
      <c r="J183" s="9" t="s">
        <v>341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25">
      <c r="D184" s="9" t="s">
        <v>26</v>
      </c>
      <c r="E184" s="9" t="s">
        <v>351</v>
      </c>
      <c r="F184" s="9" t="s">
        <v>381</v>
      </c>
      <c r="G184" s="9">
        <v>500</v>
      </c>
      <c r="H184" s="9" t="s">
        <v>245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25">
      <c r="D185" s="9" t="s">
        <v>26</v>
      </c>
      <c r="E185" s="9" t="s">
        <v>351</v>
      </c>
      <c r="F185" s="9" t="s">
        <v>381</v>
      </c>
      <c r="G185" s="9">
        <v>500</v>
      </c>
      <c r="H185" s="9" t="s">
        <v>245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25">
      <c r="D186" s="9" t="s">
        <v>26</v>
      </c>
      <c r="E186" s="9" t="s">
        <v>351</v>
      </c>
      <c r="F186" s="9" t="s">
        <v>381</v>
      </c>
      <c r="G186" s="9">
        <v>500</v>
      </c>
      <c r="H186" s="9" t="s">
        <v>245</v>
      </c>
      <c r="I186" s="9" t="s">
        <v>343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25">
      <c r="D187" s="9" t="s">
        <v>26</v>
      </c>
      <c r="E187" s="9" t="s">
        <v>351</v>
      </c>
      <c r="F187" s="9" t="s">
        <v>381</v>
      </c>
      <c r="G187" s="9">
        <v>500</v>
      </c>
      <c r="H187" s="9" t="s">
        <v>245</v>
      </c>
      <c r="I187" s="9" t="s">
        <v>344</v>
      </c>
      <c r="J187" s="9" t="s">
        <v>345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25">
      <c r="D188" s="9" t="s">
        <v>26</v>
      </c>
      <c r="E188" s="9" t="s">
        <v>351</v>
      </c>
      <c r="F188" s="9" t="s">
        <v>381</v>
      </c>
      <c r="G188" s="9">
        <v>175</v>
      </c>
      <c r="H188" s="9" t="s">
        <v>85</v>
      </c>
      <c r="I188" s="9" t="s">
        <v>346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25">
      <c r="D189" s="9" t="s">
        <v>26</v>
      </c>
      <c r="E189" s="9" t="s">
        <v>351</v>
      </c>
      <c r="F189" s="9" t="s">
        <v>381</v>
      </c>
      <c r="G189" s="9">
        <v>175</v>
      </c>
      <c r="H189" s="9" t="s">
        <v>85</v>
      </c>
      <c r="I189" s="9" t="s">
        <v>460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25">
      <c r="D190" s="9" t="s">
        <v>26</v>
      </c>
      <c r="E190" s="9" t="s">
        <v>351</v>
      </c>
      <c r="F190" s="9" t="s">
        <v>381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25">
      <c r="D191" s="9" t="s">
        <v>26</v>
      </c>
      <c r="E191" s="9" t="s">
        <v>351</v>
      </c>
      <c r="F191" s="9" t="s">
        <v>381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25">
      <c r="D192" s="9" t="s">
        <v>26</v>
      </c>
      <c r="E192" s="9" t="s">
        <v>351</v>
      </c>
      <c r="F192" s="9" t="s">
        <v>381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25">
      <c r="D193" s="9" t="s">
        <v>26</v>
      </c>
      <c r="E193" s="9" t="s">
        <v>351</v>
      </c>
      <c r="F193" s="9" t="s">
        <v>381</v>
      </c>
      <c r="G193" s="9">
        <v>175</v>
      </c>
      <c r="H193" s="9" t="s">
        <v>85</v>
      </c>
      <c r="I193" s="9" t="s">
        <v>340</v>
      </c>
      <c r="J193" s="9" t="s">
        <v>341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25">
      <c r="D194" s="9" t="s">
        <v>26</v>
      </c>
      <c r="E194" s="9" t="s">
        <v>351</v>
      </c>
      <c r="F194" s="9" t="s">
        <v>381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25">
      <c r="D195" s="9" t="s">
        <v>26</v>
      </c>
      <c r="E195" s="9" t="s">
        <v>351</v>
      </c>
      <c r="F195" s="9" t="s">
        <v>381</v>
      </c>
      <c r="G195" s="9">
        <v>175</v>
      </c>
      <c r="H195" s="9" t="s">
        <v>85</v>
      </c>
      <c r="I195" s="9" t="s">
        <v>343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25">
      <c r="D196" s="9" t="s">
        <v>26</v>
      </c>
      <c r="E196" s="9" t="s">
        <v>351</v>
      </c>
      <c r="F196" s="9" t="s">
        <v>381</v>
      </c>
      <c r="G196" s="9">
        <v>175</v>
      </c>
      <c r="H196" s="9" t="s">
        <v>85</v>
      </c>
      <c r="I196" s="9" t="s">
        <v>344</v>
      </c>
      <c r="J196" s="9" t="s">
        <v>345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25">
      <c r="D197" s="9" t="s">
        <v>26</v>
      </c>
      <c r="E197" s="9" t="s">
        <v>351</v>
      </c>
      <c r="F197" s="9" t="s">
        <v>381</v>
      </c>
      <c r="G197" s="9">
        <v>175</v>
      </c>
      <c r="H197" s="9" t="s">
        <v>246</v>
      </c>
      <c r="I197" s="9" t="s">
        <v>346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25">
      <c r="D198" s="9" t="s">
        <v>26</v>
      </c>
      <c r="E198" s="9" t="s">
        <v>351</v>
      </c>
      <c r="F198" s="9" t="s">
        <v>381</v>
      </c>
      <c r="G198" s="9">
        <v>175</v>
      </c>
      <c r="H198" s="9" t="s">
        <v>246</v>
      </c>
      <c r="I198" s="9" t="s">
        <v>460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25">
      <c r="D199" s="9" t="s">
        <v>26</v>
      </c>
      <c r="E199" s="9" t="s">
        <v>351</v>
      </c>
      <c r="F199" s="9" t="s">
        <v>381</v>
      </c>
      <c r="G199" s="9">
        <v>175</v>
      </c>
      <c r="H199" s="9" t="s">
        <v>246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25">
      <c r="D200" s="9" t="s">
        <v>26</v>
      </c>
      <c r="E200" s="9" t="s">
        <v>351</v>
      </c>
      <c r="F200" s="9" t="s">
        <v>381</v>
      </c>
      <c r="G200" s="9">
        <v>175</v>
      </c>
      <c r="H200" s="9" t="s">
        <v>246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25">
      <c r="D201" s="9" t="s">
        <v>26</v>
      </c>
      <c r="E201" s="9" t="s">
        <v>351</v>
      </c>
      <c r="F201" s="9" t="s">
        <v>381</v>
      </c>
      <c r="G201" s="9">
        <v>175</v>
      </c>
      <c r="H201" s="9" t="s">
        <v>246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25">
      <c r="D202" s="9" t="s">
        <v>26</v>
      </c>
      <c r="E202" s="9" t="s">
        <v>351</v>
      </c>
      <c r="F202" s="9" t="s">
        <v>381</v>
      </c>
      <c r="G202" s="9">
        <v>175</v>
      </c>
      <c r="H202" s="9" t="s">
        <v>246</v>
      </c>
      <c r="I202" s="9" t="s">
        <v>340</v>
      </c>
      <c r="J202" s="9" t="s">
        <v>341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25">
      <c r="D203" s="9" t="s">
        <v>26</v>
      </c>
      <c r="E203" s="9" t="s">
        <v>351</v>
      </c>
      <c r="F203" s="9" t="s">
        <v>381</v>
      </c>
      <c r="G203" s="9">
        <v>175</v>
      </c>
      <c r="H203" s="9" t="s">
        <v>246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25">
      <c r="D204" s="9" t="s">
        <v>26</v>
      </c>
      <c r="E204" s="9" t="s">
        <v>351</v>
      </c>
      <c r="F204" s="9" t="s">
        <v>381</v>
      </c>
      <c r="G204" s="9">
        <v>175</v>
      </c>
      <c r="H204" s="9" t="s">
        <v>246</v>
      </c>
      <c r="I204" s="9" t="s">
        <v>343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25">
      <c r="D205" s="9" t="s">
        <v>26</v>
      </c>
      <c r="E205" s="9" t="s">
        <v>351</v>
      </c>
      <c r="F205" s="9" t="s">
        <v>381</v>
      </c>
      <c r="G205" s="9">
        <v>175</v>
      </c>
      <c r="H205" s="9" t="s">
        <v>246</v>
      </c>
      <c r="I205" s="9" t="s">
        <v>344</v>
      </c>
      <c r="J205" s="9" t="s">
        <v>345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25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25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25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25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25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25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25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25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25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25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25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25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25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25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25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25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25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25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25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25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25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25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25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25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25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25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25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25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.75" thickBot="1" x14ac:dyDescent="0.3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2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 X130:X136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7.42578125" style="5" bestFit="1" customWidth="1"/>
    <col min="7" max="7" width="25.85546875" style="5" customWidth="1"/>
    <col min="8" max="11" width="15.85546875" style="5" customWidth="1"/>
    <col min="12" max="21" width="8.85546875" style="5" customWidth="1"/>
    <col min="22" max="16384" width="11.5703125" style="5"/>
  </cols>
  <sheetData>
    <row r="1" spans="2:21" s="79" customFormat="1" ht="24.95" customHeight="1" x14ac:dyDescent="0.25">
      <c r="B1" s="78" t="s">
        <v>250</v>
      </c>
    </row>
    <row r="3" spans="2:21" ht="15.75" thickBot="1" x14ac:dyDescent="0.3">
      <c r="D3" s="38" t="str">
        <f>JESA_UploadTable(B1,D4:U18,db)</f>
        <v>Granulation capex @17:32:54</v>
      </c>
      <c r="E3" s="38"/>
      <c r="F3" s="38"/>
    </row>
    <row r="4" spans="2:21" ht="30" customHeight="1" thickBot="1" x14ac:dyDescent="0.3">
      <c r="D4" s="80" t="s">
        <v>8</v>
      </c>
      <c r="E4" s="80" t="s">
        <v>350</v>
      </c>
      <c r="F4" s="80" t="s">
        <v>24</v>
      </c>
      <c r="G4" s="80" t="s">
        <v>25</v>
      </c>
      <c r="H4" s="80" t="s">
        <v>270</v>
      </c>
      <c r="I4" s="80" t="s">
        <v>12</v>
      </c>
      <c r="J4" s="80" t="s">
        <v>17</v>
      </c>
      <c r="K4" s="80" t="s">
        <v>145</v>
      </c>
      <c r="L4" s="86" t="s">
        <v>71</v>
      </c>
      <c r="M4" s="86" t="s">
        <v>72</v>
      </c>
      <c r="N4" s="86" t="s">
        <v>73</v>
      </c>
      <c r="O4" s="86" t="s">
        <v>74</v>
      </c>
      <c r="P4" s="86" t="s">
        <v>75</v>
      </c>
      <c r="Q4" s="86" t="s">
        <v>364</v>
      </c>
      <c r="R4" s="86" t="s">
        <v>76</v>
      </c>
      <c r="S4" s="86" t="s">
        <v>77</v>
      </c>
      <c r="T4" s="86" t="s">
        <v>78</v>
      </c>
      <c r="U4" s="86" t="s">
        <v>79</v>
      </c>
    </row>
    <row r="5" spans="2:21" ht="15.75" thickBot="1" x14ac:dyDescent="0.3">
      <c r="D5" s="9" t="s">
        <v>26</v>
      </c>
      <c r="E5" s="9" t="s">
        <v>351</v>
      </c>
      <c r="F5" s="45" t="s">
        <v>365</v>
      </c>
      <c r="G5" s="9" t="s">
        <v>381</v>
      </c>
      <c r="H5" s="15">
        <v>1000</v>
      </c>
      <c r="I5" s="9" t="s">
        <v>22</v>
      </c>
      <c r="J5" s="45" t="s">
        <v>377</v>
      </c>
      <c r="K5" s="39">
        <v>147000000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.75" thickBot="1" x14ac:dyDescent="0.3">
      <c r="D6" s="9" t="s">
        <v>26</v>
      </c>
      <c r="E6" s="9" t="s">
        <v>351</v>
      </c>
      <c r="F6" s="45" t="s">
        <v>365</v>
      </c>
      <c r="G6" s="9" t="s">
        <v>381</v>
      </c>
      <c r="H6" s="15">
        <v>500</v>
      </c>
      <c r="I6" s="9" t="s">
        <v>22</v>
      </c>
      <c r="J6" s="45" t="s">
        <v>377</v>
      </c>
      <c r="K6" s="39">
        <v>90000000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.75" thickBot="1" x14ac:dyDescent="0.3">
      <c r="D7" s="9" t="s">
        <v>26</v>
      </c>
      <c r="E7" s="9" t="s">
        <v>351</v>
      </c>
      <c r="F7" s="9" t="s">
        <v>85</v>
      </c>
      <c r="G7" s="9" t="s">
        <v>381</v>
      </c>
      <c r="H7" s="15">
        <v>175</v>
      </c>
      <c r="I7" s="9" t="s">
        <v>22</v>
      </c>
      <c r="J7" s="45" t="s">
        <v>377</v>
      </c>
      <c r="K7" s="39">
        <v>58000000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.75" thickBot="1" x14ac:dyDescent="0.3">
      <c r="D8" s="9" t="s">
        <v>26</v>
      </c>
      <c r="E8" s="9" t="s">
        <v>351</v>
      </c>
      <c r="F8" s="9" t="s">
        <v>246</v>
      </c>
      <c r="G8" s="9" t="s">
        <v>381</v>
      </c>
      <c r="H8" s="15">
        <v>175</v>
      </c>
      <c r="I8" s="9" t="s">
        <v>22</v>
      </c>
      <c r="J8" s="45" t="s">
        <v>377</v>
      </c>
      <c r="K8" s="39">
        <v>58176539.621052623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25">
      <c r="D9" s="9"/>
      <c r="E9" s="9"/>
      <c r="F9" s="9"/>
      <c r="G9" s="9"/>
      <c r="H9" s="15"/>
      <c r="I9" s="9"/>
      <c r="J9" s="45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25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25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25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25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25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25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25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25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25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25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25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25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25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25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2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2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2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2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2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2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2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2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2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2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2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2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2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2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2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2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2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2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2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2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2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2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2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2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.75" thickBot="1" x14ac:dyDescent="0.3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25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J4" sqref="J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88" customFormat="1" ht="24.95" customHeight="1" x14ac:dyDescent="0.25">
      <c r="B1" s="87" t="s">
        <v>251</v>
      </c>
    </row>
    <row r="3" spans="2:10" ht="15.75" thickBot="1" x14ac:dyDescent="0.3">
      <c r="D3" s="1" t="str">
        <f>JESA_UploadTable(D4,D4:D40,db)</f>
        <v>Logistics/Process @17:32:54</v>
      </c>
      <c r="F3" s="1" t="str">
        <f>JESA_UploadTable(F4,F4:F40,db)</f>
        <v>Logistics/Product @17:32:55</v>
      </c>
      <c r="H3" s="1" t="str">
        <f>JESA_UploadTable(H4,H4:H40,db)</f>
        <v>Logistics/CAPEX @17:32:55</v>
      </c>
      <c r="J3" s="1" t="str">
        <f>JESA_UploadTable(J4,J4:J40,db)</f>
        <v>Logistics/Name @17:32:55</v>
      </c>
    </row>
    <row r="4" spans="2:10" ht="30" customHeight="1" thickBot="1" x14ac:dyDescent="0.3">
      <c r="D4" s="89" t="s">
        <v>252</v>
      </c>
      <c r="F4" s="89" t="s">
        <v>253</v>
      </c>
      <c r="H4" s="89" t="s">
        <v>254</v>
      </c>
      <c r="J4" s="89" t="s">
        <v>255</v>
      </c>
    </row>
    <row r="5" spans="2:10" x14ac:dyDescent="0.25">
      <c r="D5" s="81" t="s">
        <v>256</v>
      </c>
      <c r="F5" s="81" t="s">
        <v>186</v>
      </c>
      <c r="H5" s="81" t="s">
        <v>22</v>
      </c>
      <c r="J5" s="81" t="s">
        <v>257</v>
      </c>
    </row>
    <row r="6" spans="2:10" x14ac:dyDescent="0.25">
      <c r="D6" s="82" t="s">
        <v>258</v>
      </c>
      <c r="F6" s="82" t="s">
        <v>259</v>
      </c>
      <c r="H6" s="82" t="s">
        <v>243</v>
      </c>
      <c r="J6" s="82" t="s">
        <v>260</v>
      </c>
    </row>
    <row r="7" spans="2:10" x14ac:dyDescent="0.25">
      <c r="D7" s="82" t="s">
        <v>468</v>
      </c>
      <c r="F7" s="82" t="s">
        <v>29</v>
      </c>
      <c r="H7" s="82" t="s">
        <v>262</v>
      </c>
      <c r="J7" s="82"/>
    </row>
    <row r="8" spans="2:10" x14ac:dyDescent="0.25">
      <c r="D8" s="82" t="s">
        <v>263</v>
      </c>
      <c r="F8" s="82" t="s">
        <v>264</v>
      </c>
      <c r="H8" s="82" t="s">
        <v>265</v>
      </c>
      <c r="J8" s="82"/>
    </row>
    <row r="9" spans="2:10" x14ac:dyDescent="0.25">
      <c r="D9" s="82"/>
      <c r="F9" s="82" t="s">
        <v>236</v>
      </c>
      <c r="H9" s="82"/>
      <c r="J9" s="82"/>
    </row>
    <row r="10" spans="2:10" x14ac:dyDescent="0.25">
      <c r="D10" s="82"/>
      <c r="F10" s="82"/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2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14" width="15.85546875" style="5" customWidth="1"/>
    <col min="15" max="15" width="12.140625" style="5" bestFit="1" customWidth="1"/>
    <col min="16" max="16" width="80.7109375" style="5" bestFit="1" customWidth="1"/>
    <col min="17" max="17" width="13.5703125" style="5" bestFit="1" customWidth="1"/>
    <col min="18" max="18" width="11.5703125" style="5"/>
    <col min="19" max="19" width="16.42578125" style="5" bestFit="1" customWidth="1"/>
    <col min="20" max="16384" width="11.5703125" style="5"/>
  </cols>
  <sheetData>
    <row r="1" spans="2:20" s="91" customFormat="1" ht="24.95" customHeight="1" x14ac:dyDescent="0.25">
      <c r="B1" s="90" t="s">
        <v>266</v>
      </c>
    </row>
    <row r="3" spans="2:20" ht="15.75" thickBot="1" x14ac:dyDescent="0.3">
      <c r="D3" s="38" t="str">
        <f>JESA_UploadTable("logistics_options",D4:P45,db)</f>
        <v>logistics_options @17:32:56</v>
      </c>
    </row>
    <row r="4" spans="2:20" ht="30" customHeight="1" thickBot="1" x14ac:dyDescent="0.3">
      <c r="D4" s="92" t="s">
        <v>30</v>
      </c>
      <c r="E4" s="92" t="s">
        <v>267</v>
      </c>
      <c r="F4" s="92" t="s">
        <v>268</v>
      </c>
      <c r="G4" s="92" t="s">
        <v>457</v>
      </c>
      <c r="H4" s="92" t="s">
        <v>461</v>
      </c>
      <c r="I4" s="92" t="s">
        <v>269</v>
      </c>
      <c r="J4" s="92" t="s">
        <v>24</v>
      </c>
      <c r="K4" s="92" t="s">
        <v>270</v>
      </c>
      <c r="L4" s="92" t="s">
        <v>17</v>
      </c>
      <c r="M4" s="92" t="s">
        <v>70</v>
      </c>
      <c r="N4" s="92" t="s">
        <v>144</v>
      </c>
      <c r="O4" s="92" t="s">
        <v>148</v>
      </c>
      <c r="P4" s="92" t="s">
        <v>149</v>
      </c>
      <c r="T4" s="5">
        <v>1</v>
      </c>
    </row>
    <row r="5" spans="2:20" x14ac:dyDescent="0.25">
      <c r="D5" s="8" t="s">
        <v>385</v>
      </c>
      <c r="E5" s="8" t="s">
        <v>4</v>
      </c>
      <c r="F5" s="8" t="s">
        <v>9</v>
      </c>
      <c r="G5" s="8" t="s">
        <v>386</v>
      </c>
      <c r="H5" s="8" t="s">
        <v>462</v>
      </c>
      <c r="I5" s="14" t="s">
        <v>258</v>
      </c>
      <c r="J5" s="14" t="s">
        <v>186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25">
      <c r="D6" s="9" t="s">
        <v>387</v>
      </c>
      <c r="E6" s="9" t="s">
        <v>4</v>
      </c>
      <c r="F6" s="9" t="s">
        <v>9</v>
      </c>
      <c r="G6" s="9" t="s">
        <v>386</v>
      </c>
      <c r="H6" s="9" t="s">
        <v>462</v>
      </c>
      <c r="I6" s="15" t="s">
        <v>258</v>
      </c>
      <c r="J6" s="15" t="s">
        <v>186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69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25">
      <c r="D7" s="9" t="s">
        <v>388</v>
      </c>
      <c r="E7" s="9" t="s">
        <v>4</v>
      </c>
      <c r="F7" s="9" t="s">
        <v>9</v>
      </c>
      <c r="G7" s="9" t="s">
        <v>386</v>
      </c>
      <c r="H7" s="9" t="s">
        <v>462</v>
      </c>
      <c r="I7" s="15" t="s">
        <v>258</v>
      </c>
      <c r="J7" s="15" t="s">
        <v>186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25">
      <c r="D8" s="9" t="s">
        <v>389</v>
      </c>
      <c r="E8" s="9" t="s">
        <v>4</v>
      </c>
      <c r="F8" s="9" t="s">
        <v>9</v>
      </c>
      <c r="G8" s="9" t="s">
        <v>386</v>
      </c>
      <c r="H8" s="9" t="s">
        <v>462</v>
      </c>
      <c r="I8" s="15" t="s">
        <v>258</v>
      </c>
      <c r="J8" s="15" t="s">
        <v>186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25">
      <c r="D9" s="9" t="s">
        <v>390</v>
      </c>
      <c r="E9" s="9" t="s">
        <v>4</v>
      </c>
      <c r="F9" s="9" t="s">
        <v>9</v>
      </c>
      <c r="G9" s="9" t="s">
        <v>386</v>
      </c>
      <c r="H9" s="9" t="s">
        <v>462</v>
      </c>
      <c r="I9" s="15" t="s">
        <v>258</v>
      </c>
      <c r="J9" s="15" t="s">
        <v>186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25">
      <c r="D10" s="9" t="s">
        <v>391</v>
      </c>
      <c r="E10" s="9" t="s">
        <v>4</v>
      </c>
      <c r="F10" s="9" t="s">
        <v>9</v>
      </c>
      <c r="G10" s="9" t="s">
        <v>386</v>
      </c>
      <c r="H10" s="9" t="s">
        <v>462</v>
      </c>
      <c r="I10" s="15" t="s">
        <v>258</v>
      </c>
      <c r="J10" s="15" t="s">
        <v>186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25">
      <c r="D11" s="9" t="s">
        <v>392</v>
      </c>
      <c r="E11" s="9" t="s">
        <v>4</v>
      </c>
      <c r="F11" s="9" t="s">
        <v>9</v>
      </c>
      <c r="G11" s="9" t="s">
        <v>386</v>
      </c>
      <c r="H11" s="9" t="s">
        <v>462</v>
      </c>
      <c r="I11" s="15" t="s">
        <v>258</v>
      </c>
      <c r="J11" s="15" t="s">
        <v>186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25">
      <c r="D12" s="9" t="s">
        <v>393</v>
      </c>
      <c r="E12" s="9" t="s">
        <v>4</v>
      </c>
      <c r="F12" s="9" t="s">
        <v>9</v>
      </c>
      <c r="G12" s="9" t="s">
        <v>386</v>
      </c>
      <c r="H12" s="9" t="s">
        <v>462</v>
      </c>
      <c r="I12" s="15" t="s">
        <v>258</v>
      </c>
      <c r="J12" s="15" t="s">
        <v>186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25">
      <c r="D13" s="9" t="s">
        <v>394</v>
      </c>
      <c r="E13" s="9" t="s">
        <v>10</v>
      </c>
      <c r="F13" s="9" t="s">
        <v>9</v>
      </c>
      <c r="G13" s="9" t="s">
        <v>386</v>
      </c>
      <c r="H13" s="9" t="s">
        <v>462</v>
      </c>
      <c r="I13" s="15" t="s">
        <v>258</v>
      </c>
      <c r="J13" s="15" t="s">
        <v>186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25">
      <c r="D14" s="9" t="s">
        <v>395</v>
      </c>
      <c r="E14" s="9" t="s">
        <v>10</v>
      </c>
      <c r="F14" s="9" t="s">
        <v>9</v>
      </c>
      <c r="G14" s="9" t="s">
        <v>386</v>
      </c>
      <c r="H14" s="9" t="s">
        <v>462</v>
      </c>
      <c r="I14" s="15" t="s">
        <v>258</v>
      </c>
      <c r="J14" s="15" t="s">
        <v>186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25">
      <c r="D15" s="9" t="s">
        <v>396</v>
      </c>
      <c r="E15" s="9" t="s">
        <v>10</v>
      </c>
      <c r="F15" s="9" t="s">
        <v>9</v>
      </c>
      <c r="G15" s="9" t="s">
        <v>386</v>
      </c>
      <c r="H15" s="9" t="s">
        <v>462</v>
      </c>
      <c r="I15" s="15" t="s">
        <v>258</v>
      </c>
      <c r="J15" s="15" t="s">
        <v>186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25">
      <c r="D16" s="9" t="s">
        <v>397</v>
      </c>
      <c r="E16" s="9" t="s">
        <v>90</v>
      </c>
      <c r="F16" s="9" t="s">
        <v>3</v>
      </c>
      <c r="G16" s="9" t="s">
        <v>398</v>
      </c>
      <c r="H16" s="9" t="s">
        <v>462</v>
      </c>
      <c r="I16" s="15" t="s">
        <v>258</v>
      </c>
      <c r="J16" s="15" t="s">
        <v>186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25">
      <c r="D17" s="9" t="s">
        <v>399</v>
      </c>
      <c r="E17" s="9" t="s">
        <v>90</v>
      </c>
      <c r="F17" s="9" t="s">
        <v>3</v>
      </c>
      <c r="G17" s="9" t="s">
        <v>398</v>
      </c>
      <c r="H17" s="9" t="s">
        <v>462</v>
      </c>
      <c r="I17" s="15" t="s">
        <v>258</v>
      </c>
      <c r="J17" s="15" t="s">
        <v>186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25">
      <c r="D18" s="9" t="s">
        <v>400</v>
      </c>
      <c r="E18" s="9" t="s">
        <v>90</v>
      </c>
      <c r="F18" s="9" t="s">
        <v>3</v>
      </c>
      <c r="G18" s="9" t="s">
        <v>398</v>
      </c>
      <c r="H18" s="9" t="s">
        <v>462</v>
      </c>
      <c r="I18" s="15" t="s">
        <v>258</v>
      </c>
      <c r="J18" s="15" t="s">
        <v>186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25">
      <c r="D19" s="9" t="s">
        <v>401</v>
      </c>
      <c r="E19" s="9" t="s">
        <v>90</v>
      </c>
      <c r="F19" s="9" t="s">
        <v>3</v>
      </c>
      <c r="G19" s="9" t="s">
        <v>398</v>
      </c>
      <c r="H19" s="9" t="s">
        <v>462</v>
      </c>
      <c r="I19" s="15" t="s">
        <v>258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25">
      <c r="D20" s="9" t="s">
        <v>402</v>
      </c>
      <c r="E20" s="9" t="s">
        <v>90</v>
      </c>
      <c r="F20" s="9" t="s">
        <v>3</v>
      </c>
      <c r="G20" s="9" t="s">
        <v>398</v>
      </c>
      <c r="H20" s="9" t="s">
        <v>462</v>
      </c>
      <c r="I20" s="15" t="s">
        <v>258</v>
      </c>
      <c r="J20" s="15" t="s">
        <v>186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25">
      <c r="D21" s="9" t="s">
        <v>403</v>
      </c>
      <c r="E21" s="9" t="s">
        <v>9</v>
      </c>
      <c r="F21" s="9" t="s">
        <v>90</v>
      </c>
      <c r="G21" s="9" t="s">
        <v>386</v>
      </c>
      <c r="H21" s="9" t="s">
        <v>462</v>
      </c>
      <c r="I21" s="15" t="s">
        <v>258</v>
      </c>
      <c r="J21" s="15" t="s">
        <v>186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25">
      <c r="D22" s="9" t="s">
        <v>404</v>
      </c>
      <c r="E22" s="9" t="s">
        <v>9</v>
      </c>
      <c r="F22" s="9" t="s">
        <v>90</v>
      </c>
      <c r="G22" s="9" t="s">
        <v>386</v>
      </c>
      <c r="H22" s="9" t="s">
        <v>462</v>
      </c>
      <c r="I22" s="15" t="s">
        <v>258</v>
      </c>
      <c r="J22" s="15" t="s">
        <v>186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25">
      <c r="D23" s="9" t="s">
        <v>405</v>
      </c>
      <c r="E23" s="9" t="s">
        <v>9</v>
      </c>
      <c r="F23" s="9" t="s">
        <v>90</v>
      </c>
      <c r="G23" s="9" t="s">
        <v>386</v>
      </c>
      <c r="H23" s="9" t="s">
        <v>462</v>
      </c>
      <c r="I23" s="15" t="s">
        <v>258</v>
      </c>
      <c r="J23" s="15" t="s">
        <v>186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25">
      <c r="D24" s="9" t="s">
        <v>406</v>
      </c>
      <c r="E24" s="9" t="s">
        <v>9</v>
      </c>
      <c r="F24" s="9" t="s">
        <v>90</v>
      </c>
      <c r="G24" s="9" t="s">
        <v>386</v>
      </c>
      <c r="H24" s="9" t="s">
        <v>462</v>
      </c>
      <c r="I24" s="15" t="s">
        <v>258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25">
      <c r="D25" s="9" t="s">
        <v>407</v>
      </c>
      <c r="E25" s="9" t="s">
        <v>9</v>
      </c>
      <c r="F25" s="9" t="s">
        <v>90</v>
      </c>
      <c r="G25" s="9" t="s">
        <v>386</v>
      </c>
      <c r="H25" s="9" t="s">
        <v>462</v>
      </c>
      <c r="I25" s="15" t="s">
        <v>258</v>
      </c>
      <c r="J25" s="15" t="s">
        <v>186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25">
      <c r="D26" s="9" t="s">
        <v>408</v>
      </c>
      <c r="E26" s="9" t="s">
        <v>9</v>
      </c>
      <c r="F26" s="9" t="s">
        <v>90</v>
      </c>
      <c r="G26" s="9" t="s">
        <v>386</v>
      </c>
      <c r="H26" s="9" t="s">
        <v>462</v>
      </c>
      <c r="I26" s="15" t="s">
        <v>258</v>
      </c>
      <c r="J26" s="15" t="s">
        <v>186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25">
      <c r="D27" s="9" t="s">
        <v>409</v>
      </c>
      <c r="E27" s="9" t="s">
        <v>9</v>
      </c>
      <c r="F27" s="9" t="s">
        <v>90</v>
      </c>
      <c r="G27" s="9" t="s">
        <v>386</v>
      </c>
      <c r="H27" s="9" t="s">
        <v>462</v>
      </c>
      <c r="I27" s="15" t="s">
        <v>258</v>
      </c>
      <c r="J27" s="15" t="s">
        <v>186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25">
      <c r="D28" s="9" t="s">
        <v>410</v>
      </c>
      <c r="E28" s="9" t="s">
        <v>9</v>
      </c>
      <c r="F28" s="9" t="s">
        <v>3</v>
      </c>
      <c r="G28" s="9" t="s">
        <v>398</v>
      </c>
      <c r="H28" s="9" t="s">
        <v>462</v>
      </c>
      <c r="I28" s="15" t="s">
        <v>258</v>
      </c>
      <c r="J28" s="15" t="s">
        <v>186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25">
      <c r="D29" s="9" t="s">
        <v>411</v>
      </c>
      <c r="E29" s="9" t="s">
        <v>9</v>
      </c>
      <c r="F29" s="9" t="s">
        <v>3</v>
      </c>
      <c r="G29" s="9" t="s">
        <v>398</v>
      </c>
      <c r="H29" s="9" t="s">
        <v>462</v>
      </c>
      <c r="I29" s="15" t="s">
        <v>258</v>
      </c>
      <c r="J29" s="15" t="s">
        <v>186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25">
      <c r="D30" s="9" t="s">
        <v>412</v>
      </c>
      <c r="E30" s="9" t="s">
        <v>9</v>
      </c>
      <c r="F30" s="9" t="s">
        <v>3</v>
      </c>
      <c r="G30" s="9" t="s">
        <v>398</v>
      </c>
      <c r="H30" s="9" t="s">
        <v>462</v>
      </c>
      <c r="I30" s="15" t="s">
        <v>258</v>
      </c>
      <c r="J30" s="15" t="s">
        <v>186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25">
      <c r="D31" s="9" t="s">
        <v>413</v>
      </c>
      <c r="E31" s="9" t="s">
        <v>9</v>
      </c>
      <c r="F31" s="9" t="s">
        <v>3</v>
      </c>
      <c r="G31" s="9" t="s">
        <v>398</v>
      </c>
      <c r="H31" s="9" t="s">
        <v>462</v>
      </c>
      <c r="I31" s="15" t="s">
        <v>258</v>
      </c>
      <c r="J31" s="15" t="s">
        <v>186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25">
      <c r="D32" s="9" t="s">
        <v>414</v>
      </c>
      <c r="E32" s="9" t="s">
        <v>9</v>
      </c>
      <c r="F32" s="9" t="s">
        <v>3</v>
      </c>
      <c r="G32" s="9" t="s">
        <v>398</v>
      </c>
      <c r="H32" s="9" t="s">
        <v>462</v>
      </c>
      <c r="I32" s="15" t="s">
        <v>258</v>
      </c>
      <c r="J32" s="15" t="s">
        <v>186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25">
      <c r="D33" s="9" t="s">
        <v>415</v>
      </c>
      <c r="E33" s="9" t="s">
        <v>9</v>
      </c>
      <c r="F33" s="9" t="s">
        <v>3</v>
      </c>
      <c r="G33" s="9" t="s">
        <v>398</v>
      </c>
      <c r="H33" s="9" t="s">
        <v>462</v>
      </c>
      <c r="I33" s="15" t="s">
        <v>258</v>
      </c>
      <c r="J33" s="15" t="s">
        <v>186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25">
      <c r="D34" s="9" t="s">
        <v>416</v>
      </c>
      <c r="E34" s="9" t="s">
        <v>9</v>
      </c>
      <c r="F34" s="9" t="s">
        <v>3</v>
      </c>
      <c r="G34" s="9" t="s">
        <v>398</v>
      </c>
      <c r="H34" s="9" t="s">
        <v>462</v>
      </c>
      <c r="I34" s="15" t="s">
        <v>258</v>
      </c>
      <c r="J34" s="15" t="s">
        <v>186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25">
      <c r="D35" s="9" t="s">
        <v>417</v>
      </c>
      <c r="E35" s="9" t="s">
        <v>90</v>
      </c>
      <c r="F35" s="9" t="s">
        <v>26</v>
      </c>
      <c r="G35" s="9" t="s">
        <v>398</v>
      </c>
      <c r="H35" s="9" t="s">
        <v>462</v>
      </c>
      <c r="I35" s="15" t="s">
        <v>258</v>
      </c>
      <c r="J35" s="15" t="s">
        <v>186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25">
      <c r="D36" s="9" t="s">
        <v>418</v>
      </c>
      <c r="E36" s="9" t="s">
        <v>90</v>
      </c>
      <c r="F36" s="9" t="s">
        <v>26</v>
      </c>
      <c r="G36" s="9" t="s">
        <v>398</v>
      </c>
      <c r="H36" s="9" t="s">
        <v>462</v>
      </c>
      <c r="I36" s="15" t="s">
        <v>258</v>
      </c>
      <c r="J36" s="15" t="s">
        <v>186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25">
      <c r="D37" s="9" t="s">
        <v>419</v>
      </c>
      <c r="E37" s="9" t="s">
        <v>90</v>
      </c>
      <c r="F37" s="9" t="s">
        <v>26</v>
      </c>
      <c r="G37" s="9" t="s">
        <v>398</v>
      </c>
      <c r="H37" s="9" t="s">
        <v>462</v>
      </c>
      <c r="I37" s="15" t="s">
        <v>258</v>
      </c>
      <c r="J37" s="15" t="s">
        <v>186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25">
      <c r="D38" s="9" t="s">
        <v>420</v>
      </c>
      <c r="E38" s="9" t="s">
        <v>90</v>
      </c>
      <c r="F38" s="9" t="s">
        <v>26</v>
      </c>
      <c r="G38" s="9" t="s">
        <v>398</v>
      </c>
      <c r="H38" s="9" t="s">
        <v>462</v>
      </c>
      <c r="I38" s="15" t="s">
        <v>258</v>
      </c>
      <c r="J38" s="15" t="s">
        <v>186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25">
      <c r="D39" s="9" t="s">
        <v>421</v>
      </c>
      <c r="E39" s="9" t="s">
        <v>90</v>
      </c>
      <c r="F39" s="9" t="s">
        <v>26</v>
      </c>
      <c r="G39" s="9" t="s">
        <v>398</v>
      </c>
      <c r="H39" s="9" t="s">
        <v>462</v>
      </c>
      <c r="I39" s="15" t="s">
        <v>258</v>
      </c>
      <c r="J39" s="15" t="s">
        <v>186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25">
      <c r="D40" s="147" t="s">
        <v>463</v>
      </c>
      <c r="E40" s="147" t="s">
        <v>9</v>
      </c>
      <c r="F40" s="147" t="s">
        <v>90</v>
      </c>
      <c r="G40" s="147" t="s">
        <v>386</v>
      </c>
      <c r="H40" s="147" t="s">
        <v>3</v>
      </c>
      <c r="I40" s="148" t="s">
        <v>256</v>
      </c>
      <c r="J40" s="148" t="s">
        <v>186</v>
      </c>
      <c r="K40" s="148">
        <v>10</v>
      </c>
      <c r="L40" s="149" t="s">
        <v>182</v>
      </c>
      <c r="M40" s="149" t="s">
        <v>467</v>
      </c>
      <c r="N40" s="148">
        <v>2018</v>
      </c>
      <c r="O40" s="148">
        <v>2100</v>
      </c>
      <c r="P40" s="147" t="str">
        <f t="shared" si="0"/>
        <v>/Logistics/TrainBG2Yfia1/Benguerir/Youssoufia/WP2WP/Mzinda/Train/Rock/10/Exist/2018/2100</v>
      </c>
      <c r="T40" s="5">
        <v>3</v>
      </c>
    </row>
    <row r="41" spans="4:20" x14ac:dyDescent="0.25">
      <c r="D41" s="147" t="s">
        <v>463</v>
      </c>
      <c r="E41" s="147" t="s">
        <v>9</v>
      </c>
      <c r="F41" s="147" t="s">
        <v>90</v>
      </c>
      <c r="G41" s="147" t="s">
        <v>386</v>
      </c>
      <c r="H41" s="147" t="s">
        <v>26</v>
      </c>
      <c r="I41" s="148" t="s">
        <v>256</v>
      </c>
      <c r="J41" s="148" t="s">
        <v>186</v>
      </c>
      <c r="K41" s="148">
        <v>15</v>
      </c>
      <c r="L41" s="149" t="s">
        <v>182</v>
      </c>
      <c r="M41" s="149" t="s">
        <v>467</v>
      </c>
      <c r="N41" s="148">
        <v>2018</v>
      </c>
      <c r="O41" s="148">
        <v>2100</v>
      </c>
      <c r="P41" s="147" t="str">
        <f t="shared" si="0"/>
        <v>/Logistics/TrainBG2Yfia1/Benguerir/Youssoufia/WP2WP/Safi/Train/Rock/15/Exist/2018/2100</v>
      </c>
      <c r="T41" s="5">
        <v>4</v>
      </c>
    </row>
    <row r="42" spans="4:20" x14ac:dyDescent="0.25">
      <c r="D42" s="147" t="s">
        <v>464</v>
      </c>
      <c r="E42" s="147" t="s">
        <v>90</v>
      </c>
      <c r="F42" s="147" t="s">
        <v>26</v>
      </c>
      <c r="G42" s="147" t="s">
        <v>398</v>
      </c>
      <c r="H42" s="147" t="s">
        <v>3</v>
      </c>
      <c r="I42" s="148" t="s">
        <v>256</v>
      </c>
      <c r="J42" s="148" t="s">
        <v>186</v>
      </c>
      <c r="K42" s="148">
        <v>10</v>
      </c>
      <c r="L42" s="149" t="s">
        <v>182</v>
      </c>
      <c r="M42" s="149" t="s">
        <v>467</v>
      </c>
      <c r="N42" s="148">
        <v>2018</v>
      </c>
      <c r="O42" s="148">
        <v>2100</v>
      </c>
      <c r="P42" s="147" t="str">
        <f t="shared" si="0"/>
        <v>/Logistics/TrainYfia2Safi1/Youssoufia/Safi/WP2PAP/Mzinda/Train/Rock/10/Exist/2018/2100</v>
      </c>
      <c r="T42" s="5">
        <v>5</v>
      </c>
    </row>
    <row r="43" spans="4:20" x14ac:dyDescent="0.25">
      <c r="D43" s="147" t="s">
        <v>464</v>
      </c>
      <c r="E43" s="147" t="s">
        <v>90</v>
      </c>
      <c r="F43" s="147" t="s">
        <v>26</v>
      </c>
      <c r="G43" s="147" t="s">
        <v>398</v>
      </c>
      <c r="H43" s="147" t="s">
        <v>26</v>
      </c>
      <c r="I43" s="148" t="s">
        <v>256</v>
      </c>
      <c r="J43" s="148" t="s">
        <v>186</v>
      </c>
      <c r="K43" s="148">
        <v>15</v>
      </c>
      <c r="L43" s="149" t="s">
        <v>182</v>
      </c>
      <c r="M43" s="149" t="s">
        <v>467</v>
      </c>
      <c r="N43" s="148">
        <v>2018</v>
      </c>
      <c r="O43" s="148">
        <v>2100</v>
      </c>
      <c r="P43" s="147" t="str">
        <f t="shared" si="0"/>
        <v>/Logistics/TrainYfia2Safi1/Youssoufia/Safi/WP2PAP/Safi/Train/Rock/15/Exist/2018/2100</v>
      </c>
      <c r="T43" s="5">
        <v>6</v>
      </c>
    </row>
    <row r="44" spans="4:20" x14ac:dyDescent="0.25">
      <c r="D44" s="147" t="s">
        <v>465</v>
      </c>
      <c r="E44" s="147" t="s">
        <v>9</v>
      </c>
      <c r="F44" s="147" t="s">
        <v>26</v>
      </c>
      <c r="G44" s="147" t="s">
        <v>466</v>
      </c>
      <c r="H44" s="147" t="s">
        <v>3</v>
      </c>
      <c r="I44" s="148" t="s">
        <v>256</v>
      </c>
      <c r="J44" s="148" t="s">
        <v>186</v>
      </c>
      <c r="K44" s="148">
        <v>10</v>
      </c>
      <c r="L44" s="149" t="s">
        <v>182</v>
      </c>
      <c r="M44" s="149" t="s">
        <v>467</v>
      </c>
      <c r="N44" s="148">
        <v>2018</v>
      </c>
      <c r="O44" s="148">
        <v>2100</v>
      </c>
      <c r="P44" s="147" t="str">
        <f t="shared" si="0"/>
        <v>/Logistics/TrainBG2Safi1/Benguerir/Safi/WP2Port/Mzinda/Train/Rock/10/Exist/2018/2100</v>
      </c>
      <c r="T44" s="5">
        <v>7</v>
      </c>
    </row>
    <row r="45" spans="4:20" x14ac:dyDescent="0.25">
      <c r="D45" s="147" t="s">
        <v>465</v>
      </c>
      <c r="E45" s="147" t="s">
        <v>9</v>
      </c>
      <c r="F45" s="147" t="s">
        <v>26</v>
      </c>
      <c r="G45" s="147" t="s">
        <v>466</v>
      </c>
      <c r="H45" s="147" t="s">
        <v>26</v>
      </c>
      <c r="I45" s="148" t="s">
        <v>256</v>
      </c>
      <c r="J45" s="148" t="s">
        <v>186</v>
      </c>
      <c r="K45" s="148">
        <v>15</v>
      </c>
      <c r="L45" s="149" t="s">
        <v>182</v>
      </c>
      <c r="M45" s="149" t="s">
        <v>467</v>
      </c>
      <c r="N45" s="148">
        <v>2018</v>
      </c>
      <c r="O45" s="148">
        <v>2100</v>
      </c>
      <c r="P45" s="147" t="str">
        <f t="shared" si="0"/>
        <v>/Logistics/TrainBG2Safi1/Benguerir/Safi/WP2Port/Safi/Train/Rock/15/Exist/2018/2100</v>
      </c>
      <c r="T45" s="5">
        <v>8</v>
      </c>
    </row>
    <row r="46" spans="4:20" x14ac:dyDescent="0.25">
      <c r="D46" s="147"/>
      <c r="E46" s="147"/>
      <c r="F46" s="147"/>
      <c r="G46" s="147"/>
      <c r="H46" s="147"/>
      <c r="I46" s="148"/>
      <c r="J46" s="148"/>
      <c r="K46" s="148"/>
      <c r="L46" s="149"/>
      <c r="M46" s="149"/>
      <c r="N46" s="148"/>
      <c r="O46" s="148"/>
      <c r="P46" s="147" t="str">
        <f t="shared" si="0"/>
        <v/>
      </c>
      <c r="T46" s="5">
        <v>9</v>
      </c>
    </row>
    <row r="47" spans="4:20" x14ac:dyDescent="0.25">
      <c r="D47" s="147"/>
      <c r="E47" s="147"/>
      <c r="F47" s="147"/>
      <c r="G47" s="147"/>
      <c r="H47" s="147"/>
      <c r="I47" s="148"/>
      <c r="J47" s="148"/>
      <c r="K47" s="148"/>
      <c r="L47" s="149"/>
      <c r="M47" s="149"/>
      <c r="N47" s="148"/>
      <c r="O47" s="148"/>
      <c r="P47" s="147" t="str">
        <f t="shared" si="0"/>
        <v/>
      </c>
      <c r="T47" s="5">
        <v>10</v>
      </c>
    </row>
    <row r="48" spans="4:20" x14ac:dyDescent="0.25">
      <c r="D48" s="9" t="s">
        <v>422</v>
      </c>
      <c r="E48" s="9" t="s">
        <v>4</v>
      </c>
      <c r="F48" s="9" t="s">
        <v>9</v>
      </c>
      <c r="G48" s="9" t="s">
        <v>386</v>
      </c>
      <c r="H48" s="9" t="s">
        <v>462</v>
      </c>
      <c r="I48" s="15" t="s">
        <v>468</v>
      </c>
      <c r="J48" s="15" t="s">
        <v>186</v>
      </c>
      <c r="K48" s="15">
        <v>2</v>
      </c>
      <c r="L48" s="11" t="s">
        <v>182</v>
      </c>
      <c r="M48" s="11" t="s">
        <v>146</v>
      </c>
      <c r="N48" s="15">
        <v>2022</v>
      </c>
      <c r="O48" s="15">
        <v>2100</v>
      </c>
      <c r="P48" s="9" t="str">
        <f t="shared" si="0"/>
        <v>/Logistics/ConvT2BG1/Tassaout/Benguerir/WP2WP/NA/Conveyor/Rock/2/New/2022/2100</v>
      </c>
      <c r="T48" s="5">
        <v>2</v>
      </c>
    </row>
    <row r="49" spans="4:20" x14ac:dyDescent="0.25">
      <c r="D49" s="9" t="s">
        <v>423</v>
      </c>
      <c r="E49" s="9" t="s">
        <v>4</v>
      </c>
      <c r="F49" s="9" t="s">
        <v>9</v>
      </c>
      <c r="G49" s="9" t="s">
        <v>386</v>
      </c>
      <c r="H49" s="9" t="s">
        <v>462</v>
      </c>
      <c r="I49" s="15" t="s">
        <v>468</v>
      </c>
      <c r="J49" s="15" t="s">
        <v>186</v>
      </c>
      <c r="K49" s="15">
        <v>3</v>
      </c>
      <c r="L49" s="11" t="s">
        <v>182</v>
      </c>
      <c r="M49" s="11" t="s">
        <v>146</v>
      </c>
      <c r="N49" s="15">
        <v>2022</v>
      </c>
      <c r="O49" s="15">
        <v>2100</v>
      </c>
      <c r="P49" s="9" t="str">
        <f t="shared" si="0"/>
        <v>/Logistics/ConvT2BG2/Tassaout/Benguerir/WP2WP/NA/Conveyor/Rock/3/New/2022/2100</v>
      </c>
      <c r="T49" s="5">
        <v>3</v>
      </c>
    </row>
    <row r="50" spans="4:20" x14ac:dyDescent="0.25">
      <c r="D50" s="9" t="s">
        <v>424</v>
      </c>
      <c r="E50" s="9" t="s">
        <v>4</v>
      </c>
      <c r="F50" s="9" t="s">
        <v>9</v>
      </c>
      <c r="G50" s="9" t="s">
        <v>386</v>
      </c>
      <c r="H50" s="9" t="s">
        <v>462</v>
      </c>
      <c r="I50" s="15" t="s">
        <v>468</v>
      </c>
      <c r="J50" s="15" t="s">
        <v>186</v>
      </c>
      <c r="K50" s="15">
        <v>4</v>
      </c>
      <c r="L50" s="11" t="s">
        <v>182</v>
      </c>
      <c r="M50" s="11" t="s">
        <v>146</v>
      </c>
      <c r="N50" s="15">
        <v>2022</v>
      </c>
      <c r="O50" s="15">
        <v>2100</v>
      </c>
      <c r="P50" s="9" t="str">
        <f t="shared" si="0"/>
        <v>/Logistics/ConvT2BG3/Tassaout/Benguerir/WP2WP/NA/Conveyor/Rock/4/New/2022/2100</v>
      </c>
      <c r="T50" s="5">
        <v>4</v>
      </c>
    </row>
    <row r="51" spans="4:20" x14ac:dyDescent="0.25">
      <c r="D51" s="9" t="s">
        <v>425</v>
      </c>
      <c r="E51" s="9" t="s">
        <v>4</v>
      </c>
      <c r="F51" s="9" t="s">
        <v>9</v>
      </c>
      <c r="G51" s="9" t="s">
        <v>386</v>
      </c>
      <c r="H51" s="9" t="s">
        <v>462</v>
      </c>
      <c r="I51" s="15" t="s">
        <v>468</v>
      </c>
      <c r="J51" s="15" t="s">
        <v>186</v>
      </c>
      <c r="K51" s="15">
        <v>2</v>
      </c>
      <c r="L51" s="11" t="s">
        <v>182</v>
      </c>
      <c r="M51" s="11" t="s">
        <v>146</v>
      </c>
      <c r="N51" s="15">
        <v>2022</v>
      </c>
      <c r="O51" s="15">
        <v>2100</v>
      </c>
      <c r="P51" s="9" t="str">
        <f t="shared" si="0"/>
        <v>/Logistics/ConvT2BG4/Tassaout/Benguerir/WP2WP/NA/Conveyor/Rock/2/New/2022/2100</v>
      </c>
      <c r="T51" s="5">
        <v>2</v>
      </c>
    </row>
    <row r="52" spans="4:20" x14ac:dyDescent="0.25">
      <c r="D52" s="9" t="s">
        <v>426</v>
      </c>
      <c r="E52" s="9" t="s">
        <v>4</v>
      </c>
      <c r="F52" s="9" t="s">
        <v>9</v>
      </c>
      <c r="G52" s="9" t="s">
        <v>386</v>
      </c>
      <c r="H52" s="9" t="s">
        <v>462</v>
      </c>
      <c r="I52" s="15" t="s">
        <v>468</v>
      </c>
      <c r="J52" s="15" t="s">
        <v>186</v>
      </c>
      <c r="K52" s="15">
        <v>3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/Logistics/ConvT2BG5/Tassaout/Benguerir/WP2WP/NA/Conveyor/Rock/3/New/2022/2100</v>
      </c>
      <c r="T52" s="5">
        <v>3</v>
      </c>
    </row>
    <row r="53" spans="4:20" x14ac:dyDescent="0.25">
      <c r="D53" s="9" t="s">
        <v>427</v>
      </c>
      <c r="E53" s="9" t="s">
        <v>4</v>
      </c>
      <c r="F53" s="9" t="s">
        <v>9</v>
      </c>
      <c r="G53" s="9" t="s">
        <v>386</v>
      </c>
      <c r="H53" s="9" t="s">
        <v>462</v>
      </c>
      <c r="I53" s="15" t="s">
        <v>468</v>
      </c>
      <c r="J53" s="15" t="s">
        <v>186</v>
      </c>
      <c r="K53" s="15">
        <v>4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/Logistics/ConvT2BG6/Tassaout/Benguerir/WP2WP/NA/Conveyor/Rock/4/New/2022/2100</v>
      </c>
      <c r="T53" s="5">
        <v>4</v>
      </c>
    </row>
    <row r="54" spans="4:20" x14ac:dyDescent="0.25">
      <c r="D54" s="9" t="s">
        <v>428</v>
      </c>
      <c r="E54" s="9" t="s">
        <v>4</v>
      </c>
      <c r="F54" s="9" t="s">
        <v>9</v>
      </c>
      <c r="G54" s="9" t="s">
        <v>386</v>
      </c>
      <c r="H54" s="9" t="s">
        <v>462</v>
      </c>
      <c r="I54" s="15" t="s">
        <v>468</v>
      </c>
      <c r="J54" s="15" t="s">
        <v>186</v>
      </c>
      <c r="K54" s="15">
        <v>5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/Logistics/ConvT2BG7/Tassaout/Benguerir/WP2WP/NA/Conveyor/Rock/5/New/2022/2100</v>
      </c>
      <c r="T54" s="5">
        <v>5</v>
      </c>
    </row>
    <row r="55" spans="4:20" x14ac:dyDescent="0.25">
      <c r="D55" s="9" t="s">
        <v>429</v>
      </c>
      <c r="E55" s="9" t="s">
        <v>4</v>
      </c>
      <c r="F55" s="9" t="s">
        <v>9</v>
      </c>
      <c r="G55" s="9" t="s">
        <v>386</v>
      </c>
      <c r="H55" s="9" t="s">
        <v>462</v>
      </c>
      <c r="I55" s="15" t="s">
        <v>468</v>
      </c>
      <c r="J55" s="15" t="s">
        <v>186</v>
      </c>
      <c r="K55" s="15">
        <v>6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/Logistics/ConvT2BG8/Tassaout/Benguerir/WP2WP/NA/Conveyor/Rock/6/New/2022/2100</v>
      </c>
      <c r="T55" s="5">
        <v>6</v>
      </c>
    </row>
    <row r="56" spans="4:20" x14ac:dyDescent="0.25">
      <c r="D56" s="9" t="s">
        <v>430</v>
      </c>
      <c r="E56" s="9" t="s">
        <v>10</v>
      </c>
      <c r="F56" s="9" t="s">
        <v>9</v>
      </c>
      <c r="G56" s="9" t="s">
        <v>386</v>
      </c>
      <c r="H56" s="9" t="s">
        <v>462</v>
      </c>
      <c r="I56" s="15" t="s">
        <v>468</v>
      </c>
      <c r="J56" s="15" t="s">
        <v>186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/Logistics/ConvNz2BG1/Nzalat/Benguerir/WP2WP/NA/Conveyor/Rock/3/New/2022/2100</v>
      </c>
      <c r="T56" s="5">
        <v>3</v>
      </c>
    </row>
    <row r="57" spans="4:20" x14ac:dyDescent="0.25">
      <c r="D57" s="9" t="s">
        <v>431</v>
      </c>
      <c r="E57" s="9" t="s">
        <v>10</v>
      </c>
      <c r="F57" s="9" t="s">
        <v>9</v>
      </c>
      <c r="G57" s="9" t="s">
        <v>386</v>
      </c>
      <c r="H57" s="9" t="s">
        <v>462</v>
      </c>
      <c r="I57" s="15" t="s">
        <v>468</v>
      </c>
      <c r="J57" s="15" t="s">
        <v>186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/Logistics/ConvNz2BG2/Nzalat/Benguerir/WP2WP/NA/Conveyor/Rock/4/New/2022/2100</v>
      </c>
      <c r="T57" s="5">
        <v>4</v>
      </c>
    </row>
    <row r="58" spans="4:20" x14ac:dyDescent="0.25">
      <c r="D58" s="9" t="s">
        <v>432</v>
      </c>
      <c r="E58" s="9" t="s">
        <v>10</v>
      </c>
      <c r="F58" s="9" t="s">
        <v>9</v>
      </c>
      <c r="G58" s="9" t="s">
        <v>386</v>
      </c>
      <c r="H58" s="9" t="s">
        <v>462</v>
      </c>
      <c r="I58" s="15" t="s">
        <v>468</v>
      </c>
      <c r="J58" s="15" t="s">
        <v>186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/Logistics/ConvNz2BG3/Nzalat/Benguerir/WP2WP/NA/Conveyor/Rock/5/New/2022/2100</v>
      </c>
      <c r="T58" s="5">
        <v>5</v>
      </c>
    </row>
    <row r="59" spans="4:20" x14ac:dyDescent="0.25">
      <c r="D59" s="9" t="s">
        <v>433</v>
      </c>
      <c r="E59" s="9" t="s">
        <v>90</v>
      </c>
      <c r="F59" s="9" t="s">
        <v>3</v>
      </c>
      <c r="G59" s="9" t="s">
        <v>398</v>
      </c>
      <c r="H59" s="9" t="s">
        <v>462</v>
      </c>
      <c r="I59" s="15" t="s">
        <v>468</v>
      </c>
      <c r="J59" s="15" t="s">
        <v>186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/Logistics/ConvYfia2Mz1/Youssoufia/Mzinda/WP2PAP/NA/Conveyor/Rock/6/New/2022/2100</v>
      </c>
      <c r="T59" s="5">
        <v>6</v>
      </c>
    </row>
    <row r="60" spans="4:20" x14ac:dyDescent="0.25">
      <c r="D60" s="9" t="s">
        <v>434</v>
      </c>
      <c r="E60" s="9" t="s">
        <v>90</v>
      </c>
      <c r="F60" s="9" t="s">
        <v>3</v>
      </c>
      <c r="G60" s="9" t="s">
        <v>398</v>
      </c>
      <c r="H60" s="9" t="s">
        <v>462</v>
      </c>
      <c r="I60" s="15" t="s">
        <v>468</v>
      </c>
      <c r="J60" s="15" t="s">
        <v>186</v>
      </c>
      <c r="K60" s="15">
        <v>7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/Logistics/ConvYfia2Mz2/Youssoufia/Mzinda/WP2PAP/NA/Conveyor/Rock/7/New/2022/2100</v>
      </c>
      <c r="T60" s="5">
        <v>7</v>
      </c>
    </row>
    <row r="61" spans="4:20" x14ac:dyDescent="0.25">
      <c r="D61" s="9" t="s">
        <v>435</v>
      </c>
      <c r="E61" s="9" t="s">
        <v>90</v>
      </c>
      <c r="F61" s="9" t="s">
        <v>3</v>
      </c>
      <c r="G61" s="9" t="s">
        <v>398</v>
      </c>
      <c r="H61" s="9" t="s">
        <v>462</v>
      </c>
      <c r="I61" s="15" t="s">
        <v>468</v>
      </c>
      <c r="J61" s="15" t="s">
        <v>186</v>
      </c>
      <c r="K61" s="15">
        <v>8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/Logistics/ConvYfia2Mz3/Youssoufia/Mzinda/WP2PAP/NA/Conveyor/Rock/8/New/2022/2100</v>
      </c>
      <c r="T61" s="5">
        <v>8</v>
      </c>
    </row>
    <row r="62" spans="4:20" x14ac:dyDescent="0.25">
      <c r="D62" s="9" t="s">
        <v>436</v>
      </c>
      <c r="E62" s="9" t="s">
        <v>90</v>
      </c>
      <c r="F62" s="9" t="s">
        <v>3</v>
      </c>
      <c r="G62" s="9" t="s">
        <v>398</v>
      </c>
      <c r="H62" s="9" t="s">
        <v>462</v>
      </c>
      <c r="I62" s="15" t="s">
        <v>468</v>
      </c>
      <c r="J62" s="15" t="s">
        <v>186</v>
      </c>
      <c r="K62" s="15">
        <v>9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/Logistics/ConvYfia2Mz4/Youssoufia/Mzinda/WP2PAP/NA/Conveyor/Rock/9/New/2022/2100</v>
      </c>
      <c r="T62" s="5">
        <v>9</v>
      </c>
    </row>
    <row r="63" spans="4:20" x14ac:dyDescent="0.25">
      <c r="D63" s="9" t="s">
        <v>437</v>
      </c>
      <c r="E63" s="9" t="s">
        <v>90</v>
      </c>
      <c r="F63" s="9" t="s">
        <v>3</v>
      </c>
      <c r="G63" s="9" t="s">
        <v>398</v>
      </c>
      <c r="H63" s="9" t="s">
        <v>462</v>
      </c>
      <c r="I63" s="15" t="s">
        <v>468</v>
      </c>
      <c r="J63" s="15" t="s">
        <v>186</v>
      </c>
      <c r="K63" s="15">
        <v>3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/Logistics/ConvYfia2Mz5/Youssoufia/Mzinda/WP2PAP/NA/Conveyor/Rock/3/New/2022/2100</v>
      </c>
      <c r="T63" s="5">
        <v>3</v>
      </c>
    </row>
    <row r="64" spans="4:20" x14ac:dyDescent="0.25">
      <c r="D64" s="9" t="s">
        <v>438</v>
      </c>
      <c r="E64" s="9" t="s">
        <v>9</v>
      </c>
      <c r="F64" s="9" t="s">
        <v>90</v>
      </c>
      <c r="G64" s="9" t="s">
        <v>386</v>
      </c>
      <c r="H64" s="9" t="s">
        <v>462</v>
      </c>
      <c r="I64" s="15" t="s">
        <v>468</v>
      </c>
      <c r="J64" s="15" t="s">
        <v>186</v>
      </c>
      <c r="K64" s="15">
        <v>4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/Logistics/ConvBG2Yfia1/Benguerir/Youssoufia/WP2WP/NA/Conveyor/Rock/4/New/2022/2100</v>
      </c>
      <c r="T64" s="5">
        <v>4</v>
      </c>
    </row>
    <row r="65" spans="4:20" x14ac:dyDescent="0.25">
      <c r="D65" s="9" t="s">
        <v>439</v>
      </c>
      <c r="E65" s="9" t="s">
        <v>9</v>
      </c>
      <c r="F65" s="9" t="s">
        <v>90</v>
      </c>
      <c r="G65" s="9" t="s">
        <v>386</v>
      </c>
      <c r="H65" s="9" t="s">
        <v>462</v>
      </c>
      <c r="I65" s="15" t="s">
        <v>468</v>
      </c>
      <c r="J65" s="15" t="s">
        <v>186</v>
      </c>
      <c r="K65" s="15">
        <v>5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/Logistics/ConvBG2Yfia2/Benguerir/Youssoufia/WP2WP/NA/Conveyor/Rock/5/New/2022/2100</v>
      </c>
      <c r="T65" s="5">
        <v>5</v>
      </c>
    </row>
    <row r="66" spans="4:20" x14ac:dyDescent="0.25">
      <c r="D66" s="9" t="s">
        <v>440</v>
      </c>
      <c r="E66" s="9" t="s">
        <v>9</v>
      </c>
      <c r="F66" s="9" t="s">
        <v>90</v>
      </c>
      <c r="G66" s="9" t="s">
        <v>386</v>
      </c>
      <c r="H66" s="9" t="s">
        <v>462</v>
      </c>
      <c r="I66" s="15" t="s">
        <v>468</v>
      </c>
      <c r="J66" s="15" t="s">
        <v>186</v>
      </c>
      <c r="K66" s="15">
        <v>6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/Logistics/ConvBG2Yfia3/Benguerir/Youssoufia/WP2WP/NA/Conveyor/Rock/6/New/2022/2100</v>
      </c>
      <c r="T66" s="5">
        <v>6</v>
      </c>
    </row>
    <row r="67" spans="4:20" x14ac:dyDescent="0.25">
      <c r="D67" s="9" t="s">
        <v>441</v>
      </c>
      <c r="E67" s="9" t="s">
        <v>9</v>
      </c>
      <c r="F67" s="9" t="s">
        <v>90</v>
      </c>
      <c r="G67" s="9" t="s">
        <v>386</v>
      </c>
      <c r="H67" s="9" t="s">
        <v>462</v>
      </c>
      <c r="I67" s="15" t="s">
        <v>468</v>
      </c>
      <c r="J67" s="15" t="s">
        <v>186</v>
      </c>
      <c r="K67" s="15">
        <v>7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/Logistics/ConvBG2Yfia4/Benguerir/Youssoufia/WP2WP/NA/Conveyor/Rock/7/New/2022/2100</v>
      </c>
      <c r="T67" s="5">
        <v>7</v>
      </c>
    </row>
    <row r="68" spans="4:20" x14ac:dyDescent="0.25">
      <c r="D68" s="9" t="s">
        <v>442</v>
      </c>
      <c r="E68" s="9" t="s">
        <v>9</v>
      </c>
      <c r="F68" s="9" t="s">
        <v>90</v>
      </c>
      <c r="G68" s="9" t="s">
        <v>386</v>
      </c>
      <c r="H68" s="9" t="s">
        <v>462</v>
      </c>
      <c r="I68" s="15" t="s">
        <v>468</v>
      </c>
      <c r="J68" s="15" t="s">
        <v>186</v>
      </c>
      <c r="K68" s="15">
        <v>8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/Logistics/ConvBG2Yfia5/Benguerir/Youssoufia/WP2WP/NA/Conveyor/Rock/8/New/2022/2100</v>
      </c>
      <c r="T68" s="5">
        <v>8</v>
      </c>
    </row>
    <row r="69" spans="4:20" x14ac:dyDescent="0.25">
      <c r="D69" s="9" t="s">
        <v>443</v>
      </c>
      <c r="E69" s="9" t="s">
        <v>9</v>
      </c>
      <c r="F69" s="9" t="s">
        <v>90</v>
      </c>
      <c r="G69" s="9" t="s">
        <v>386</v>
      </c>
      <c r="H69" s="9" t="s">
        <v>462</v>
      </c>
      <c r="I69" s="15" t="s">
        <v>468</v>
      </c>
      <c r="J69" s="15" t="s">
        <v>186</v>
      </c>
      <c r="K69" s="15">
        <v>9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/Logistics/ConvBG2Yfia6/Benguerir/Youssoufia/WP2WP/NA/Conveyor/Rock/9/New/2022/2100</v>
      </c>
      <c r="T69" s="5">
        <v>9</v>
      </c>
    </row>
    <row r="70" spans="4:20" x14ac:dyDescent="0.25">
      <c r="D70" s="9" t="s">
        <v>444</v>
      </c>
      <c r="E70" s="9" t="s">
        <v>9</v>
      </c>
      <c r="F70" s="9" t="s">
        <v>90</v>
      </c>
      <c r="G70" s="9" t="s">
        <v>386</v>
      </c>
      <c r="H70" s="9" t="s">
        <v>462</v>
      </c>
      <c r="I70" s="15" t="s">
        <v>468</v>
      </c>
      <c r="J70" s="15" t="s">
        <v>186</v>
      </c>
      <c r="K70" s="15">
        <v>2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ref="P70:P82" si="1">IF(E70="","","/Logistics/"&amp;CONCATENATE(D70,"/",E70,"/",F70,"/",G70,"/",H70,"/",I70,"/",J70,"/",K70,"/",M70,"/",N70,"/",O70))</f>
        <v>/Logistics/ConvBG2Yfia7/Benguerir/Youssoufia/WP2WP/NA/Conveyor/Rock/2/New/2022/2100</v>
      </c>
      <c r="T70" s="5">
        <v>2</v>
      </c>
    </row>
    <row r="71" spans="4:20" x14ac:dyDescent="0.25">
      <c r="D71" s="9" t="s">
        <v>445</v>
      </c>
      <c r="E71" s="9" t="s">
        <v>9</v>
      </c>
      <c r="F71" s="9" t="s">
        <v>3</v>
      </c>
      <c r="G71" s="9" t="s">
        <v>398</v>
      </c>
      <c r="H71" s="9" t="s">
        <v>462</v>
      </c>
      <c r="I71" s="15" t="s">
        <v>468</v>
      </c>
      <c r="J71" s="15" t="s">
        <v>186</v>
      </c>
      <c r="K71" s="15">
        <v>3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1"/>
        <v>/Logistics/ConvBG2Mz1/Benguerir/Mzinda/WP2PAP/NA/Conveyor/Rock/3/New/2022/2100</v>
      </c>
      <c r="T71" s="5">
        <v>3</v>
      </c>
    </row>
    <row r="72" spans="4:20" x14ac:dyDescent="0.25">
      <c r="D72" s="9" t="s">
        <v>446</v>
      </c>
      <c r="E72" s="9" t="s">
        <v>9</v>
      </c>
      <c r="F72" s="9" t="s">
        <v>3</v>
      </c>
      <c r="G72" s="9" t="s">
        <v>398</v>
      </c>
      <c r="H72" s="9" t="s">
        <v>462</v>
      </c>
      <c r="I72" s="15" t="s">
        <v>468</v>
      </c>
      <c r="J72" s="15" t="s">
        <v>186</v>
      </c>
      <c r="K72" s="15">
        <v>4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1"/>
        <v>/Logistics/ConvBG2Mz2/Benguerir/Mzinda/WP2PAP/NA/Conveyor/Rock/4/New/2022/2100</v>
      </c>
      <c r="T72" s="5">
        <v>4</v>
      </c>
    </row>
    <row r="73" spans="4:20" x14ac:dyDescent="0.25">
      <c r="D73" s="9" t="s">
        <v>447</v>
      </c>
      <c r="E73" s="9" t="s">
        <v>9</v>
      </c>
      <c r="F73" s="9" t="s">
        <v>3</v>
      </c>
      <c r="G73" s="9" t="s">
        <v>398</v>
      </c>
      <c r="H73" s="9" t="s">
        <v>462</v>
      </c>
      <c r="I73" s="15" t="s">
        <v>468</v>
      </c>
      <c r="J73" s="15" t="s">
        <v>186</v>
      </c>
      <c r="K73" s="15">
        <v>5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1"/>
        <v>/Logistics/ConvBG2Mz3/Benguerir/Mzinda/WP2PAP/NA/Conveyor/Rock/5/New/2022/2100</v>
      </c>
      <c r="T73" s="5">
        <v>5</v>
      </c>
    </row>
    <row r="74" spans="4:20" ht="15.75" thickBot="1" x14ac:dyDescent="0.3">
      <c r="D74" s="10" t="s">
        <v>448</v>
      </c>
      <c r="E74" s="10" t="s">
        <v>9</v>
      </c>
      <c r="F74" s="10" t="s">
        <v>3</v>
      </c>
      <c r="G74" s="10" t="s">
        <v>398</v>
      </c>
      <c r="H74" s="9" t="s">
        <v>462</v>
      </c>
      <c r="I74" s="16" t="s">
        <v>468</v>
      </c>
      <c r="J74" s="16" t="s">
        <v>186</v>
      </c>
      <c r="K74" s="16">
        <v>6</v>
      </c>
      <c r="L74" s="12" t="s">
        <v>182</v>
      </c>
      <c r="M74" s="12" t="s">
        <v>146</v>
      </c>
      <c r="N74" s="16">
        <v>2022</v>
      </c>
      <c r="O74" s="16">
        <v>2100</v>
      </c>
      <c r="P74" s="10" t="str">
        <f t="shared" si="1"/>
        <v>/Logistics/ConvBG2Mz4/Benguerir/Mzinda/WP2PAP/NA/Conveyor/Rock/6/New/2022/2100</v>
      </c>
      <c r="T74" s="5">
        <v>6</v>
      </c>
    </row>
    <row r="75" spans="4:20" x14ac:dyDescent="0.25">
      <c r="D75" s="5" t="s">
        <v>449</v>
      </c>
      <c r="E75" s="5" t="s">
        <v>9</v>
      </c>
      <c r="F75" s="5" t="s">
        <v>3</v>
      </c>
      <c r="G75" s="5" t="s">
        <v>398</v>
      </c>
      <c r="H75" s="9" t="s">
        <v>462</v>
      </c>
      <c r="I75" s="5" t="s">
        <v>468</v>
      </c>
      <c r="J75" s="5" t="s">
        <v>186</v>
      </c>
      <c r="K75" s="5">
        <v>0</v>
      </c>
      <c r="L75" s="5" t="s">
        <v>182</v>
      </c>
      <c r="M75" s="5" t="s">
        <v>146</v>
      </c>
      <c r="N75" s="5">
        <v>2022</v>
      </c>
      <c r="O75" s="5">
        <v>2100</v>
      </c>
      <c r="P75" s="5" t="str">
        <f t="shared" si="1"/>
        <v>/Logistics/ConvBG2Mz5/Benguerir/Mzinda/WP2PAP/NA/Conveyor/Rock/0/New/2022/2100</v>
      </c>
    </row>
    <row r="76" spans="4:20" x14ac:dyDescent="0.25">
      <c r="D76" s="5" t="s">
        <v>450</v>
      </c>
      <c r="E76" s="5" t="s">
        <v>9</v>
      </c>
      <c r="F76" s="5" t="s">
        <v>3</v>
      </c>
      <c r="G76" s="5" t="s">
        <v>398</v>
      </c>
      <c r="H76" s="9" t="s">
        <v>462</v>
      </c>
      <c r="I76" s="5" t="s">
        <v>468</v>
      </c>
      <c r="J76" s="5" t="s">
        <v>186</v>
      </c>
      <c r="K76" s="5">
        <v>0</v>
      </c>
      <c r="L76" s="5" t="s">
        <v>182</v>
      </c>
      <c r="M76" s="5" t="s">
        <v>146</v>
      </c>
      <c r="N76" s="5">
        <v>2022</v>
      </c>
      <c r="O76" s="5">
        <v>2100</v>
      </c>
      <c r="P76" s="5" t="str">
        <f t="shared" si="1"/>
        <v>/Logistics/ConvBG2Mz6/Benguerir/Mzinda/WP2PAP/NA/Conveyor/Rock/0/New/2022/2100</v>
      </c>
    </row>
    <row r="77" spans="4:20" x14ac:dyDescent="0.25">
      <c r="D77" s="5" t="s">
        <v>451</v>
      </c>
      <c r="E77" s="5" t="s">
        <v>9</v>
      </c>
      <c r="F77" s="5" t="s">
        <v>3</v>
      </c>
      <c r="G77" s="5" t="s">
        <v>398</v>
      </c>
      <c r="H77" s="9" t="s">
        <v>462</v>
      </c>
      <c r="I77" s="5" t="s">
        <v>468</v>
      </c>
      <c r="J77" s="5" t="s">
        <v>186</v>
      </c>
      <c r="K77" s="5">
        <v>0</v>
      </c>
      <c r="L77" s="5" t="s">
        <v>182</v>
      </c>
      <c r="M77" s="5" t="s">
        <v>146</v>
      </c>
      <c r="N77" s="5">
        <v>2022</v>
      </c>
      <c r="O77" s="5">
        <v>2100</v>
      </c>
      <c r="P77" s="5" t="str">
        <f t="shared" si="1"/>
        <v>/Logistics/ConvBG2Mz7/Benguerir/Mzinda/WP2PAP/NA/Conveyor/Rock/0/New/2022/2100</v>
      </c>
    </row>
    <row r="78" spans="4:20" x14ac:dyDescent="0.25">
      <c r="D78" s="5" t="s">
        <v>452</v>
      </c>
      <c r="E78" s="5" t="s">
        <v>90</v>
      </c>
      <c r="F78" s="5" t="s">
        <v>26</v>
      </c>
      <c r="G78" s="5" t="s">
        <v>398</v>
      </c>
      <c r="H78" s="9" t="s">
        <v>462</v>
      </c>
      <c r="I78" s="5" t="s">
        <v>468</v>
      </c>
      <c r="J78" s="5" t="s">
        <v>186</v>
      </c>
      <c r="K78" s="5">
        <v>0</v>
      </c>
      <c r="L78" s="5" t="s">
        <v>182</v>
      </c>
      <c r="M78" s="5" t="s">
        <v>146</v>
      </c>
      <c r="N78" s="5">
        <v>2022</v>
      </c>
      <c r="O78" s="5">
        <v>2100</v>
      </c>
      <c r="P78" s="5" t="str">
        <f t="shared" si="1"/>
        <v>/Logistics/ConvYfia2Safi1/Youssoufia/Safi/WP2PAP/NA/Conveyor/Rock/0/New/2022/2100</v>
      </c>
    </row>
    <row r="79" spans="4:20" x14ac:dyDescent="0.25">
      <c r="D79" s="5" t="s">
        <v>453</v>
      </c>
      <c r="E79" s="5" t="s">
        <v>90</v>
      </c>
      <c r="F79" s="5" t="s">
        <v>26</v>
      </c>
      <c r="G79" s="5" t="s">
        <v>398</v>
      </c>
      <c r="H79" s="9" t="s">
        <v>462</v>
      </c>
      <c r="I79" s="5" t="s">
        <v>468</v>
      </c>
      <c r="J79" s="5" t="s">
        <v>186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/Logistics/ConvYfia2Safi2/Youssoufia/Safi/WP2PAP/NA/Conveyor/Rock/0/New/2022/2100</v>
      </c>
    </row>
    <row r="80" spans="4:20" x14ac:dyDescent="0.25">
      <c r="D80" s="5" t="s">
        <v>454</v>
      </c>
      <c r="E80" s="5" t="s">
        <v>90</v>
      </c>
      <c r="F80" s="5" t="s">
        <v>26</v>
      </c>
      <c r="G80" s="5" t="s">
        <v>398</v>
      </c>
      <c r="H80" s="9" t="s">
        <v>462</v>
      </c>
      <c r="I80" s="5" t="s">
        <v>468</v>
      </c>
      <c r="J80" s="5" t="s">
        <v>186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/Logistics/ConvYfia2Safi3/Youssoufia/Safi/WP2PAP/NA/Conveyor/Rock/0/New/2022/2100</v>
      </c>
    </row>
    <row r="81" spans="4:16" x14ac:dyDescent="0.25">
      <c r="D81" s="5" t="s">
        <v>455</v>
      </c>
      <c r="E81" s="5" t="s">
        <v>90</v>
      </c>
      <c r="F81" s="5" t="s">
        <v>26</v>
      </c>
      <c r="G81" s="5" t="s">
        <v>398</v>
      </c>
      <c r="H81" s="9" t="s">
        <v>462</v>
      </c>
      <c r="I81" s="5" t="s">
        <v>468</v>
      </c>
      <c r="J81" s="5" t="s">
        <v>186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/Logistics/ConvYfia2Safi4/Youssoufia/Safi/WP2PAP/NA/Conveyor/Rock/0/New/2022/2100</v>
      </c>
    </row>
    <row r="82" spans="4:16" ht="15.75" thickBot="1" x14ac:dyDescent="0.3">
      <c r="D82" s="5" t="s">
        <v>456</v>
      </c>
      <c r="E82" s="5" t="s">
        <v>90</v>
      </c>
      <c r="F82" s="5" t="s">
        <v>26</v>
      </c>
      <c r="G82" s="5" t="s">
        <v>398</v>
      </c>
      <c r="H82" s="10" t="s">
        <v>462</v>
      </c>
      <c r="I82" s="5" t="s">
        <v>468</v>
      </c>
      <c r="J82" s="5" t="s">
        <v>186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/Logistics/ConvYfia2Safi5/Youssoufia/Safi/WP2PAP/NA/Conveyor/Rock/0/New/2022/2100</v>
      </c>
    </row>
  </sheetData>
  <dataValidations count="6">
    <dataValidation type="list" allowBlank="1" showInputMessage="1" showErrorMessage="1" sqref="I5:I82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L5:L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  <dataValidation type="list" allowBlank="1" showInputMessage="1" showErrorMessage="1" sqref="H5:H82">
      <formula1>"Mzinda,Safi,NA"</formula1>
    </dataValidation>
    <dataValidation type="list" allowBlank="1" showInputMessage="1" showErrorMessage="1" sqref="M5:M82">
      <formula1>"Exist,New"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J5:J74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2"/>
  <sheetViews>
    <sheetView workbookViewId="0">
      <selection activeCell="L1" sqref="L1:V1048576"/>
    </sheetView>
  </sheetViews>
  <sheetFormatPr baseColWidth="10" defaultColWidth="11.5703125" defaultRowHeight="15" x14ac:dyDescent="0.25"/>
  <cols>
    <col min="1" max="3" width="3.85546875" style="5" customWidth="1"/>
    <col min="4" max="10" width="15.85546875" style="5" customWidth="1"/>
    <col min="11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271</v>
      </c>
    </row>
    <row r="3" spans="2:21" ht="15.75" thickBot="1" x14ac:dyDescent="0.3">
      <c r="D3" s="38" t="str">
        <f>JESA_UploadTable(B1, D4:U82,db)</f>
        <v>Logistics opex @17:32:56</v>
      </c>
    </row>
    <row r="4" spans="2:21" ht="30" customHeight="1" thickBot="1" x14ac:dyDescent="0.3">
      <c r="D4" s="92" t="s">
        <v>267</v>
      </c>
      <c r="E4" s="92" t="s">
        <v>268</v>
      </c>
      <c r="F4" s="92" t="s">
        <v>269</v>
      </c>
      <c r="G4" s="92" t="s">
        <v>24</v>
      </c>
      <c r="H4" s="92" t="s">
        <v>270</v>
      </c>
      <c r="I4" s="92" t="s">
        <v>12</v>
      </c>
      <c r="J4" s="92" t="s">
        <v>17</v>
      </c>
      <c r="K4" s="93" t="s">
        <v>37</v>
      </c>
      <c r="L4" s="93" t="s">
        <v>38</v>
      </c>
      <c r="M4" s="93" t="s">
        <v>39</v>
      </c>
      <c r="N4" s="93" t="s">
        <v>40</v>
      </c>
      <c r="O4" s="93" t="s">
        <v>41</v>
      </c>
      <c r="P4" s="93" t="s">
        <v>42</v>
      </c>
      <c r="Q4" s="93" t="s">
        <v>43</v>
      </c>
      <c r="R4" s="93" t="s">
        <v>44</v>
      </c>
      <c r="S4" s="93" t="s">
        <v>45</v>
      </c>
      <c r="T4" s="93" t="s">
        <v>46</v>
      </c>
      <c r="U4" s="93" t="s">
        <v>47</v>
      </c>
    </row>
    <row r="5" spans="2:21" x14ac:dyDescent="0.25">
      <c r="D5" s="8" t="s">
        <v>4</v>
      </c>
      <c r="E5" s="8" t="s">
        <v>9</v>
      </c>
      <c r="F5" s="14" t="s">
        <v>258</v>
      </c>
      <c r="G5" s="14" t="s">
        <v>186</v>
      </c>
      <c r="H5" s="14">
        <v>3</v>
      </c>
      <c r="I5" s="8" t="s">
        <v>22</v>
      </c>
      <c r="J5" s="15" t="s">
        <v>377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25">
      <c r="D6" s="9" t="s">
        <v>4</v>
      </c>
      <c r="E6" s="9" t="s">
        <v>9</v>
      </c>
      <c r="F6" s="15" t="s">
        <v>258</v>
      </c>
      <c r="G6" s="15" t="s">
        <v>186</v>
      </c>
      <c r="H6" s="15">
        <v>4</v>
      </c>
      <c r="I6" s="9" t="s">
        <v>22</v>
      </c>
      <c r="J6" s="15" t="s">
        <v>377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25">
      <c r="D7" s="9" t="s">
        <v>4</v>
      </c>
      <c r="E7" s="9" t="s">
        <v>9</v>
      </c>
      <c r="F7" s="15" t="s">
        <v>258</v>
      </c>
      <c r="G7" s="15" t="s">
        <v>186</v>
      </c>
      <c r="H7" s="15">
        <v>5</v>
      </c>
      <c r="I7" s="9" t="s">
        <v>22</v>
      </c>
      <c r="J7" s="15" t="s">
        <v>377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25">
      <c r="D8" s="9" t="s">
        <v>4</v>
      </c>
      <c r="E8" s="9" t="s">
        <v>9</v>
      </c>
      <c r="F8" s="15" t="s">
        <v>258</v>
      </c>
      <c r="G8" s="15" t="s">
        <v>186</v>
      </c>
      <c r="H8" s="15">
        <v>6</v>
      </c>
      <c r="I8" s="9" t="s">
        <v>22</v>
      </c>
      <c r="J8" s="15" t="s">
        <v>377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25">
      <c r="D9" s="9" t="s">
        <v>4</v>
      </c>
      <c r="E9" s="9" t="s">
        <v>9</v>
      </c>
      <c r="F9" s="15" t="s">
        <v>258</v>
      </c>
      <c r="G9" s="15" t="s">
        <v>186</v>
      </c>
      <c r="H9" s="15">
        <v>7</v>
      </c>
      <c r="I9" s="9" t="s">
        <v>22</v>
      </c>
      <c r="J9" s="15" t="s">
        <v>377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25">
      <c r="D10" s="9" t="s">
        <v>4</v>
      </c>
      <c r="E10" s="9" t="s">
        <v>9</v>
      </c>
      <c r="F10" s="15" t="s">
        <v>258</v>
      </c>
      <c r="G10" s="15" t="s">
        <v>186</v>
      </c>
      <c r="H10" s="15">
        <v>8</v>
      </c>
      <c r="I10" s="9" t="s">
        <v>22</v>
      </c>
      <c r="J10" s="15" t="s">
        <v>377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25">
      <c r="D11" s="9" t="s">
        <v>4</v>
      </c>
      <c r="E11" s="9" t="s">
        <v>9</v>
      </c>
      <c r="F11" s="15" t="s">
        <v>258</v>
      </c>
      <c r="G11" s="15" t="s">
        <v>186</v>
      </c>
      <c r="H11" s="15">
        <v>9</v>
      </c>
      <c r="I11" s="9" t="s">
        <v>22</v>
      </c>
      <c r="J11" s="15" t="s">
        <v>377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25">
      <c r="D12" s="9" t="s">
        <v>4</v>
      </c>
      <c r="E12" s="9" t="s">
        <v>9</v>
      </c>
      <c r="F12" s="15" t="s">
        <v>258</v>
      </c>
      <c r="G12" s="15" t="s">
        <v>186</v>
      </c>
      <c r="H12" s="15">
        <v>10</v>
      </c>
      <c r="I12" s="9" t="s">
        <v>22</v>
      </c>
      <c r="J12" s="15" t="s">
        <v>377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25">
      <c r="D13" s="9" t="s">
        <v>10</v>
      </c>
      <c r="E13" s="9" t="s">
        <v>9</v>
      </c>
      <c r="F13" s="15" t="s">
        <v>258</v>
      </c>
      <c r="G13" s="15" t="s">
        <v>186</v>
      </c>
      <c r="H13" s="15">
        <v>2</v>
      </c>
      <c r="I13" s="9" t="s">
        <v>22</v>
      </c>
      <c r="J13" s="15" t="s">
        <v>377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25">
      <c r="D14" s="9" t="s">
        <v>10</v>
      </c>
      <c r="E14" s="9" t="s">
        <v>9</v>
      </c>
      <c r="F14" s="15" t="s">
        <v>258</v>
      </c>
      <c r="G14" s="15" t="s">
        <v>186</v>
      </c>
      <c r="H14" s="15">
        <v>4</v>
      </c>
      <c r="I14" s="9" t="s">
        <v>22</v>
      </c>
      <c r="J14" s="15" t="s">
        <v>377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25">
      <c r="D15" s="9" t="s">
        <v>10</v>
      </c>
      <c r="E15" s="9" t="s">
        <v>9</v>
      </c>
      <c r="F15" s="15" t="s">
        <v>258</v>
      </c>
      <c r="G15" s="15" t="s">
        <v>186</v>
      </c>
      <c r="H15" s="15">
        <v>6</v>
      </c>
      <c r="I15" s="9" t="s">
        <v>22</v>
      </c>
      <c r="J15" s="15" t="s">
        <v>377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25">
      <c r="D16" s="9" t="s">
        <v>90</v>
      </c>
      <c r="E16" s="9" t="s">
        <v>3</v>
      </c>
      <c r="F16" s="15" t="s">
        <v>258</v>
      </c>
      <c r="G16" s="15" t="s">
        <v>186</v>
      </c>
      <c r="H16" s="15">
        <v>2</v>
      </c>
      <c r="I16" s="9" t="s">
        <v>22</v>
      </c>
      <c r="J16" s="15" t="s">
        <v>377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25">
      <c r="D17" s="9" t="s">
        <v>90</v>
      </c>
      <c r="E17" s="9" t="s">
        <v>3</v>
      </c>
      <c r="F17" s="15" t="s">
        <v>258</v>
      </c>
      <c r="G17" s="15" t="s">
        <v>186</v>
      </c>
      <c r="H17" s="15">
        <v>3</v>
      </c>
      <c r="I17" s="9" t="s">
        <v>22</v>
      </c>
      <c r="J17" s="15" t="s">
        <v>377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25">
      <c r="D18" s="9" t="s">
        <v>90</v>
      </c>
      <c r="E18" s="9" t="s">
        <v>3</v>
      </c>
      <c r="F18" s="15" t="s">
        <v>258</v>
      </c>
      <c r="G18" s="15" t="s">
        <v>186</v>
      </c>
      <c r="H18" s="15">
        <v>4</v>
      </c>
      <c r="I18" s="9" t="s">
        <v>22</v>
      </c>
      <c r="J18" s="15" t="s">
        <v>377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25">
      <c r="D19" s="9" t="s">
        <v>90</v>
      </c>
      <c r="E19" s="9" t="s">
        <v>3</v>
      </c>
      <c r="F19" s="15" t="s">
        <v>258</v>
      </c>
      <c r="G19" s="15" t="s">
        <v>186</v>
      </c>
      <c r="H19" s="15">
        <v>5</v>
      </c>
      <c r="I19" s="9" t="s">
        <v>22</v>
      </c>
      <c r="J19" s="15" t="s">
        <v>377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25">
      <c r="D20" s="9" t="s">
        <v>90</v>
      </c>
      <c r="E20" s="9" t="s">
        <v>3</v>
      </c>
      <c r="F20" s="15" t="s">
        <v>258</v>
      </c>
      <c r="G20" s="15" t="s">
        <v>186</v>
      </c>
      <c r="H20" s="15">
        <v>6</v>
      </c>
      <c r="I20" s="9" t="s">
        <v>22</v>
      </c>
      <c r="J20" s="15" t="s">
        <v>377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25">
      <c r="D21" s="9" t="s">
        <v>9</v>
      </c>
      <c r="E21" s="9" t="s">
        <v>90</v>
      </c>
      <c r="F21" s="15" t="s">
        <v>258</v>
      </c>
      <c r="G21" s="15" t="s">
        <v>186</v>
      </c>
      <c r="H21" s="15">
        <v>3</v>
      </c>
      <c r="I21" s="9" t="s">
        <v>22</v>
      </c>
      <c r="J21" s="15" t="s">
        <v>377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25">
      <c r="D22" s="9" t="s">
        <v>9</v>
      </c>
      <c r="E22" s="9" t="s">
        <v>90</v>
      </c>
      <c r="F22" s="15" t="s">
        <v>258</v>
      </c>
      <c r="G22" s="15" t="s">
        <v>186</v>
      </c>
      <c r="H22" s="15">
        <v>4</v>
      </c>
      <c r="I22" s="9" t="s">
        <v>22</v>
      </c>
      <c r="J22" s="15" t="s">
        <v>377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25">
      <c r="D23" s="9" t="s">
        <v>9</v>
      </c>
      <c r="E23" s="9" t="s">
        <v>90</v>
      </c>
      <c r="F23" s="15" t="s">
        <v>258</v>
      </c>
      <c r="G23" s="15" t="s">
        <v>186</v>
      </c>
      <c r="H23" s="15">
        <v>5</v>
      </c>
      <c r="I23" s="9" t="s">
        <v>22</v>
      </c>
      <c r="J23" s="15" t="s">
        <v>377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25">
      <c r="D24" s="9" t="s">
        <v>9</v>
      </c>
      <c r="E24" s="9" t="s">
        <v>90</v>
      </c>
      <c r="F24" s="15" t="s">
        <v>258</v>
      </c>
      <c r="G24" s="15" t="s">
        <v>186</v>
      </c>
      <c r="H24" s="15">
        <v>6</v>
      </c>
      <c r="I24" s="9" t="s">
        <v>22</v>
      </c>
      <c r="J24" s="15" t="s">
        <v>377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25">
      <c r="D25" s="9" t="s">
        <v>9</v>
      </c>
      <c r="E25" s="9" t="s">
        <v>90</v>
      </c>
      <c r="F25" s="15" t="s">
        <v>258</v>
      </c>
      <c r="G25" s="15" t="s">
        <v>186</v>
      </c>
      <c r="H25" s="15">
        <v>7</v>
      </c>
      <c r="I25" s="9" t="s">
        <v>22</v>
      </c>
      <c r="J25" s="15" t="s">
        <v>377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25">
      <c r="D26" s="9" t="s">
        <v>9</v>
      </c>
      <c r="E26" s="9" t="s">
        <v>90</v>
      </c>
      <c r="F26" s="15" t="s">
        <v>258</v>
      </c>
      <c r="G26" s="15" t="s">
        <v>186</v>
      </c>
      <c r="H26" s="15">
        <v>8</v>
      </c>
      <c r="I26" s="9" t="s">
        <v>22</v>
      </c>
      <c r="J26" s="15" t="s">
        <v>377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25">
      <c r="D27" s="9" t="s">
        <v>9</v>
      </c>
      <c r="E27" s="9" t="s">
        <v>90</v>
      </c>
      <c r="F27" s="15" t="s">
        <v>258</v>
      </c>
      <c r="G27" s="15" t="s">
        <v>186</v>
      </c>
      <c r="H27" s="15">
        <v>9</v>
      </c>
      <c r="I27" s="9" t="s">
        <v>22</v>
      </c>
      <c r="J27" s="15" t="s">
        <v>377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25">
      <c r="D28" s="9" t="s">
        <v>9</v>
      </c>
      <c r="E28" s="9" t="s">
        <v>3</v>
      </c>
      <c r="F28" s="15" t="s">
        <v>258</v>
      </c>
      <c r="G28" s="15" t="s">
        <v>186</v>
      </c>
      <c r="H28" s="15">
        <v>3</v>
      </c>
      <c r="I28" s="9" t="s">
        <v>22</v>
      </c>
      <c r="J28" s="15" t="s">
        <v>377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25">
      <c r="D29" s="9" t="s">
        <v>9</v>
      </c>
      <c r="E29" s="9" t="s">
        <v>3</v>
      </c>
      <c r="F29" s="15" t="s">
        <v>258</v>
      </c>
      <c r="G29" s="15" t="s">
        <v>186</v>
      </c>
      <c r="H29" s="15">
        <v>4</v>
      </c>
      <c r="I29" s="9" t="s">
        <v>22</v>
      </c>
      <c r="J29" s="15" t="s">
        <v>377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25">
      <c r="D30" s="9" t="s">
        <v>9</v>
      </c>
      <c r="E30" s="9" t="s">
        <v>3</v>
      </c>
      <c r="F30" s="15" t="s">
        <v>258</v>
      </c>
      <c r="G30" s="15" t="s">
        <v>186</v>
      </c>
      <c r="H30" s="15">
        <v>5</v>
      </c>
      <c r="I30" s="9" t="s">
        <v>22</v>
      </c>
      <c r="J30" s="15" t="s">
        <v>377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25">
      <c r="D31" s="9" t="s">
        <v>9</v>
      </c>
      <c r="E31" s="9" t="s">
        <v>3</v>
      </c>
      <c r="F31" s="15" t="s">
        <v>258</v>
      </c>
      <c r="G31" s="15" t="s">
        <v>186</v>
      </c>
      <c r="H31" s="15">
        <v>6</v>
      </c>
      <c r="I31" s="9" t="s">
        <v>22</v>
      </c>
      <c r="J31" s="15" t="s">
        <v>377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25">
      <c r="D32" s="9" t="s">
        <v>9</v>
      </c>
      <c r="E32" s="9" t="s">
        <v>3</v>
      </c>
      <c r="F32" s="15" t="s">
        <v>258</v>
      </c>
      <c r="G32" s="15" t="s">
        <v>186</v>
      </c>
      <c r="H32" s="15">
        <v>7</v>
      </c>
      <c r="I32" s="9" t="s">
        <v>22</v>
      </c>
      <c r="J32" s="15" t="s">
        <v>377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25">
      <c r="D33" s="9" t="s">
        <v>9</v>
      </c>
      <c r="E33" s="9" t="s">
        <v>3</v>
      </c>
      <c r="F33" s="15" t="s">
        <v>258</v>
      </c>
      <c r="G33" s="15" t="s">
        <v>186</v>
      </c>
      <c r="H33" s="15">
        <v>8</v>
      </c>
      <c r="I33" s="9" t="s">
        <v>22</v>
      </c>
      <c r="J33" s="15" t="s">
        <v>377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25">
      <c r="D34" s="9" t="s">
        <v>9</v>
      </c>
      <c r="E34" s="9" t="s">
        <v>3</v>
      </c>
      <c r="F34" s="15" t="s">
        <v>258</v>
      </c>
      <c r="G34" s="15" t="s">
        <v>186</v>
      </c>
      <c r="H34" s="15">
        <v>9</v>
      </c>
      <c r="I34" s="9" t="s">
        <v>22</v>
      </c>
      <c r="J34" s="15" t="s">
        <v>377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25">
      <c r="D35" s="9" t="s">
        <v>90</v>
      </c>
      <c r="E35" s="9" t="s">
        <v>26</v>
      </c>
      <c r="F35" s="15" t="s">
        <v>258</v>
      </c>
      <c r="G35" s="15" t="s">
        <v>186</v>
      </c>
      <c r="H35" s="15">
        <v>2</v>
      </c>
      <c r="I35" s="9" t="s">
        <v>22</v>
      </c>
      <c r="J35" s="15" t="s">
        <v>377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25">
      <c r="D36" s="9" t="s">
        <v>90</v>
      </c>
      <c r="E36" s="9" t="s">
        <v>26</v>
      </c>
      <c r="F36" s="15" t="s">
        <v>258</v>
      </c>
      <c r="G36" s="15" t="s">
        <v>186</v>
      </c>
      <c r="H36" s="15">
        <v>3</v>
      </c>
      <c r="I36" s="9" t="s">
        <v>22</v>
      </c>
      <c r="J36" s="15" t="s">
        <v>377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25">
      <c r="D37" s="9" t="s">
        <v>90</v>
      </c>
      <c r="E37" s="9" t="s">
        <v>26</v>
      </c>
      <c r="F37" s="15" t="s">
        <v>258</v>
      </c>
      <c r="G37" s="15" t="s">
        <v>186</v>
      </c>
      <c r="H37" s="15">
        <v>4</v>
      </c>
      <c r="I37" s="9" t="s">
        <v>22</v>
      </c>
      <c r="J37" s="15" t="s">
        <v>377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25">
      <c r="D38" s="9" t="s">
        <v>90</v>
      </c>
      <c r="E38" s="9" t="s">
        <v>26</v>
      </c>
      <c r="F38" s="15" t="s">
        <v>258</v>
      </c>
      <c r="G38" s="15" t="s">
        <v>186</v>
      </c>
      <c r="H38" s="15">
        <v>5</v>
      </c>
      <c r="I38" s="9" t="s">
        <v>22</v>
      </c>
      <c r="J38" s="15" t="s">
        <v>377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25">
      <c r="D39" s="9" t="s">
        <v>90</v>
      </c>
      <c r="E39" s="9" t="s">
        <v>26</v>
      </c>
      <c r="F39" s="15" t="s">
        <v>258</v>
      </c>
      <c r="G39" s="15" t="s">
        <v>186</v>
      </c>
      <c r="H39" s="15">
        <v>6</v>
      </c>
      <c r="I39" s="9" t="s">
        <v>22</v>
      </c>
      <c r="J39" s="15" t="s">
        <v>377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25">
      <c r="D40" s="9" t="s">
        <v>4</v>
      </c>
      <c r="E40" s="9" t="s">
        <v>9</v>
      </c>
      <c r="F40" s="15" t="s">
        <v>261</v>
      </c>
      <c r="G40" s="15" t="s">
        <v>186</v>
      </c>
      <c r="H40" s="15">
        <v>3</v>
      </c>
      <c r="I40" s="9" t="s">
        <v>22</v>
      </c>
      <c r="J40" s="15" t="s">
        <v>377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25">
      <c r="D41" s="9" t="s">
        <v>4</v>
      </c>
      <c r="E41" s="9" t="s">
        <v>9</v>
      </c>
      <c r="F41" s="15" t="s">
        <v>261</v>
      </c>
      <c r="G41" s="15" t="s">
        <v>186</v>
      </c>
      <c r="H41" s="15">
        <v>4</v>
      </c>
      <c r="I41" s="9" t="s">
        <v>22</v>
      </c>
      <c r="J41" s="15" t="s">
        <v>377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25">
      <c r="D42" s="9" t="s">
        <v>4</v>
      </c>
      <c r="E42" s="9" t="s">
        <v>9</v>
      </c>
      <c r="F42" s="15" t="s">
        <v>261</v>
      </c>
      <c r="G42" s="15" t="s">
        <v>186</v>
      </c>
      <c r="H42" s="15">
        <v>5</v>
      </c>
      <c r="I42" s="9" t="s">
        <v>22</v>
      </c>
      <c r="J42" s="15" t="s">
        <v>377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25">
      <c r="D43" s="9" t="s">
        <v>4</v>
      </c>
      <c r="E43" s="9" t="s">
        <v>9</v>
      </c>
      <c r="F43" s="15" t="s">
        <v>261</v>
      </c>
      <c r="G43" s="15" t="s">
        <v>186</v>
      </c>
      <c r="H43" s="15">
        <v>6</v>
      </c>
      <c r="I43" s="9" t="s">
        <v>22</v>
      </c>
      <c r="J43" s="15" t="s">
        <v>377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25">
      <c r="D44" s="9" t="s">
        <v>4</v>
      </c>
      <c r="E44" s="9" t="s">
        <v>9</v>
      </c>
      <c r="F44" s="15" t="s">
        <v>261</v>
      </c>
      <c r="G44" s="15" t="s">
        <v>186</v>
      </c>
      <c r="H44" s="15">
        <v>7</v>
      </c>
      <c r="I44" s="9" t="s">
        <v>22</v>
      </c>
      <c r="J44" s="15" t="s">
        <v>377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25">
      <c r="D45" s="9" t="s">
        <v>4</v>
      </c>
      <c r="E45" s="9" t="s">
        <v>9</v>
      </c>
      <c r="F45" s="15" t="s">
        <v>261</v>
      </c>
      <c r="G45" s="15" t="s">
        <v>186</v>
      </c>
      <c r="H45" s="15">
        <v>8</v>
      </c>
      <c r="I45" s="9" t="s">
        <v>22</v>
      </c>
      <c r="J45" s="15" t="s">
        <v>377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25">
      <c r="D46" s="9" t="s">
        <v>4</v>
      </c>
      <c r="E46" s="9" t="s">
        <v>9</v>
      </c>
      <c r="F46" s="15" t="s">
        <v>261</v>
      </c>
      <c r="G46" s="15" t="s">
        <v>186</v>
      </c>
      <c r="H46" s="15">
        <v>9</v>
      </c>
      <c r="I46" s="9" t="s">
        <v>22</v>
      </c>
      <c r="J46" s="15" t="s">
        <v>377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25">
      <c r="D47" s="9" t="s">
        <v>4</v>
      </c>
      <c r="E47" s="9" t="s">
        <v>9</v>
      </c>
      <c r="F47" s="15" t="s">
        <v>261</v>
      </c>
      <c r="G47" s="15" t="s">
        <v>186</v>
      </c>
      <c r="H47" s="15">
        <v>10</v>
      </c>
      <c r="I47" s="9" t="s">
        <v>22</v>
      </c>
      <c r="J47" s="15" t="s">
        <v>377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25">
      <c r="D48" s="9" t="s">
        <v>10</v>
      </c>
      <c r="E48" s="9" t="s">
        <v>9</v>
      </c>
      <c r="F48" s="15" t="s">
        <v>261</v>
      </c>
      <c r="G48" s="15" t="s">
        <v>186</v>
      </c>
      <c r="H48" s="15">
        <v>2</v>
      </c>
      <c r="I48" s="9" t="s">
        <v>22</v>
      </c>
      <c r="J48" s="15" t="s">
        <v>377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25">
      <c r="D49" s="9" t="s">
        <v>10</v>
      </c>
      <c r="E49" s="9" t="s">
        <v>9</v>
      </c>
      <c r="F49" s="15" t="s">
        <v>261</v>
      </c>
      <c r="G49" s="15" t="s">
        <v>186</v>
      </c>
      <c r="H49" s="15">
        <v>3</v>
      </c>
      <c r="I49" s="9" t="s">
        <v>22</v>
      </c>
      <c r="J49" s="15" t="s">
        <v>377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25">
      <c r="D50" s="9" t="s">
        <v>10</v>
      </c>
      <c r="E50" s="9" t="s">
        <v>9</v>
      </c>
      <c r="F50" s="15" t="s">
        <v>261</v>
      </c>
      <c r="G50" s="15" t="s">
        <v>186</v>
      </c>
      <c r="H50" s="15">
        <v>4</v>
      </c>
      <c r="I50" s="9" t="s">
        <v>22</v>
      </c>
      <c r="J50" s="15" t="s">
        <v>377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25">
      <c r="D51" s="9" t="s">
        <v>90</v>
      </c>
      <c r="E51" s="9" t="s">
        <v>3</v>
      </c>
      <c r="F51" s="15" t="s">
        <v>261</v>
      </c>
      <c r="G51" s="15" t="s">
        <v>186</v>
      </c>
      <c r="H51" s="15">
        <v>2</v>
      </c>
      <c r="I51" s="9" t="s">
        <v>22</v>
      </c>
      <c r="J51" s="15" t="s">
        <v>377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25">
      <c r="D52" s="9" t="s">
        <v>90</v>
      </c>
      <c r="E52" s="9" t="s">
        <v>3</v>
      </c>
      <c r="F52" s="15" t="s">
        <v>261</v>
      </c>
      <c r="G52" s="15" t="s">
        <v>186</v>
      </c>
      <c r="H52" s="15">
        <v>3</v>
      </c>
      <c r="I52" s="9" t="s">
        <v>22</v>
      </c>
      <c r="J52" s="15" t="s">
        <v>377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25">
      <c r="D53" s="9" t="s">
        <v>90</v>
      </c>
      <c r="E53" s="9" t="s">
        <v>3</v>
      </c>
      <c r="F53" s="15" t="s">
        <v>261</v>
      </c>
      <c r="G53" s="15" t="s">
        <v>186</v>
      </c>
      <c r="H53" s="15">
        <v>4</v>
      </c>
      <c r="I53" s="9" t="s">
        <v>22</v>
      </c>
      <c r="J53" s="15" t="s">
        <v>377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25">
      <c r="D54" s="9" t="s">
        <v>90</v>
      </c>
      <c r="E54" s="9" t="s">
        <v>3</v>
      </c>
      <c r="F54" s="15" t="s">
        <v>261</v>
      </c>
      <c r="G54" s="15" t="s">
        <v>186</v>
      </c>
      <c r="H54" s="15">
        <v>5</v>
      </c>
      <c r="I54" s="9" t="s">
        <v>22</v>
      </c>
      <c r="J54" s="15" t="s">
        <v>377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25">
      <c r="D55" s="9" t="s">
        <v>90</v>
      </c>
      <c r="E55" s="9" t="s">
        <v>3</v>
      </c>
      <c r="F55" s="15" t="s">
        <v>261</v>
      </c>
      <c r="G55" s="15" t="s">
        <v>186</v>
      </c>
      <c r="H55" s="15">
        <v>6</v>
      </c>
      <c r="I55" s="9" t="s">
        <v>22</v>
      </c>
      <c r="J55" s="15" t="s">
        <v>377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25">
      <c r="D56" s="9" t="s">
        <v>9</v>
      </c>
      <c r="E56" s="9" t="s">
        <v>90</v>
      </c>
      <c r="F56" s="15" t="s">
        <v>261</v>
      </c>
      <c r="G56" s="15" t="s">
        <v>186</v>
      </c>
      <c r="H56" s="15">
        <v>3</v>
      </c>
      <c r="I56" s="9" t="s">
        <v>22</v>
      </c>
      <c r="J56" s="15" t="s">
        <v>377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25">
      <c r="D57" s="9" t="s">
        <v>9</v>
      </c>
      <c r="E57" s="9" t="s">
        <v>90</v>
      </c>
      <c r="F57" s="15" t="s">
        <v>261</v>
      </c>
      <c r="G57" s="15" t="s">
        <v>186</v>
      </c>
      <c r="H57" s="15">
        <v>4</v>
      </c>
      <c r="I57" s="9" t="s">
        <v>22</v>
      </c>
      <c r="J57" s="15" t="s">
        <v>377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25">
      <c r="D58" s="9" t="s">
        <v>9</v>
      </c>
      <c r="E58" s="9" t="s">
        <v>90</v>
      </c>
      <c r="F58" s="15" t="s">
        <v>261</v>
      </c>
      <c r="G58" s="15" t="s">
        <v>186</v>
      </c>
      <c r="H58" s="15">
        <v>5</v>
      </c>
      <c r="I58" s="9" t="s">
        <v>22</v>
      </c>
      <c r="J58" s="15" t="s">
        <v>377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25">
      <c r="D59" s="9" t="s">
        <v>9</v>
      </c>
      <c r="E59" s="9" t="s">
        <v>90</v>
      </c>
      <c r="F59" s="15" t="s">
        <v>261</v>
      </c>
      <c r="G59" s="15" t="s">
        <v>186</v>
      </c>
      <c r="H59" s="15">
        <v>6</v>
      </c>
      <c r="I59" s="9" t="s">
        <v>22</v>
      </c>
      <c r="J59" s="15" t="s">
        <v>377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25">
      <c r="D60" s="9" t="s">
        <v>9</v>
      </c>
      <c r="E60" s="9" t="s">
        <v>90</v>
      </c>
      <c r="F60" s="15" t="s">
        <v>261</v>
      </c>
      <c r="G60" s="15" t="s">
        <v>186</v>
      </c>
      <c r="H60" s="15">
        <v>7</v>
      </c>
      <c r="I60" s="9" t="s">
        <v>22</v>
      </c>
      <c r="J60" s="15" t="s">
        <v>377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25">
      <c r="D61" s="9" t="s">
        <v>9</v>
      </c>
      <c r="E61" s="9" t="s">
        <v>90</v>
      </c>
      <c r="F61" s="15" t="s">
        <v>261</v>
      </c>
      <c r="G61" s="15" t="s">
        <v>186</v>
      </c>
      <c r="H61" s="15">
        <v>8</v>
      </c>
      <c r="I61" s="9" t="s">
        <v>22</v>
      </c>
      <c r="J61" s="15" t="s">
        <v>377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25">
      <c r="D62" s="9" t="s">
        <v>9</v>
      </c>
      <c r="E62" s="9" t="s">
        <v>90</v>
      </c>
      <c r="F62" s="15" t="s">
        <v>261</v>
      </c>
      <c r="G62" s="15" t="s">
        <v>186</v>
      </c>
      <c r="H62" s="15">
        <v>9</v>
      </c>
      <c r="I62" s="9" t="s">
        <v>22</v>
      </c>
      <c r="J62" s="15" t="s">
        <v>377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25">
      <c r="D63" s="9" t="s">
        <v>9</v>
      </c>
      <c r="E63" s="9" t="s">
        <v>3</v>
      </c>
      <c r="F63" s="15" t="s">
        <v>261</v>
      </c>
      <c r="G63" s="15" t="s">
        <v>186</v>
      </c>
      <c r="H63" s="15">
        <v>3</v>
      </c>
      <c r="I63" s="9" t="s">
        <v>22</v>
      </c>
      <c r="J63" s="15" t="s">
        <v>377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25">
      <c r="D64" s="9" t="s">
        <v>9</v>
      </c>
      <c r="E64" s="9" t="s">
        <v>3</v>
      </c>
      <c r="F64" s="15" t="s">
        <v>261</v>
      </c>
      <c r="G64" s="15" t="s">
        <v>186</v>
      </c>
      <c r="H64" s="15">
        <v>4</v>
      </c>
      <c r="I64" s="9" t="s">
        <v>22</v>
      </c>
      <c r="J64" s="15" t="s">
        <v>377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25">
      <c r="D65" s="9" t="s">
        <v>9</v>
      </c>
      <c r="E65" s="9" t="s">
        <v>3</v>
      </c>
      <c r="F65" s="15" t="s">
        <v>261</v>
      </c>
      <c r="G65" s="15" t="s">
        <v>186</v>
      </c>
      <c r="H65" s="15">
        <v>5</v>
      </c>
      <c r="I65" s="9" t="s">
        <v>22</v>
      </c>
      <c r="J65" s="15" t="s">
        <v>377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25">
      <c r="D66" s="9" t="s">
        <v>9</v>
      </c>
      <c r="E66" s="9" t="s">
        <v>3</v>
      </c>
      <c r="F66" s="15" t="s">
        <v>261</v>
      </c>
      <c r="G66" s="15" t="s">
        <v>186</v>
      </c>
      <c r="H66" s="15">
        <v>6</v>
      </c>
      <c r="I66" s="9" t="s">
        <v>22</v>
      </c>
      <c r="J66" s="15" t="s">
        <v>377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25">
      <c r="D67" s="9" t="s">
        <v>9</v>
      </c>
      <c r="E67" s="9" t="s">
        <v>3</v>
      </c>
      <c r="F67" s="15" t="s">
        <v>261</v>
      </c>
      <c r="G67" s="15" t="s">
        <v>186</v>
      </c>
      <c r="H67" s="15">
        <v>7</v>
      </c>
      <c r="I67" s="9" t="s">
        <v>22</v>
      </c>
      <c r="J67" s="15" t="s">
        <v>377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25">
      <c r="D68" s="9" t="s">
        <v>9</v>
      </c>
      <c r="E68" s="9" t="s">
        <v>3</v>
      </c>
      <c r="F68" s="15" t="s">
        <v>261</v>
      </c>
      <c r="G68" s="15" t="s">
        <v>186</v>
      </c>
      <c r="H68" s="15">
        <v>8</v>
      </c>
      <c r="I68" s="9" t="s">
        <v>22</v>
      </c>
      <c r="J68" s="15" t="s">
        <v>377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25">
      <c r="D69" s="9" t="s">
        <v>9</v>
      </c>
      <c r="E69" s="9" t="s">
        <v>3</v>
      </c>
      <c r="F69" s="15" t="s">
        <v>261</v>
      </c>
      <c r="G69" s="15" t="s">
        <v>186</v>
      </c>
      <c r="H69" s="15">
        <v>9</v>
      </c>
      <c r="I69" s="9" t="s">
        <v>22</v>
      </c>
      <c r="J69" s="15" t="s">
        <v>377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25">
      <c r="D70" s="9" t="s">
        <v>90</v>
      </c>
      <c r="E70" s="9" t="s">
        <v>26</v>
      </c>
      <c r="F70" s="15" t="s">
        <v>261</v>
      </c>
      <c r="G70" s="15" t="s">
        <v>186</v>
      </c>
      <c r="H70" s="15">
        <v>2</v>
      </c>
      <c r="I70" s="9" t="s">
        <v>22</v>
      </c>
      <c r="J70" s="15" t="s">
        <v>377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25">
      <c r="D71" s="9" t="s">
        <v>90</v>
      </c>
      <c r="E71" s="9" t="s">
        <v>26</v>
      </c>
      <c r="F71" s="15" t="s">
        <v>261</v>
      </c>
      <c r="G71" s="15" t="s">
        <v>186</v>
      </c>
      <c r="H71" s="15">
        <v>3</v>
      </c>
      <c r="I71" s="9" t="s">
        <v>22</v>
      </c>
      <c r="J71" s="15" t="s">
        <v>377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25">
      <c r="D72" s="9" t="s">
        <v>90</v>
      </c>
      <c r="E72" s="9" t="s">
        <v>26</v>
      </c>
      <c r="F72" s="15" t="s">
        <v>261</v>
      </c>
      <c r="G72" s="15" t="s">
        <v>186</v>
      </c>
      <c r="H72" s="15">
        <v>4</v>
      </c>
      <c r="I72" s="9" t="s">
        <v>22</v>
      </c>
      <c r="J72" s="15" t="s">
        <v>377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25">
      <c r="D73" s="9" t="s">
        <v>90</v>
      </c>
      <c r="E73" s="9" t="s">
        <v>26</v>
      </c>
      <c r="F73" s="15" t="s">
        <v>261</v>
      </c>
      <c r="G73" s="15" t="s">
        <v>186</v>
      </c>
      <c r="H73" s="15">
        <v>5</v>
      </c>
      <c r="I73" s="9" t="s">
        <v>22</v>
      </c>
      <c r="J73" s="15" t="s">
        <v>377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.75" thickBot="1" x14ac:dyDescent="0.3">
      <c r="D74" s="10" t="s">
        <v>90</v>
      </c>
      <c r="E74" s="10" t="s">
        <v>26</v>
      </c>
      <c r="F74" s="16" t="s">
        <v>261</v>
      </c>
      <c r="G74" s="16" t="s">
        <v>186</v>
      </c>
      <c r="H74" s="16">
        <v>6</v>
      </c>
      <c r="I74" s="10" t="s">
        <v>22</v>
      </c>
      <c r="J74" s="10" t="s">
        <v>377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25">
      <c r="C75" s="150"/>
      <c r="D75" s="147" t="s">
        <v>9</v>
      </c>
      <c r="E75" s="147" t="s">
        <v>90</v>
      </c>
      <c r="F75" s="148" t="s">
        <v>256</v>
      </c>
      <c r="G75" s="148" t="s">
        <v>186</v>
      </c>
      <c r="H75" s="148">
        <v>10</v>
      </c>
      <c r="I75" s="150" t="s">
        <v>22</v>
      </c>
      <c r="J75" s="150" t="s">
        <v>377</v>
      </c>
      <c r="K75" s="150">
        <v>10</v>
      </c>
      <c r="L75" s="150">
        <f t="shared" si="69"/>
        <v>10</v>
      </c>
      <c r="M75" s="150">
        <f t="shared" si="69"/>
        <v>10</v>
      </c>
      <c r="N75" s="150">
        <f t="shared" si="69"/>
        <v>10</v>
      </c>
      <c r="O75" s="150">
        <f t="shared" si="69"/>
        <v>10</v>
      </c>
      <c r="P75" s="150">
        <f t="shared" si="69"/>
        <v>10</v>
      </c>
      <c r="Q75" s="150">
        <f t="shared" si="69"/>
        <v>10</v>
      </c>
      <c r="R75" s="150">
        <f t="shared" si="69"/>
        <v>10</v>
      </c>
      <c r="S75" s="150">
        <f t="shared" si="69"/>
        <v>10</v>
      </c>
      <c r="T75" s="150">
        <f t="shared" si="69"/>
        <v>10</v>
      </c>
      <c r="U75" s="150">
        <f t="shared" si="69"/>
        <v>10</v>
      </c>
    </row>
    <row r="76" spans="3:21" x14ac:dyDescent="0.25">
      <c r="C76" s="150"/>
      <c r="D76" s="147" t="s">
        <v>9</v>
      </c>
      <c r="E76" s="147" t="s">
        <v>90</v>
      </c>
      <c r="F76" s="148" t="s">
        <v>256</v>
      </c>
      <c r="G76" s="148" t="s">
        <v>186</v>
      </c>
      <c r="H76" s="148">
        <v>15</v>
      </c>
      <c r="I76" s="150" t="s">
        <v>22</v>
      </c>
      <c r="J76" s="150" t="s">
        <v>377</v>
      </c>
      <c r="K76" s="150">
        <v>10</v>
      </c>
      <c r="L76" s="150">
        <f t="shared" si="69"/>
        <v>10</v>
      </c>
      <c r="M76" s="150">
        <f t="shared" si="69"/>
        <v>10</v>
      </c>
      <c r="N76" s="150">
        <f t="shared" si="69"/>
        <v>10</v>
      </c>
      <c r="O76" s="150">
        <f t="shared" si="69"/>
        <v>10</v>
      </c>
      <c r="P76" s="150">
        <f t="shared" si="69"/>
        <v>10</v>
      </c>
      <c r="Q76" s="150">
        <f t="shared" si="69"/>
        <v>10</v>
      </c>
      <c r="R76" s="150">
        <f t="shared" si="69"/>
        <v>10</v>
      </c>
      <c r="S76" s="150">
        <f t="shared" si="69"/>
        <v>10</v>
      </c>
      <c r="T76" s="150">
        <f t="shared" si="69"/>
        <v>10</v>
      </c>
      <c r="U76" s="150">
        <f t="shared" si="69"/>
        <v>10</v>
      </c>
    </row>
    <row r="77" spans="3:21" x14ac:dyDescent="0.25">
      <c r="C77" s="150"/>
      <c r="D77" s="147" t="s">
        <v>90</v>
      </c>
      <c r="E77" s="147" t="s">
        <v>26</v>
      </c>
      <c r="F77" s="148" t="s">
        <v>256</v>
      </c>
      <c r="G77" s="148" t="s">
        <v>186</v>
      </c>
      <c r="H77" s="148">
        <v>10</v>
      </c>
      <c r="I77" s="150" t="s">
        <v>22</v>
      </c>
      <c r="J77" s="150" t="s">
        <v>377</v>
      </c>
      <c r="K77" s="150">
        <v>10</v>
      </c>
      <c r="L77" s="150">
        <f t="shared" si="69"/>
        <v>10</v>
      </c>
      <c r="M77" s="150">
        <f t="shared" si="69"/>
        <v>10</v>
      </c>
      <c r="N77" s="150">
        <f t="shared" si="69"/>
        <v>10</v>
      </c>
      <c r="O77" s="150">
        <f t="shared" si="69"/>
        <v>10</v>
      </c>
      <c r="P77" s="150">
        <f t="shared" si="69"/>
        <v>10</v>
      </c>
      <c r="Q77" s="150">
        <f t="shared" si="69"/>
        <v>10</v>
      </c>
      <c r="R77" s="150">
        <f t="shared" si="69"/>
        <v>10</v>
      </c>
      <c r="S77" s="150">
        <f t="shared" si="69"/>
        <v>10</v>
      </c>
      <c r="T77" s="150">
        <f t="shared" si="69"/>
        <v>10</v>
      </c>
      <c r="U77" s="150">
        <f t="shared" si="69"/>
        <v>10</v>
      </c>
    </row>
    <row r="78" spans="3:21" x14ac:dyDescent="0.25">
      <c r="C78" s="150"/>
      <c r="D78" s="147" t="s">
        <v>90</v>
      </c>
      <c r="E78" s="147" t="s">
        <v>26</v>
      </c>
      <c r="F78" s="148" t="s">
        <v>256</v>
      </c>
      <c r="G78" s="148" t="s">
        <v>186</v>
      </c>
      <c r="H78" s="148">
        <v>15</v>
      </c>
      <c r="I78" s="150" t="s">
        <v>22</v>
      </c>
      <c r="J78" s="150" t="s">
        <v>377</v>
      </c>
      <c r="K78" s="150">
        <v>10</v>
      </c>
      <c r="L78" s="150">
        <f t="shared" si="69"/>
        <v>10</v>
      </c>
      <c r="M78" s="150">
        <f t="shared" si="69"/>
        <v>10</v>
      </c>
      <c r="N78" s="150">
        <f t="shared" si="69"/>
        <v>10</v>
      </c>
      <c r="O78" s="150">
        <f t="shared" si="69"/>
        <v>10</v>
      </c>
      <c r="P78" s="150">
        <f t="shared" si="69"/>
        <v>10</v>
      </c>
      <c r="Q78" s="150">
        <f t="shared" si="69"/>
        <v>10</v>
      </c>
      <c r="R78" s="150">
        <f t="shared" si="69"/>
        <v>10</v>
      </c>
      <c r="S78" s="150">
        <f t="shared" si="69"/>
        <v>10</v>
      </c>
      <c r="T78" s="150">
        <f t="shared" si="69"/>
        <v>10</v>
      </c>
      <c r="U78" s="150">
        <f t="shared" si="69"/>
        <v>10</v>
      </c>
    </row>
    <row r="79" spans="3:21" x14ac:dyDescent="0.25">
      <c r="C79" s="150"/>
      <c r="D79" s="147" t="s">
        <v>9</v>
      </c>
      <c r="E79" s="147" t="s">
        <v>26</v>
      </c>
      <c r="F79" s="148" t="s">
        <v>256</v>
      </c>
      <c r="G79" s="148" t="s">
        <v>186</v>
      </c>
      <c r="H79" s="148">
        <v>10</v>
      </c>
      <c r="I79" s="150" t="s">
        <v>22</v>
      </c>
      <c r="J79" s="150" t="s">
        <v>377</v>
      </c>
      <c r="K79" s="150">
        <v>10</v>
      </c>
      <c r="L79" s="150">
        <f t="shared" si="69"/>
        <v>10</v>
      </c>
      <c r="M79" s="150">
        <f t="shared" si="69"/>
        <v>10</v>
      </c>
      <c r="N79" s="150">
        <f t="shared" si="69"/>
        <v>10</v>
      </c>
      <c r="O79" s="150">
        <f t="shared" si="69"/>
        <v>10</v>
      </c>
      <c r="P79" s="150">
        <f t="shared" si="69"/>
        <v>10</v>
      </c>
      <c r="Q79" s="150">
        <f t="shared" si="69"/>
        <v>10</v>
      </c>
      <c r="R79" s="150">
        <f t="shared" si="69"/>
        <v>10</v>
      </c>
      <c r="S79" s="150">
        <f t="shared" si="69"/>
        <v>10</v>
      </c>
      <c r="T79" s="150">
        <f t="shared" si="69"/>
        <v>10</v>
      </c>
      <c r="U79" s="150">
        <f t="shared" si="69"/>
        <v>10</v>
      </c>
    </row>
    <row r="80" spans="3:21" x14ac:dyDescent="0.25">
      <c r="C80" s="150"/>
      <c r="D80" s="147" t="s">
        <v>9</v>
      </c>
      <c r="E80" s="147" t="s">
        <v>26</v>
      </c>
      <c r="F80" s="148" t="s">
        <v>256</v>
      </c>
      <c r="G80" s="148" t="s">
        <v>186</v>
      </c>
      <c r="H80" s="148">
        <v>15</v>
      </c>
      <c r="I80" s="150" t="s">
        <v>22</v>
      </c>
      <c r="J80" s="150" t="s">
        <v>377</v>
      </c>
      <c r="K80" s="150">
        <v>10</v>
      </c>
      <c r="L80" s="150">
        <f t="shared" si="69"/>
        <v>10</v>
      </c>
      <c r="M80" s="150">
        <f t="shared" si="69"/>
        <v>10</v>
      </c>
      <c r="N80" s="150">
        <f t="shared" si="69"/>
        <v>10</v>
      </c>
      <c r="O80" s="150">
        <f t="shared" si="69"/>
        <v>10</v>
      </c>
      <c r="P80" s="150">
        <f t="shared" si="69"/>
        <v>10</v>
      </c>
      <c r="Q80" s="150">
        <f t="shared" si="69"/>
        <v>10</v>
      </c>
      <c r="R80" s="150">
        <f t="shared" si="69"/>
        <v>10</v>
      </c>
      <c r="S80" s="150">
        <f t="shared" si="69"/>
        <v>10</v>
      </c>
      <c r="T80" s="150">
        <f t="shared" si="69"/>
        <v>10</v>
      </c>
      <c r="U80" s="150">
        <f t="shared" si="69"/>
        <v>10</v>
      </c>
    </row>
    <row r="81" spans="3:21" x14ac:dyDescent="0.25">
      <c r="C81" s="150"/>
      <c r="D81" s="147" t="s">
        <v>90</v>
      </c>
      <c r="E81" s="147" t="s">
        <v>26</v>
      </c>
      <c r="F81" s="148" t="s">
        <v>256</v>
      </c>
      <c r="G81" s="148" t="s">
        <v>186</v>
      </c>
      <c r="H81" s="148">
        <v>10</v>
      </c>
      <c r="I81" s="150" t="s">
        <v>22</v>
      </c>
      <c r="J81" s="150" t="s">
        <v>377</v>
      </c>
      <c r="K81" s="150">
        <v>10</v>
      </c>
      <c r="L81" s="150">
        <f t="shared" si="69"/>
        <v>10</v>
      </c>
      <c r="M81" s="150">
        <f t="shared" si="69"/>
        <v>10</v>
      </c>
      <c r="N81" s="150">
        <f t="shared" si="69"/>
        <v>10</v>
      </c>
      <c r="O81" s="150">
        <f t="shared" si="69"/>
        <v>10</v>
      </c>
      <c r="P81" s="150">
        <f t="shared" si="69"/>
        <v>10</v>
      </c>
      <c r="Q81" s="150">
        <f t="shared" si="69"/>
        <v>10</v>
      </c>
      <c r="R81" s="150">
        <f t="shared" si="69"/>
        <v>10</v>
      </c>
      <c r="S81" s="150">
        <f t="shared" si="69"/>
        <v>10</v>
      </c>
      <c r="T81" s="150">
        <f t="shared" si="69"/>
        <v>10</v>
      </c>
      <c r="U81" s="150">
        <f t="shared" si="69"/>
        <v>10</v>
      </c>
    </row>
    <row r="82" spans="3:21" x14ac:dyDescent="0.25">
      <c r="C82" s="150"/>
      <c r="D82" s="147" t="s">
        <v>90</v>
      </c>
      <c r="E82" s="147" t="s">
        <v>26</v>
      </c>
      <c r="F82" s="148" t="s">
        <v>256</v>
      </c>
      <c r="G82" s="148" t="s">
        <v>186</v>
      </c>
      <c r="H82" s="148">
        <v>15</v>
      </c>
      <c r="I82" s="150" t="s">
        <v>22</v>
      </c>
      <c r="J82" s="150" t="s">
        <v>377</v>
      </c>
      <c r="K82" s="150">
        <v>10</v>
      </c>
      <c r="L82" s="150">
        <f t="shared" si="69"/>
        <v>10</v>
      </c>
      <c r="M82" s="150">
        <f t="shared" si="69"/>
        <v>10</v>
      </c>
      <c r="N82" s="150">
        <f t="shared" si="69"/>
        <v>10</v>
      </c>
      <c r="O82" s="150">
        <f t="shared" si="69"/>
        <v>10</v>
      </c>
      <c r="P82" s="150">
        <f t="shared" si="69"/>
        <v>10</v>
      </c>
      <c r="Q82" s="150">
        <f t="shared" si="69"/>
        <v>10</v>
      </c>
      <c r="R82" s="150">
        <f t="shared" si="69"/>
        <v>10</v>
      </c>
      <c r="S82" s="150">
        <f t="shared" si="69"/>
        <v>10</v>
      </c>
      <c r="T82" s="150">
        <f t="shared" si="69"/>
        <v>10</v>
      </c>
      <c r="U82" s="150">
        <f t="shared" si="69"/>
        <v>10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G75:G82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K1" sqref="K1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272</v>
      </c>
    </row>
    <row r="3" spans="2:21" ht="15.75" thickBot="1" x14ac:dyDescent="0.3">
      <c r="D3" s="38" t="str">
        <f>JESA_UploadTable(B1, D4:U74,db)</f>
        <v>Logistics capex @17:32:55</v>
      </c>
    </row>
    <row r="4" spans="2:21" ht="30" customHeight="1" thickBot="1" x14ac:dyDescent="0.3">
      <c r="D4" s="92" t="s">
        <v>267</v>
      </c>
      <c r="E4" s="92" t="s">
        <v>268</v>
      </c>
      <c r="F4" s="92" t="s">
        <v>269</v>
      </c>
      <c r="G4" s="92" t="s">
        <v>24</v>
      </c>
      <c r="H4" s="92" t="s">
        <v>270</v>
      </c>
      <c r="I4" s="92" t="s">
        <v>12</v>
      </c>
      <c r="J4" s="92" t="s">
        <v>17</v>
      </c>
      <c r="K4" s="92" t="s">
        <v>145</v>
      </c>
      <c r="L4" s="93" t="s">
        <v>71</v>
      </c>
      <c r="M4" s="93" t="s">
        <v>72</v>
      </c>
      <c r="N4" s="93" t="s">
        <v>73</v>
      </c>
      <c r="O4" s="93" t="s">
        <v>74</v>
      </c>
      <c r="P4" s="93" t="s">
        <v>75</v>
      </c>
      <c r="Q4" s="93" t="s">
        <v>364</v>
      </c>
      <c r="R4" s="93" t="s">
        <v>76</v>
      </c>
      <c r="S4" s="93" t="s">
        <v>77</v>
      </c>
      <c r="T4" s="93" t="s">
        <v>78</v>
      </c>
      <c r="U4" s="93" t="s">
        <v>79</v>
      </c>
    </row>
    <row r="5" spans="2:21" x14ac:dyDescent="0.25">
      <c r="D5" s="8" t="s">
        <v>4</v>
      </c>
      <c r="E5" s="8" t="s">
        <v>9</v>
      </c>
      <c r="F5" s="14" t="s">
        <v>258</v>
      </c>
      <c r="G5" s="14" t="s">
        <v>186</v>
      </c>
      <c r="H5" s="14">
        <v>3</v>
      </c>
      <c r="I5" s="8" t="s">
        <v>22</v>
      </c>
      <c r="J5" s="14" t="s">
        <v>377</v>
      </c>
      <c r="K5" s="17">
        <v>56600000</v>
      </c>
      <c r="L5" s="17"/>
      <c r="M5" s="17"/>
      <c r="N5" s="17">
        <v>30</v>
      </c>
      <c r="O5" s="17">
        <v>30</v>
      </c>
      <c r="P5" s="17">
        <v>30</v>
      </c>
      <c r="Q5" s="17">
        <v>10</v>
      </c>
      <c r="R5" s="17"/>
      <c r="S5" s="17"/>
      <c r="T5" s="17"/>
      <c r="U5" s="17"/>
    </row>
    <row r="6" spans="2:21" x14ac:dyDescent="0.25">
      <c r="D6" s="9" t="s">
        <v>4</v>
      </c>
      <c r="E6" s="9" t="s">
        <v>9</v>
      </c>
      <c r="F6" s="15" t="s">
        <v>258</v>
      </c>
      <c r="G6" s="15" t="s">
        <v>186</v>
      </c>
      <c r="H6" s="15">
        <v>4</v>
      </c>
      <c r="I6" s="9" t="s">
        <v>22</v>
      </c>
      <c r="J6" s="15" t="s">
        <v>377</v>
      </c>
      <c r="K6" s="18">
        <v>60000000</v>
      </c>
      <c r="L6" s="18"/>
      <c r="M6" s="18"/>
      <c r="N6" s="18">
        <v>30</v>
      </c>
      <c r="O6" s="18">
        <v>30</v>
      </c>
      <c r="P6" s="18">
        <v>30</v>
      </c>
      <c r="Q6" s="18">
        <v>10</v>
      </c>
      <c r="R6" s="18"/>
      <c r="S6" s="18"/>
      <c r="T6" s="18"/>
      <c r="U6" s="18"/>
    </row>
    <row r="7" spans="2:21" x14ac:dyDescent="0.25">
      <c r="D7" s="9" t="s">
        <v>4</v>
      </c>
      <c r="E7" s="9" t="s">
        <v>9</v>
      </c>
      <c r="F7" s="15" t="s">
        <v>258</v>
      </c>
      <c r="G7" s="15" t="s">
        <v>186</v>
      </c>
      <c r="H7" s="15">
        <v>5</v>
      </c>
      <c r="I7" s="9" t="s">
        <v>22</v>
      </c>
      <c r="J7" s="15" t="s">
        <v>377</v>
      </c>
      <c r="K7" s="18">
        <v>68700000</v>
      </c>
      <c r="L7" s="18"/>
      <c r="M7" s="18"/>
      <c r="N7" s="18">
        <v>30</v>
      </c>
      <c r="O7" s="18">
        <v>30</v>
      </c>
      <c r="P7" s="18">
        <v>30</v>
      </c>
      <c r="Q7" s="18">
        <v>10</v>
      </c>
      <c r="R7" s="18"/>
      <c r="S7" s="18"/>
      <c r="T7" s="18"/>
      <c r="U7" s="18"/>
    </row>
    <row r="8" spans="2:21" x14ac:dyDescent="0.25">
      <c r="D8" s="9" t="s">
        <v>4</v>
      </c>
      <c r="E8" s="9" t="s">
        <v>9</v>
      </c>
      <c r="F8" s="15" t="s">
        <v>258</v>
      </c>
      <c r="G8" s="15" t="s">
        <v>186</v>
      </c>
      <c r="H8" s="15">
        <v>6</v>
      </c>
      <c r="I8" s="9" t="s">
        <v>22</v>
      </c>
      <c r="J8" s="15" t="s">
        <v>377</v>
      </c>
      <c r="K8" s="18">
        <v>77390000</v>
      </c>
      <c r="L8" s="18"/>
      <c r="M8" s="18"/>
      <c r="N8" s="18">
        <v>30</v>
      </c>
      <c r="O8" s="18">
        <v>30</v>
      </c>
      <c r="P8" s="18">
        <v>30</v>
      </c>
      <c r="Q8" s="18">
        <v>10</v>
      </c>
      <c r="R8" s="18"/>
      <c r="S8" s="18"/>
      <c r="T8" s="18"/>
      <c r="U8" s="18"/>
    </row>
    <row r="9" spans="2:21" x14ac:dyDescent="0.25">
      <c r="D9" s="9" t="s">
        <v>4</v>
      </c>
      <c r="E9" s="9" t="s">
        <v>9</v>
      </c>
      <c r="F9" s="15" t="s">
        <v>258</v>
      </c>
      <c r="G9" s="15" t="s">
        <v>186</v>
      </c>
      <c r="H9" s="15">
        <v>7</v>
      </c>
      <c r="I9" s="9" t="s">
        <v>22</v>
      </c>
      <c r="J9" s="15" t="s">
        <v>377</v>
      </c>
      <c r="K9" s="18">
        <v>80700000</v>
      </c>
      <c r="L9" s="18"/>
      <c r="M9" s="18"/>
      <c r="N9" s="18">
        <v>30</v>
      </c>
      <c r="O9" s="18">
        <v>30</v>
      </c>
      <c r="P9" s="18">
        <v>30</v>
      </c>
      <c r="Q9" s="18">
        <v>10</v>
      </c>
      <c r="R9" s="18"/>
      <c r="S9" s="18"/>
      <c r="T9" s="18"/>
      <c r="U9" s="18"/>
    </row>
    <row r="10" spans="2:21" x14ac:dyDescent="0.25">
      <c r="D10" s="9" t="s">
        <v>4</v>
      </c>
      <c r="E10" s="9" t="s">
        <v>9</v>
      </c>
      <c r="F10" s="15" t="s">
        <v>258</v>
      </c>
      <c r="G10" s="15" t="s">
        <v>186</v>
      </c>
      <c r="H10" s="15">
        <v>8</v>
      </c>
      <c r="I10" s="9" t="s">
        <v>22</v>
      </c>
      <c r="J10" s="15" t="s">
        <v>377</v>
      </c>
      <c r="K10" s="18">
        <v>81170000</v>
      </c>
      <c r="L10" s="18"/>
      <c r="M10" s="18"/>
      <c r="N10" s="18">
        <v>30</v>
      </c>
      <c r="O10" s="18">
        <v>30</v>
      </c>
      <c r="P10" s="18">
        <v>30</v>
      </c>
      <c r="Q10" s="18">
        <v>10</v>
      </c>
      <c r="R10" s="18"/>
      <c r="S10" s="18"/>
      <c r="T10" s="18"/>
      <c r="U10" s="18"/>
    </row>
    <row r="11" spans="2:21" x14ac:dyDescent="0.25">
      <c r="D11" s="9" t="s">
        <v>4</v>
      </c>
      <c r="E11" s="9" t="s">
        <v>9</v>
      </c>
      <c r="F11" s="15" t="s">
        <v>258</v>
      </c>
      <c r="G11" s="15" t="s">
        <v>186</v>
      </c>
      <c r="H11" s="15">
        <v>9</v>
      </c>
      <c r="I11" s="9" t="s">
        <v>22</v>
      </c>
      <c r="J11" s="15" t="s">
        <v>377</v>
      </c>
      <c r="K11" s="18">
        <v>91570000</v>
      </c>
      <c r="L11" s="18"/>
      <c r="M11" s="18"/>
      <c r="N11" s="18">
        <v>30</v>
      </c>
      <c r="O11" s="18">
        <v>30</v>
      </c>
      <c r="P11" s="18">
        <v>30</v>
      </c>
      <c r="Q11" s="18">
        <v>10</v>
      </c>
      <c r="R11" s="18"/>
      <c r="S11" s="18"/>
      <c r="T11" s="18"/>
      <c r="U11" s="18"/>
    </row>
    <row r="12" spans="2:21" x14ac:dyDescent="0.25">
      <c r="D12" s="9" t="s">
        <v>4</v>
      </c>
      <c r="E12" s="9" t="s">
        <v>9</v>
      </c>
      <c r="F12" s="15" t="s">
        <v>258</v>
      </c>
      <c r="G12" s="15" t="s">
        <v>186</v>
      </c>
      <c r="H12" s="15">
        <v>10</v>
      </c>
      <c r="I12" s="9" t="s">
        <v>22</v>
      </c>
      <c r="J12" s="15" t="s">
        <v>377</v>
      </c>
      <c r="K12" s="18">
        <v>95190000</v>
      </c>
      <c r="L12" s="18"/>
      <c r="M12" s="18"/>
      <c r="N12" s="18">
        <v>30</v>
      </c>
      <c r="O12" s="18">
        <v>30</v>
      </c>
      <c r="P12" s="18">
        <v>30</v>
      </c>
      <c r="Q12" s="18">
        <v>10</v>
      </c>
      <c r="R12" s="18"/>
      <c r="S12" s="18"/>
      <c r="T12" s="18"/>
      <c r="U12" s="18"/>
    </row>
    <row r="13" spans="2:21" x14ac:dyDescent="0.25">
      <c r="D13" s="9" t="s">
        <v>10</v>
      </c>
      <c r="E13" s="9" t="s">
        <v>9</v>
      </c>
      <c r="F13" s="15" t="s">
        <v>258</v>
      </c>
      <c r="G13" s="15" t="s">
        <v>186</v>
      </c>
      <c r="H13" s="15">
        <v>2</v>
      </c>
      <c r="I13" s="9" t="s">
        <v>22</v>
      </c>
      <c r="J13" s="15" t="s">
        <v>377</v>
      </c>
      <c r="K13" s="18">
        <v>42010000</v>
      </c>
      <c r="L13" s="18"/>
      <c r="M13" s="18"/>
      <c r="N13" s="18">
        <v>30</v>
      </c>
      <c r="O13" s="18">
        <v>30</v>
      </c>
      <c r="P13" s="18">
        <v>30</v>
      </c>
      <c r="Q13" s="18">
        <v>10</v>
      </c>
      <c r="R13" s="18"/>
      <c r="S13" s="18"/>
      <c r="T13" s="18"/>
      <c r="U13" s="18"/>
    </row>
    <row r="14" spans="2:21" x14ac:dyDescent="0.25">
      <c r="D14" s="9" t="s">
        <v>10</v>
      </c>
      <c r="E14" s="9" t="s">
        <v>9</v>
      </c>
      <c r="F14" s="15" t="s">
        <v>258</v>
      </c>
      <c r="G14" s="15" t="s">
        <v>186</v>
      </c>
      <c r="H14" s="15">
        <v>4</v>
      </c>
      <c r="I14" s="9" t="s">
        <v>22</v>
      </c>
      <c r="J14" s="15" t="s">
        <v>377</v>
      </c>
      <c r="K14" s="18">
        <v>50110000</v>
      </c>
      <c r="L14" s="18"/>
      <c r="M14" s="18"/>
      <c r="N14" s="18">
        <v>30</v>
      </c>
      <c r="O14" s="18">
        <v>30</v>
      </c>
      <c r="P14" s="18">
        <v>30</v>
      </c>
      <c r="Q14" s="18">
        <v>10</v>
      </c>
      <c r="R14" s="18"/>
      <c r="S14" s="18"/>
      <c r="T14" s="18"/>
      <c r="U14" s="18"/>
    </row>
    <row r="15" spans="2:21" x14ac:dyDescent="0.25">
      <c r="D15" s="9" t="s">
        <v>10</v>
      </c>
      <c r="E15" s="9" t="s">
        <v>9</v>
      </c>
      <c r="F15" s="15" t="s">
        <v>258</v>
      </c>
      <c r="G15" s="15" t="s">
        <v>186</v>
      </c>
      <c r="H15" s="15">
        <v>6</v>
      </c>
      <c r="I15" s="9" t="s">
        <v>22</v>
      </c>
      <c r="J15" s="15" t="s">
        <v>377</v>
      </c>
      <c r="K15" s="18">
        <v>64930000.000000007</v>
      </c>
      <c r="L15" s="18"/>
      <c r="M15" s="18"/>
      <c r="N15" s="18">
        <v>30</v>
      </c>
      <c r="O15" s="18">
        <v>30</v>
      </c>
      <c r="P15" s="18">
        <v>30</v>
      </c>
      <c r="Q15" s="18">
        <v>10</v>
      </c>
      <c r="R15" s="18"/>
      <c r="S15" s="18"/>
      <c r="T15" s="18"/>
      <c r="U15" s="18"/>
    </row>
    <row r="16" spans="2:21" x14ac:dyDescent="0.25">
      <c r="D16" s="9" t="s">
        <v>90</v>
      </c>
      <c r="E16" s="9" t="s">
        <v>3</v>
      </c>
      <c r="F16" s="15" t="s">
        <v>258</v>
      </c>
      <c r="G16" s="15" t="s">
        <v>186</v>
      </c>
      <c r="H16" s="15">
        <v>2</v>
      </c>
      <c r="I16" s="9" t="s">
        <v>22</v>
      </c>
      <c r="J16" s="15" t="s">
        <v>377</v>
      </c>
      <c r="K16" s="18">
        <v>37780000</v>
      </c>
      <c r="L16" s="18"/>
      <c r="M16" s="18"/>
      <c r="N16" s="18">
        <v>30</v>
      </c>
      <c r="O16" s="18">
        <v>30</v>
      </c>
      <c r="P16" s="18">
        <v>30</v>
      </c>
      <c r="Q16" s="18">
        <v>10</v>
      </c>
      <c r="R16" s="18"/>
      <c r="S16" s="18"/>
      <c r="T16" s="18"/>
      <c r="U16" s="18"/>
    </row>
    <row r="17" spans="4:21" x14ac:dyDescent="0.25">
      <c r="D17" s="9" t="s">
        <v>90</v>
      </c>
      <c r="E17" s="9" t="s">
        <v>3</v>
      </c>
      <c r="F17" s="15" t="s">
        <v>258</v>
      </c>
      <c r="G17" s="15" t="s">
        <v>186</v>
      </c>
      <c r="H17" s="15">
        <v>3</v>
      </c>
      <c r="I17" s="9" t="s">
        <v>22</v>
      </c>
      <c r="J17" s="15" t="s">
        <v>377</v>
      </c>
      <c r="K17" s="18">
        <v>43400000</v>
      </c>
      <c r="L17" s="18"/>
      <c r="M17" s="18"/>
      <c r="N17" s="18">
        <v>30</v>
      </c>
      <c r="O17" s="18">
        <v>30</v>
      </c>
      <c r="P17" s="18">
        <v>30</v>
      </c>
      <c r="Q17" s="18">
        <v>10</v>
      </c>
      <c r="R17" s="18"/>
      <c r="S17" s="18"/>
      <c r="T17" s="18"/>
      <c r="U17" s="18"/>
    </row>
    <row r="18" spans="4:21" x14ac:dyDescent="0.25">
      <c r="D18" s="9" t="s">
        <v>90</v>
      </c>
      <c r="E18" s="9" t="s">
        <v>3</v>
      </c>
      <c r="F18" s="15" t="s">
        <v>258</v>
      </c>
      <c r="G18" s="15" t="s">
        <v>186</v>
      </c>
      <c r="H18" s="15">
        <v>4</v>
      </c>
      <c r="I18" s="9" t="s">
        <v>22</v>
      </c>
      <c r="J18" s="15" t="s">
        <v>377</v>
      </c>
      <c r="K18" s="18">
        <v>45410000</v>
      </c>
      <c r="L18" s="18"/>
      <c r="M18" s="18"/>
      <c r="N18" s="18">
        <v>30</v>
      </c>
      <c r="O18" s="18">
        <v>30</v>
      </c>
      <c r="P18" s="18">
        <v>30</v>
      </c>
      <c r="Q18" s="18">
        <v>10</v>
      </c>
      <c r="R18" s="18"/>
      <c r="S18" s="18"/>
      <c r="T18" s="18"/>
      <c r="U18" s="18"/>
    </row>
    <row r="19" spans="4:21" x14ac:dyDescent="0.25">
      <c r="D19" s="9" t="s">
        <v>90</v>
      </c>
      <c r="E19" s="9" t="s">
        <v>3</v>
      </c>
      <c r="F19" s="15" t="s">
        <v>258</v>
      </c>
      <c r="G19" s="15" t="s">
        <v>186</v>
      </c>
      <c r="H19" s="15">
        <v>5</v>
      </c>
      <c r="I19" s="9" t="s">
        <v>22</v>
      </c>
      <c r="J19" s="15" t="s">
        <v>377</v>
      </c>
      <c r="K19" s="18">
        <v>52080000</v>
      </c>
      <c r="L19" s="18"/>
      <c r="M19" s="18"/>
      <c r="N19" s="18">
        <v>30</v>
      </c>
      <c r="O19" s="18">
        <v>30</v>
      </c>
      <c r="P19" s="18">
        <v>30</v>
      </c>
      <c r="Q19" s="18">
        <v>10</v>
      </c>
      <c r="R19" s="18"/>
      <c r="S19" s="18"/>
      <c r="T19" s="18"/>
      <c r="U19" s="18"/>
    </row>
    <row r="20" spans="4:21" x14ac:dyDescent="0.25">
      <c r="D20" s="9" t="s">
        <v>90</v>
      </c>
      <c r="E20" s="9" t="s">
        <v>3</v>
      </c>
      <c r="F20" s="15" t="s">
        <v>258</v>
      </c>
      <c r="G20" s="15" t="s">
        <v>186</v>
      </c>
      <c r="H20" s="15">
        <v>6</v>
      </c>
      <c r="I20" s="9" t="s">
        <v>22</v>
      </c>
      <c r="J20" s="15" t="s">
        <v>377</v>
      </c>
      <c r="K20" s="18">
        <v>59280000</v>
      </c>
      <c r="L20" s="18"/>
      <c r="M20" s="18"/>
      <c r="N20" s="18">
        <v>30</v>
      </c>
      <c r="O20" s="18">
        <v>30</v>
      </c>
      <c r="P20" s="18">
        <v>30</v>
      </c>
      <c r="Q20" s="18">
        <v>10</v>
      </c>
      <c r="R20" s="18"/>
      <c r="S20" s="18"/>
      <c r="T20" s="18"/>
      <c r="U20" s="18"/>
    </row>
    <row r="21" spans="4:21" x14ac:dyDescent="0.25">
      <c r="D21" s="9" t="s">
        <v>9</v>
      </c>
      <c r="E21" s="9" t="s">
        <v>90</v>
      </c>
      <c r="F21" s="15" t="s">
        <v>258</v>
      </c>
      <c r="G21" s="15" t="s">
        <v>186</v>
      </c>
      <c r="H21" s="15">
        <v>3</v>
      </c>
      <c r="I21" s="9" t="s">
        <v>22</v>
      </c>
      <c r="J21" s="15" t="s">
        <v>377</v>
      </c>
      <c r="K21" s="18">
        <v>70680000</v>
      </c>
      <c r="L21" s="18"/>
      <c r="M21" s="18"/>
      <c r="N21" s="18">
        <v>30</v>
      </c>
      <c r="O21" s="18">
        <v>30</v>
      </c>
      <c r="P21" s="18">
        <v>30</v>
      </c>
      <c r="Q21" s="18">
        <v>10</v>
      </c>
      <c r="R21" s="18"/>
      <c r="S21" s="18"/>
      <c r="T21" s="18"/>
      <c r="U21" s="18"/>
    </row>
    <row r="22" spans="4:21" x14ac:dyDescent="0.25">
      <c r="D22" s="9" t="s">
        <v>9</v>
      </c>
      <c r="E22" s="9" t="s">
        <v>90</v>
      </c>
      <c r="F22" s="15" t="s">
        <v>258</v>
      </c>
      <c r="G22" s="15" t="s">
        <v>186</v>
      </c>
      <c r="H22" s="15">
        <v>4</v>
      </c>
      <c r="I22" s="9" t="s">
        <v>22</v>
      </c>
      <c r="J22" s="15" t="s">
        <v>377</v>
      </c>
      <c r="K22" s="18">
        <v>81860000</v>
      </c>
      <c r="L22" s="18"/>
      <c r="M22" s="18"/>
      <c r="N22" s="18">
        <v>30</v>
      </c>
      <c r="O22" s="18">
        <v>30</v>
      </c>
      <c r="P22" s="18">
        <v>30</v>
      </c>
      <c r="Q22" s="18">
        <v>10</v>
      </c>
      <c r="R22" s="18"/>
      <c r="S22" s="18"/>
      <c r="T22" s="18"/>
      <c r="U22" s="18"/>
    </row>
    <row r="23" spans="4:21" x14ac:dyDescent="0.25">
      <c r="D23" s="9" t="s">
        <v>9</v>
      </c>
      <c r="E23" s="9" t="s">
        <v>90</v>
      </c>
      <c r="F23" s="15" t="s">
        <v>258</v>
      </c>
      <c r="G23" s="15" t="s">
        <v>186</v>
      </c>
      <c r="H23" s="15">
        <v>5</v>
      </c>
      <c r="I23" s="9" t="s">
        <v>22</v>
      </c>
      <c r="J23" s="15" t="s">
        <v>377</v>
      </c>
      <c r="K23" s="18">
        <v>92590000</v>
      </c>
      <c r="L23" s="18"/>
      <c r="M23" s="18"/>
      <c r="N23" s="18">
        <v>30</v>
      </c>
      <c r="O23" s="18">
        <v>30</v>
      </c>
      <c r="P23" s="18">
        <v>30</v>
      </c>
      <c r="Q23" s="18">
        <v>10</v>
      </c>
      <c r="R23" s="18"/>
      <c r="S23" s="18"/>
      <c r="T23" s="18"/>
      <c r="U23" s="18"/>
    </row>
    <row r="24" spans="4:21" x14ac:dyDescent="0.25">
      <c r="D24" s="9" t="s">
        <v>9</v>
      </c>
      <c r="E24" s="9" t="s">
        <v>90</v>
      </c>
      <c r="F24" s="15" t="s">
        <v>258</v>
      </c>
      <c r="G24" s="15" t="s">
        <v>186</v>
      </c>
      <c r="H24" s="15">
        <v>6</v>
      </c>
      <c r="I24" s="9" t="s">
        <v>22</v>
      </c>
      <c r="J24" s="15" t="s">
        <v>377</v>
      </c>
      <c r="K24" s="18">
        <v>102910000</v>
      </c>
      <c r="L24" s="18"/>
      <c r="M24" s="18"/>
      <c r="N24" s="18">
        <v>30</v>
      </c>
      <c r="O24" s="18">
        <v>30</v>
      </c>
      <c r="P24" s="18">
        <v>30</v>
      </c>
      <c r="Q24" s="18">
        <v>10</v>
      </c>
      <c r="R24" s="18"/>
      <c r="S24" s="18"/>
      <c r="T24" s="18"/>
      <c r="U24" s="18"/>
    </row>
    <row r="25" spans="4:21" x14ac:dyDescent="0.25">
      <c r="D25" s="9" t="s">
        <v>9</v>
      </c>
      <c r="E25" s="9" t="s">
        <v>90</v>
      </c>
      <c r="F25" s="15" t="s">
        <v>258</v>
      </c>
      <c r="G25" s="15" t="s">
        <v>186</v>
      </c>
      <c r="H25" s="15">
        <v>7</v>
      </c>
      <c r="I25" s="9" t="s">
        <v>22</v>
      </c>
      <c r="J25" s="15" t="s">
        <v>377</v>
      </c>
      <c r="K25" s="18">
        <v>107900000</v>
      </c>
      <c r="L25" s="18"/>
      <c r="M25" s="18"/>
      <c r="N25" s="18">
        <v>30</v>
      </c>
      <c r="O25" s="18">
        <v>30</v>
      </c>
      <c r="P25" s="18">
        <v>30</v>
      </c>
      <c r="Q25" s="18">
        <v>10</v>
      </c>
      <c r="R25" s="18"/>
      <c r="S25" s="18"/>
      <c r="T25" s="18"/>
      <c r="U25" s="18"/>
    </row>
    <row r="26" spans="4:21" x14ac:dyDescent="0.25">
      <c r="D26" s="9" t="s">
        <v>9</v>
      </c>
      <c r="E26" s="9" t="s">
        <v>90</v>
      </c>
      <c r="F26" s="15" t="s">
        <v>258</v>
      </c>
      <c r="G26" s="15" t="s">
        <v>186</v>
      </c>
      <c r="H26" s="15">
        <v>8</v>
      </c>
      <c r="I26" s="9" t="s">
        <v>22</v>
      </c>
      <c r="J26" s="15" t="s">
        <v>377</v>
      </c>
      <c r="K26" s="18">
        <v>112250000</v>
      </c>
      <c r="L26" s="18"/>
      <c r="M26" s="18"/>
      <c r="N26" s="18">
        <v>30</v>
      </c>
      <c r="O26" s="18">
        <v>30</v>
      </c>
      <c r="P26" s="18">
        <v>30</v>
      </c>
      <c r="Q26" s="18">
        <v>10</v>
      </c>
      <c r="R26" s="18"/>
      <c r="S26" s="18"/>
      <c r="T26" s="18"/>
      <c r="U26" s="18"/>
    </row>
    <row r="27" spans="4:21" x14ac:dyDescent="0.25">
      <c r="D27" s="9" t="s">
        <v>9</v>
      </c>
      <c r="E27" s="9" t="s">
        <v>90</v>
      </c>
      <c r="F27" s="15" t="s">
        <v>258</v>
      </c>
      <c r="G27" s="15" t="s">
        <v>186</v>
      </c>
      <c r="H27" s="15">
        <v>9</v>
      </c>
      <c r="I27" s="9" t="s">
        <v>22</v>
      </c>
      <c r="J27" s="15" t="s">
        <v>377</v>
      </c>
      <c r="K27" s="18">
        <v>121500000</v>
      </c>
      <c r="L27" s="18"/>
      <c r="M27" s="18"/>
      <c r="N27" s="18">
        <v>30</v>
      </c>
      <c r="O27" s="18">
        <v>30</v>
      </c>
      <c r="P27" s="18">
        <v>30</v>
      </c>
      <c r="Q27" s="18">
        <v>10</v>
      </c>
      <c r="R27" s="18"/>
      <c r="S27" s="18"/>
      <c r="T27" s="18"/>
      <c r="U27" s="18"/>
    </row>
    <row r="28" spans="4:21" x14ac:dyDescent="0.25">
      <c r="D28" s="9" t="s">
        <v>9</v>
      </c>
      <c r="E28" s="9" t="s">
        <v>3</v>
      </c>
      <c r="F28" s="15" t="s">
        <v>258</v>
      </c>
      <c r="G28" s="15" t="s">
        <v>186</v>
      </c>
      <c r="H28" s="15">
        <v>3</v>
      </c>
      <c r="I28" s="9" t="s">
        <v>22</v>
      </c>
      <c r="J28" s="15" t="s">
        <v>377</v>
      </c>
      <c r="K28" s="18">
        <v>70680000</v>
      </c>
      <c r="L28" s="18"/>
      <c r="M28" s="18"/>
      <c r="N28" s="18">
        <v>30</v>
      </c>
      <c r="O28" s="18">
        <v>30</v>
      </c>
      <c r="P28" s="18">
        <v>30</v>
      </c>
      <c r="Q28" s="18">
        <v>10</v>
      </c>
      <c r="R28" s="18"/>
      <c r="S28" s="18"/>
      <c r="T28" s="18"/>
      <c r="U28" s="18"/>
    </row>
    <row r="29" spans="4:21" x14ac:dyDescent="0.25">
      <c r="D29" s="9" t="s">
        <v>9</v>
      </c>
      <c r="E29" s="9" t="s">
        <v>3</v>
      </c>
      <c r="F29" s="15" t="s">
        <v>258</v>
      </c>
      <c r="G29" s="15" t="s">
        <v>186</v>
      </c>
      <c r="H29" s="15">
        <v>4</v>
      </c>
      <c r="I29" s="9" t="s">
        <v>22</v>
      </c>
      <c r="J29" s="15" t="s">
        <v>377</v>
      </c>
      <c r="K29" s="18">
        <v>81860000</v>
      </c>
      <c r="L29" s="18"/>
      <c r="M29" s="18"/>
      <c r="N29" s="18">
        <v>30</v>
      </c>
      <c r="O29" s="18">
        <v>30</v>
      </c>
      <c r="P29" s="18">
        <v>30</v>
      </c>
      <c r="Q29" s="18">
        <v>10</v>
      </c>
      <c r="R29" s="18"/>
      <c r="S29" s="18"/>
      <c r="T29" s="18"/>
      <c r="U29" s="18"/>
    </row>
    <row r="30" spans="4:21" x14ac:dyDescent="0.25">
      <c r="D30" s="9" t="s">
        <v>9</v>
      </c>
      <c r="E30" s="9" t="s">
        <v>3</v>
      </c>
      <c r="F30" s="15" t="s">
        <v>258</v>
      </c>
      <c r="G30" s="15" t="s">
        <v>186</v>
      </c>
      <c r="H30" s="15">
        <v>5</v>
      </c>
      <c r="I30" s="9" t="s">
        <v>22</v>
      </c>
      <c r="J30" s="15" t="s">
        <v>377</v>
      </c>
      <c r="K30" s="18">
        <v>92590000</v>
      </c>
      <c r="L30" s="18"/>
      <c r="M30" s="18"/>
      <c r="N30" s="18">
        <v>30</v>
      </c>
      <c r="O30" s="18">
        <v>30</v>
      </c>
      <c r="P30" s="18">
        <v>30</v>
      </c>
      <c r="Q30" s="18">
        <v>10</v>
      </c>
      <c r="R30" s="18"/>
      <c r="S30" s="18"/>
      <c r="T30" s="18"/>
      <c r="U30" s="18"/>
    </row>
    <row r="31" spans="4:21" x14ac:dyDescent="0.25">
      <c r="D31" s="9" t="s">
        <v>9</v>
      </c>
      <c r="E31" s="9" t="s">
        <v>3</v>
      </c>
      <c r="F31" s="15" t="s">
        <v>258</v>
      </c>
      <c r="G31" s="15" t="s">
        <v>186</v>
      </c>
      <c r="H31" s="15">
        <v>6</v>
      </c>
      <c r="I31" s="9" t="s">
        <v>22</v>
      </c>
      <c r="J31" s="15" t="s">
        <v>377</v>
      </c>
      <c r="K31" s="18">
        <v>102910000</v>
      </c>
      <c r="L31" s="18"/>
      <c r="M31" s="18"/>
      <c r="N31" s="18">
        <v>30</v>
      </c>
      <c r="O31" s="18">
        <v>30</v>
      </c>
      <c r="P31" s="18">
        <v>30</v>
      </c>
      <c r="Q31" s="18">
        <v>10</v>
      </c>
      <c r="R31" s="18"/>
      <c r="S31" s="18"/>
      <c r="T31" s="18"/>
      <c r="U31" s="18"/>
    </row>
    <row r="32" spans="4:21" x14ac:dyDescent="0.25">
      <c r="D32" s="9" t="s">
        <v>9</v>
      </c>
      <c r="E32" s="9" t="s">
        <v>3</v>
      </c>
      <c r="F32" s="15" t="s">
        <v>258</v>
      </c>
      <c r="G32" s="15" t="s">
        <v>186</v>
      </c>
      <c r="H32" s="15">
        <v>7</v>
      </c>
      <c r="I32" s="9" t="s">
        <v>22</v>
      </c>
      <c r="J32" s="15" t="s">
        <v>377</v>
      </c>
      <c r="K32" s="18">
        <v>107900000</v>
      </c>
      <c r="L32" s="18"/>
      <c r="M32" s="18"/>
      <c r="N32" s="18">
        <v>30</v>
      </c>
      <c r="O32" s="18">
        <v>30</v>
      </c>
      <c r="P32" s="18">
        <v>30</v>
      </c>
      <c r="Q32" s="18">
        <v>10</v>
      </c>
      <c r="R32" s="18"/>
      <c r="S32" s="18"/>
      <c r="T32" s="18"/>
      <c r="U32" s="18"/>
    </row>
    <row r="33" spans="4:21" x14ac:dyDescent="0.25">
      <c r="D33" s="9" t="s">
        <v>9</v>
      </c>
      <c r="E33" s="9" t="s">
        <v>3</v>
      </c>
      <c r="F33" s="15" t="s">
        <v>258</v>
      </c>
      <c r="G33" s="15" t="s">
        <v>186</v>
      </c>
      <c r="H33" s="15">
        <v>8</v>
      </c>
      <c r="I33" s="9" t="s">
        <v>22</v>
      </c>
      <c r="J33" s="15" t="s">
        <v>377</v>
      </c>
      <c r="K33" s="18">
        <v>112250000</v>
      </c>
      <c r="L33" s="18"/>
      <c r="M33" s="18"/>
      <c r="N33" s="18">
        <v>30</v>
      </c>
      <c r="O33" s="18">
        <v>30</v>
      </c>
      <c r="P33" s="18">
        <v>30</v>
      </c>
      <c r="Q33" s="18">
        <v>10</v>
      </c>
      <c r="R33" s="18"/>
      <c r="S33" s="18"/>
      <c r="T33" s="18"/>
      <c r="U33" s="18"/>
    </row>
    <row r="34" spans="4:21" x14ac:dyDescent="0.25">
      <c r="D34" s="9" t="s">
        <v>9</v>
      </c>
      <c r="E34" s="9" t="s">
        <v>3</v>
      </c>
      <c r="F34" s="15" t="s">
        <v>258</v>
      </c>
      <c r="G34" s="15" t="s">
        <v>186</v>
      </c>
      <c r="H34" s="15">
        <v>9</v>
      </c>
      <c r="I34" s="9" t="s">
        <v>22</v>
      </c>
      <c r="J34" s="15" t="s">
        <v>377</v>
      </c>
      <c r="K34" s="18">
        <v>121500000</v>
      </c>
      <c r="L34" s="18"/>
      <c r="M34" s="18"/>
      <c r="N34" s="18">
        <v>30</v>
      </c>
      <c r="O34" s="18">
        <v>30</v>
      </c>
      <c r="P34" s="18">
        <v>30</v>
      </c>
      <c r="Q34" s="18">
        <v>10</v>
      </c>
      <c r="R34" s="18"/>
      <c r="S34" s="18"/>
      <c r="T34" s="18"/>
      <c r="U34" s="18"/>
    </row>
    <row r="35" spans="4:21" x14ac:dyDescent="0.25">
      <c r="D35" s="9" t="s">
        <v>90</v>
      </c>
      <c r="E35" s="9" t="s">
        <v>26</v>
      </c>
      <c r="F35" s="15" t="s">
        <v>258</v>
      </c>
      <c r="G35" s="15" t="s">
        <v>186</v>
      </c>
      <c r="H35" s="15">
        <v>2</v>
      </c>
      <c r="I35" s="9" t="s">
        <v>22</v>
      </c>
      <c r="J35" s="15" t="s">
        <v>377</v>
      </c>
      <c r="K35" s="18">
        <v>85350000</v>
      </c>
      <c r="L35" s="18"/>
      <c r="M35" s="18"/>
      <c r="N35" s="18">
        <v>30</v>
      </c>
      <c r="O35" s="18">
        <v>30</v>
      </c>
      <c r="P35" s="18">
        <v>30</v>
      </c>
      <c r="Q35" s="18">
        <v>10</v>
      </c>
      <c r="R35" s="18"/>
      <c r="S35" s="18"/>
      <c r="T35" s="18"/>
      <c r="U35" s="18"/>
    </row>
    <row r="36" spans="4:21" x14ac:dyDescent="0.25">
      <c r="D36" s="9" t="s">
        <v>90</v>
      </c>
      <c r="E36" s="9" t="s">
        <v>26</v>
      </c>
      <c r="F36" s="15" t="s">
        <v>258</v>
      </c>
      <c r="G36" s="15" t="s">
        <v>186</v>
      </c>
      <c r="H36" s="15">
        <v>3</v>
      </c>
      <c r="I36" s="9" t="s">
        <v>22</v>
      </c>
      <c r="J36" s="15" t="s">
        <v>377</v>
      </c>
      <c r="K36" s="18">
        <v>90600000</v>
      </c>
      <c r="L36" s="18"/>
      <c r="M36" s="18"/>
      <c r="N36" s="18">
        <v>30</v>
      </c>
      <c r="O36" s="18">
        <v>30</v>
      </c>
      <c r="P36" s="18">
        <v>30</v>
      </c>
      <c r="Q36" s="18">
        <v>10</v>
      </c>
      <c r="R36" s="18"/>
      <c r="S36" s="18"/>
      <c r="T36" s="18"/>
      <c r="U36" s="18"/>
    </row>
    <row r="37" spans="4:21" x14ac:dyDescent="0.25">
      <c r="D37" s="9" t="s">
        <v>90</v>
      </c>
      <c r="E37" s="9" t="s">
        <v>26</v>
      </c>
      <c r="F37" s="15" t="s">
        <v>258</v>
      </c>
      <c r="G37" s="15" t="s">
        <v>186</v>
      </c>
      <c r="H37" s="15">
        <v>4</v>
      </c>
      <c r="I37" s="9" t="s">
        <v>22</v>
      </c>
      <c r="J37" s="15" t="s">
        <v>377</v>
      </c>
      <c r="K37" s="18">
        <v>97870000</v>
      </c>
      <c r="L37" s="18"/>
      <c r="M37" s="18"/>
      <c r="N37" s="18">
        <v>30</v>
      </c>
      <c r="O37" s="18">
        <v>30</v>
      </c>
      <c r="P37" s="18">
        <v>30</v>
      </c>
      <c r="Q37" s="18">
        <v>10</v>
      </c>
      <c r="R37" s="18"/>
      <c r="S37" s="18"/>
      <c r="T37" s="18"/>
      <c r="U37" s="18"/>
    </row>
    <row r="38" spans="4:21" x14ac:dyDescent="0.25">
      <c r="D38" s="9" t="s">
        <v>90</v>
      </c>
      <c r="E38" s="9" t="s">
        <v>26</v>
      </c>
      <c r="F38" s="15" t="s">
        <v>258</v>
      </c>
      <c r="G38" s="15" t="s">
        <v>186</v>
      </c>
      <c r="H38" s="15">
        <v>5</v>
      </c>
      <c r="I38" s="9" t="s">
        <v>22</v>
      </c>
      <c r="J38" s="15" t="s">
        <v>377</v>
      </c>
      <c r="K38" s="18">
        <v>110350000</v>
      </c>
      <c r="L38" s="18"/>
      <c r="M38" s="18"/>
      <c r="N38" s="18">
        <v>30</v>
      </c>
      <c r="O38" s="18">
        <v>30</v>
      </c>
      <c r="P38" s="18">
        <v>30</v>
      </c>
      <c r="Q38" s="18">
        <v>10</v>
      </c>
      <c r="R38" s="18"/>
      <c r="S38" s="18"/>
      <c r="T38" s="18"/>
      <c r="U38" s="18"/>
    </row>
    <row r="39" spans="4:21" x14ac:dyDescent="0.25">
      <c r="D39" s="9" t="s">
        <v>90</v>
      </c>
      <c r="E39" s="9" t="s">
        <v>26</v>
      </c>
      <c r="F39" s="15" t="s">
        <v>258</v>
      </c>
      <c r="G39" s="15" t="s">
        <v>186</v>
      </c>
      <c r="H39" s="15">
        <v>6</v>
      </c>
      <c r="I39" s="9" t="s">
        <v>22</v>
      </c>
      <c r="J39" s="15" t="s">
        <v>377</v>
      </c>
      <c r="K39" s="18">
        <v>122040000</v>
      </c>
      <c r="L39" s="18"/>
      <c r="M39" s="18"/>
      <c r="N39" s="18">
        <v>30</v>
      </c>
      <c r="O39" s="18">
        <v>30</v>
      </c>
      <c r="P39" s="18">
        <v>30</v>
      </c>
      <c r="Q39" s="18">
        <v>10</v>
      </c>
      <c r="R39" s="18"/>
      <c r="S39" s="18"/>
      <c r="T39" s="18"/>
      <c r="U39" s="18"/>
    </row>
    <row r="40" spans="4:21" x14ac:dyDescent="0.25">
      <c r="D40" s="9" t="s">
        <v>4</v>
      </c>
      <c r="E40" s="9" t="s">
        <v>9</v>
      </c>
      <c r="F40" s="15" t="s">
        <v>261</v>
      </c>
      <c r="G40" s="15" t="s">
        <v>186</v>
      </c>
      <c r="H40" s="15">
        <v>3</v>
      </c>
      <c r="I40" s="9" t="s">
        <v>22</v>
      </c>
      <c r="J40" s="15" t="s">
        <v>377</v>
      </c>
      <c r="K40" s="18">
        <v>41260000</v>
      </c>
      <c r="L40" s="18"/>
      <c r="M40" s="18"/>
      <c r="N40" s="18">
        <v>30</v>
      </c>
      <c r="O40" s="18">
        <v>30</v>
      </c>
      <c r="P40" s="18">
        <v>30</v>
      </c>
      <c r="Q40" s="18">
        <v>10</v>
      </c>
      <c r="R40" s="18"/>
      <c r="S40" s="18"/>
      <c r="T40" s="18"/>
      <c r="U40" s="18"/>
    </row>
    <row r="41" spans="4:21" x14ac:dyDescent="0.25">
      <c r="D41" s="9" t="s">
        <v>4</v>
      </c>
      <c r="E41" s="9" t="s">
        <v>9</v>
      </c>
      <c r="F41" s="15" t="s">
        <v>261</v>
      </c>
      <c r="G41" s="15" t="s">
        <v>186</v>
      </c>
      <c r="H41" s="15">
        <v>4</v>
      </c>
      <c r="I41" s="9" t="s">
        <v>22</v>
      </c>
      <c r="J41" s="15" t="s">
        <v>377</v>
      </c>
      <c r="K41" s="18">
        <v>48600000</v>
      </c>
      <c r="L41" s="18"/>
      <c r="M41" s="18"/>
      <c r="N41" s="18">
        <v>30</v>
      </c>
      <c r="O41" s="18">
        <v>30</v>
      </c>
      <c r="P41" s="18">
        <v>30</v>
      </c>
      <c r="Q41" s="18">
        <v>10</v>
      </c>
      <c r="R41" s="18"/>
      <c r="S41" s="18"/>
      <c r="T41" s="18"/>
      <c r="U41" s="18"/>
    </row>
    <row r="42" spans="4:21" x14ac:dyDescent="0.25">
      <c r="D42" s="9" t="s">
        <v>4</v>
      </c>
      <c r="E42" s="9" t="s">
        <v>9</v>
      </c>
      <c r="F42" s="15" t="s">
        <v>261</v>
      </c>
      <c r="G42" s="15" t="s">
        <v>186</v>
      </c>
      <c r="H42" s="15">
        <v>5</v>
      </c>
      <c r="I42" s="9" t="s">
        <v>22</v>
      </c>
      <c r="J42" s="15" t="s">
        <v>377</v>
      </c>
      <c r="K42" s="18">
        <v>48600000</v>
      </c>
      <c r="L42" s="18"/>
      <c r="M42" s="18"/>
      <c r="N42" s="18">
        <v>30</v>
      </c>
      <c r="O42" s="18">
        <v>30</v>
      </c>
      <c r="P42" s="18">
        <v>30</v>
      </c>
      <c r="Q42" s="18">
        <v>10</v>
      </c>
      <c r="R42" s="18"/>
      <c r="S42" s="18"/>
      <c r="T42" s="18"/>
      <c r="U42" s="18"/>
    </row>
    <row r="43" spans="4:21" x14ac:dyDescent="0.25">
      <c r="D43" s="9" t="s">
        <v>4</v>
      </c>
      <c r="E43" s="9" t="s">
        <v>9</v>
      </c>
      <c r="F43" s="15" t="s">
        <v>261</v>
      </c>
      <c r="G43" s="15" t="s">
        <v>186</v>
      </c>
      <c r="H43" s="15">
        <v>6</v>
      </c>
      <c r="I43" s="9" t="s">
        <v>22</v>
      </c>
      <c r="J43" s="15" t="s">
        <v>377</v>
      </c>
      <c r="K43" s="18">
        <v>55170000</v>
      </c>
      <c r="L43" s="18"/>
      <c r="M43" s="18"/>
      <c r="N43" s="18">
        <v>30</v>
      </c>
      <c r="O43" s="18">
        <v>30</v>
      </c>
      <c r="P43" s="18">
        <v>30</v>
      </c>
      <c r="Q43" s="18">
        <v>10</v>
      </c>
      <c r="R43" s="18"/>
      <c r="S43" s="18"/>
      <c r="T43" s="18"/>
      <c r="U43" s="18"/>
    </row>
    <row r="44" spans="4:21" x14ac:dyDescent="0.25">
      <c r="D44" s="9" t="s">
        <v>4</v>
      </c>
      <c r="E44" s="9" t="s">
        <v>9</v>
      </c>
      <c r="F44" s="15" t="s">
        <v>261</v>
      </c>
      <c r="G44" s="15" t="s">
        <v>186</v>
      </c>
      <c r="H44" s="15">
        <v>7</v>
      </c>
      <c r="I44" s="9" t="s">
        <v>22</v>
      </c>
      <c r="J44" s="15" t="s">
        <v>377</v>
      </c>
      <c r="K44" s="18">
        <v>61070000</v>
      </c>
      <c r="L44" s="18"/>
      <c r="M44" s="18"/>
      <c r="N44" s="18">
        <v>30</v>
      </c>
      <c r="O44" s="18">
        <v>30</v>
      </c>
      <c r="P44" s="18">
        <v>30</v>
      </c>
      <c r="Q44" s="18">
        <v>10</v>
      </c>
      <c r="R44" s="18"/>
      <c r="S44" s="18"/>
      <c r="T44" s="18"/>
      <c r="U44" s="18"/>
    </row>
    <row r="45" spans="4:21" x14ac:dyDescent="0.25">
      <c r="D45" s="9" t="s">
        <v>4</v>
      </c>
      <c r="E45" s="9" t="s">
        <v>9</v>
      </c>
      <c r="F45" s="15" t="s">
        <v>261</v>
      </c>
      <c r="G45" s="15" t="s">
        <v>186</v>
      </c>
      <c r="H45" s="15">
        <v>8</v>
      </c>
      <c r="I45" s="9" t="s">
        <v>22</v>
      </c>
      <c r="J45" s="15" t="s">
        <v>377</v>
      </c>
      <c r="K45" s="18">
        <v>67090000</v>
      </c>
      <c r="L45" s="18"/>
      <c r="M45" s="18"/>
      <c r="N45" s="18">
        <v>30</v>
      </c>
      <c r="O45" s="18">
        <v>30</v>
      </c>
      <c r="P45" s="18">
        <v>30</v>
      </c>
      <c r="Q45" s="18">
        <v>10</v>
      </c>
      <c r="R45" s="18"/>
      <c r="S45" s="18"/>
      <c r="T45" s="18"/>
      <c r="U45" s="18"/>
    </row>
    <row r="46" spans="4:21" x14ac:dyDescent="0.25">
      <c r="D46" s="9" t="s">
        <v>4</v>
      </c>
      <c r="E46" s="9" t="s">
        <v>9</v>
      </c>
      <c r="F46" s="15" t="s">
        <v>261</v>
      </c>
      <c r="G46" s="15" t="s">
        <v>186</v>
      </c>
      <c r="H46" s="15">
        <v>9</v>
      </c>
      <c r="I46" s="9" t="s">
        <v>22</v>
      </c>
      <c r="J46" s="15" t="s">
        <v>377</v>
      </c>
      <c r="K46" s="18">
        <v>70630000</v>
      </c>
      <c r="L46" s="18"/>
      <c r="M46" s="18"/>
      <c r="N46" s="18">
        <v>30</v>
      </c>
      <c r="O46" s="18">
        <v>30</v>
      </c>
      <c r="P46" s="18">
        <v>30</v>
      </c>
      <c r="Q46" s="18">
        <v>10</v>
      </c>
      <c r="R46" s="18"/>
      <c r="S46" s="18"/>
      <c r="T46" s="18"/>
      <c r="U46" s="18"/>
    </row>
    <row r="47" spans="4:21" x14ac:dyDescent="0.25">
      <c r="D47" s="9" t="s">
        <v>4</v>
      </c>
      <c r="E47" s="9" t="s">
        <v>9</v>
      </c>
      <c r="F47" s="15" t="s">
        <v>261</v>
      </c>
      <c r="G47" s="15" t="s">
        <v>186</v>
      </c>
      <c r="H47" s="15">
        <v>10</v>
      </c>
      <c r="I47" s="9" t="s">
        <v>22</v>
      </c>
      <c r="J47" s="15" t="s">
        <v>377</v>
      </c>
      <c r="K47" s="18">
        <v>74900000</v>
      </c>
      <c r="L47" s="18"/>
      <c r="M47" s="18"/>
      <c r="N47" s="18">
        <v>30</v>
      </c>
      <c r="O47" s="18">
        <v>30</v>
      </c>
      <c r="P47" s="18">
        <v>30</v>
      </c>
      <c r="Q47" s="18">
        <v>10</v>
      </c>
      <c r="R47" s="18"/>
      <c r="S47" s="18"/>
      <c r="T47" s="18"/>
      <c r="U47" s="18"/>
    </row>
    <row r="48" spans="4:21" x14ac:dyDescent="0.25">
      <c r="D48" s="9" t="s">
        <v>10</v>
      </c>
      <c r="E48" s="9" t="s">
        <v>9</v>
      </c>
      <c r="F48" s="15" t="s">
        <v>261</v>
      </c>
      <c r="G48" s="15" t="s">
        <v>186</v>
      </c>
      <c r="H48" s="15">
        <v>2</v>
      </c>
      <c r="I48" s="9" t="s">
        <v>22</v>
      </c>
      <c r="J48" s="15" t="s">
        <v>377</v>
      </c>
      <c r="K48" s="18">
        <v>20170000</v>
      </c>
      <c r="L48" s="18"/>
      <c r="M48" s="18"/>
      <c r="N48" s="18">
        <v>30</v>
      </c>
      <c r="O48" s="18">
        <v>30</v>
      </c>
      <c r="P48" s="18">
        <v>30</v>
      </c>
      <c r="Q48" s="18">
        <v>10</v>
      </c>
      <c r="R48" s="18"/>
      <c r="S48" s="18"/>
      <c r="T48" s="18"/>
      <c r="U48" s="18"/>
    </row>
    <row r="49" spans="4:21" x14ac:dyDescent="0.25">
      <c r="D49" s="9" t="s">
        <v>10</v>
      </c>
      <c r="E49" s="9" t="s">
        <v>9</v>
      </c>
      <c r="F49" s="15" t="s">
        <v>261</v>
      </c>
      <c r="G49" s="15" t="s">
        <v>186</v>
      </c>
      <c r="H49" s="15">
        <v>3</v>
      </c>
      <c r="I49" s="9" t="s">
        <v>22</v>
      </c>
      <c r="J49" s="15" t="s">
        <v>377</v>
      </c>
      <c r="K49" s="18">
        <v>29160000</v>
      </c>
      <c r="L49" s="18"/>
      <c r="M49" s="18"/>
      <c r="N49" s="18">
        <v>30</v>
      </c>
      <c r="O49" s="18">
        <v>30</v>
      </c>
      <c r="P49" s="18">
        <v>30</v>
      </c>
      <c r="Q49" s="18">
        <v>10</v>
      </c>
      <c r="R49" s="18"/>
      <c r="S49" s="18"/>
      <c r="T49" s="18"/>
      <c r="U49" s="18"/>
    </row>
    <row r="50" spans="4:21" x14ac:dyDescent="0.25">
      <c r="D50" s="9" t="s">
        <v>10</v>
      </c>
      <c r="E50" s="9" t="s">
        <v>9</v>
      </c>
      <c r="F50" s="15" t="s">
        <v>261</v>
      </c>
      <c r="G50" s="15" t="s">
        <v>186</v>
      </c>
      <c r="H50" s="15">
        <v>4</v>
      </c>
      <c r="I50" s="9" t="s">
        <v>22</v>
      </c>
      <c r="J50" s="15" t="s">
        <v>377</v>
      </c>
      <c r="K50" s="18">
        <v>33100000</v>
      </c>
      <c r="L50" s="18"/>
      <c r="M50" s="18"/>
      <c r="N50" s="18">
        <v>30</v>
      </c>
      <c r="O50" s="18">
        <v>30</v>
      </c>
      <c r="P50" s="18">
        <v>30</v>
      </c>
      <c r="Q50" s="18">
        <v>10</v>
      </c>
      <c r="R50" s="18"/>
      <c r="S50" s="18"/>
      <c r="T50" s="18"/>
      <c r="U50" s="18"/>
    </row>
    <row r="51" spans="4:21" x14ac:dyDescent="0.25">
      <c r="D51" s="9" t="s">
        <v>90</v>
      </c>
      <c r="E51" s="9" t="s">
        <v>3</v>
      </c>
      <c r="F51" s="15" t="s">
        <v>261</v>
      </c>
      <c r="G51" s="15" t="s">
        <v>186</v>
      </c>
      <c r="H51" s="15">
        <v>2</v>
      </c>
      <c r="I51" s="9" t="s">
        <v>22</v>
      </c>
      <c r="J51" s="15" t="s">
        <v>377</v>
      </c>
      <c r="K51" s="18">
        <v>17930000</v>
      </c>
      <c r="L51" s="9"/>
      <c r="M51" s="9"/>
      <c r="N51" s="9">
        <v>30</v>
      </c>
      <c r="O51" s="9">
        <v>30</v>
      </c>
      <c r="P51" s="9">
        <v>30</v>
      </c>
      <c r="Q51" s="9">
        <v>10</v>
      </c>
      <c r="R51" s="9"/>
      <c r="S51" s="9"/>
      <c r="T51" s="9"/>
      <c r="U51" s="9"/>
    </row>
    <row r="52" spans="4:21" x14ac:dyDescent="0.25">
      <c r="D52" s="9" t="s">
        <v>90</v>
      </c>
      <c r="E52" s="9" t="s">
        <v>3</v>
      </c>
      <c r="F52" s="15" t="s">
        <v>261</v>
      </c>
      <c r="G52" s="15" t="s">
        <v>186</v>
      </c>
      <c r="H52" s="15">
        <v>3</v>
      </c>
      <c r="I52" s="9" t="s">
        <v>22</v>
      </c>
      <c r="J52" s="15" t="s">
        <v>377</v>
      </c>
      <c r="K52" s="18">
        <v>22000000</v>
      </c>
      <c r="L52" s="9"/>
      <c r="M52" s="9"/>
      <c r="N52" s="9">
        <v>30</v>
      </c>
      <c r="O52" s="9">
        <v>30</v>
      </c>
      <c r="P52" s="9">
        <v>30</v>
      </c>
      <c r="Q52" s="9">
        <v>10</v>
      </c>
      <c r="R52" s="9"/>
      <c r="S52" s="9"/>
      <c r="T52" s="9"/>
      <c r="U52" s="9"/>
    </row>
    <row r="53" spans="4:21" x14ac:dyDescent="0.25">
      <c r="D53" s="9" t="s">
        <v>90</v>
      </c>
      <c r="E53" s="9" t="s">
        <v>3</v>
      </c>
      <c r="F53" s="15" t="s">
        <v>261</v>
      </c>
      <c r="G53" s="15" t="s">
        <v>186</v>
      </c>
      <c r="H53" s="15">
        <v>4</v>
      </c>
      <c r="I53" s="9" t="s">
        <v>22</v>
      </c>
      <c r="J53" s="15" t="s">
        <v>377</v>
      </c>
      <c r="K53" s="18">
        <v>25920000</v>
      </c>
      <c r="L53" s="9"/>
      <c r="M53" s="9"/>
      <c r="N53" s="9">
        <v>30</v>
      </c>
      <c r="O53" s="9">
        <v>30</v>
      </c>
      <c r="P53" s="9">
        <v>30</v>
      </c>
      <c r="Q53" s="9">
        <v>10</v>
      </c>
      <c r="R53" s="9"/>
      <c r="S53" s="9"/>
      <c r="T53" s="9"/>
      <c r="U53" s="9"/>
    </row>
    <row r="54" spans="4:21" x14ac:dyDescent="0.25">
      <c r="D54" s="9" t="s">
        <v>90</v>
      </c>
      <c r="E54" s="9" t="s">
        <v>3</v>
      </c>
      <c r="F54" s="15" t="s">
        <v>261</v>
      </c>
      <c r="G54" s="15" t="s">
        <v>186</v>
      </c>
      <c r="H54" s="15">
        <v>5</v>
      </c>
      <c r="I54" s="9" t="s">
        <v>22</v>
      </c>
      <c r="J54" s="15" t="s">
        <v>377</v>
      </c>
      <c r="K54" s="18">
        <v>25920000</v>
      </c>
      <c r="L54" s="9"/>
      <c r="M54" s="9"/>
      <c r="N54" s="9">
        <v>30</v>
      </c>
      <c r="O54" s="9">
        <v>30</v>
      </c>
      <c r="P54" s="9">
        <v>30</v>
      </c>
      <c r="Q54" s="9">
        <v>10</v>
      </c>
      <c r="R54" s="9"/>
      <c r="S54" s="9"/>
      <c r="T54" s="9"/>
      <c r="U54" s="9"/>
    </row>
    <row r="55" spans="4:21" x14ac:dyDescent="0.25">
      <c r="D55" s="9" t="s">
        <v>90</v>
      </c>
      <c r="E55" s="9" t="s">
        <v>3</v>
      </c>
      <c r="F55" s="15" t="s">
        <v>261</v>
      </c>
      <c r="G55" s="15" t="s">
        <v>186</v>
      </c>
      <c r="H55" s="15">
        <v>6</v>
      </c>
      <c r="I55" s="9" t="s">
        <v>22</v>
      </c>
      <c r="J55" s="15" t="s">
        <v>377</v>
      </c>
      <c r="K55" s="18">
        <v>29430000</v>
      </c>
      <c r="L55" s="9"/>
      <c r="M55" s="9"/>
      <c r="N55" s="9">
        <v>30</v>
      </c>
      <c r="O55" s="9">
        <v>30</v>
      </c>
      <c r="P55" s="9">
        <v>30</v>
      </c>
      <c r="Q55" s="9">
        <v>10</v>
      </c>
      <c r="R55" s="9"/>
      <c r="S55" s="9"/>
      <c r="T55" s="9"/>
      <c r="U55" s="9"/>
    </row>
    <row r="56" spans="4:21" x14ac:dyDescent="0.25">
      <c r="D56" s="9" t="s">
        <v>9</v>
      </c>
      <c r="E56" s="9" t="s">
        <v>90</v>
      </c>
      <c r="F56" s="15" t="s">
        <v>261</v>
      </c>
      <c r="G56" s="15" t="s">
        <v>186</v>
      </c>
      <c r="H56" s="15">
        <v>3</v>
      </c>
      <c r="I56" s="9" t="s">
        <v>22</v>
      </c>
      <c r="J56" s="15" t="s">
        <v>377</v>
      </c>
      <c r="K56" s="18">
        <v>68770000</v>
      </c>
      <c r="L56" s="9"/>
      <c r="M56" s="9"/>
      <c r="N56" s="9">
        <v>30</v>
      </c>
      <c r="O56" s="9">
        <v>30</v>
      </c>
      <c r="P56" s="9">
        <v>30</v>
      </c>
      <c r="Q56" s="9">
        <v>10</v>
      </c>
      <c r="R56" s="9"/>
      <c r="S56" s="9"/>
      <c r="T56" s="9"/>
      <c r="U56" s="9"/>
    </row>
    <row r="57" spans="4:21" x14ac:dyDescent="0.25">
      <c r="D57" s="9" t="s">
        <v>9</v>
      </c>
      <c r="E57" s="9" t="s">
        <v>90</v>
      </c>
      <c r="F57" s="15" t="s">
        <v>261</v>
      </c>
      <c r="G57" s="15" t="s">
        <v>186</v>
      </c>
      <c r="H57" s="15">
        <v>4</v>
      </c>
      <c r="I57" s="9" t="s">
        <v>22</v>
      </c>
      <c r="J57" s="15" t="s">
        <v>377</v>
      </c>
      <c r="K57" s="18">
        <v>81000000</v>
      </c>
      <c r="L57" s="9"/>
      <c r="M57" s="9"/>
      <c r="N57" s="9">
        <v>30</v>
      </c>
      <c r="O57" s="9">
        <v>30</v>
      </c>
      <c r="P57" s="9">
        <v>30</v>
      </c>
      <c r="Q57" s="9">
        <v>10</v>
      </c>
      <c r="R57" s="9"/>
      <c r="S57" s="9"/>
      <c r="T57" s="9"/>
      <c r="U57" s="9"/>
    </row>
    <row r="58" spans="4:21" x14ac:dyDescent="0.25">
      <c r="D58" s="9" t="s">
        <v>9</v>
      </c>
      <c r="E58" s="9" t="s">
        <v>90</v>
      </c>
      <c r="F58" s="15" t="s">
        <v>261</v>
      </c>
      <c r="G58" s="15" t="s">
        <v>186</v>
      </c>
      <c r="H58" s="15">
        <v>5</v>
      </c>
      <c r="I58" s="9" t="s">
        <v>22</v>
      </c>
      <c r="J58" s="15" t="s">
        <v>377</v>
      </c>
      <c r="K58" s="18">
        <v>81000000</v>
      </c>
      <c r="L58" s="9"/>
      <c r="M58" s="9"/>
      <c r="N58" s="9">
        <v>30</v>
      </c>
      <c r="O58" s="9">
        <v>30</v>
      </c>
      <c r="P58" s="9">
        <v>30</v>
      </c>
      <c r="Q58" s="9">
        <v>10</v>
      </c>
      <c r="R58" s="9"/>
      <c r="S58" s="9"/>
      <c r="T58" s="9"/>
      <c r="U58" s="9"/>
    </row>
    <row r="59" spans="4:21" x14ac:dyDescent="0.25">
      <c r="D59" s="9" t="s">
        <v>9</v>
      </c>
      <c r="E59" s="9" t="s">
        <v>90</v>
      </c>
      <c r="F59" s="15" t="s">
        <v>261</v>
      </c>
      <c r="G59" s="15" t="s">
        <v>186</v>
      </c>
      <c r="H59" s="15">
        <v>6</v>
      </c>
      <c r="I59" s="9" t="s">
        <v>22</v>
      </c>
      <c r="J59" s="15" t="s">
        <v>377</v>
      </c>
      <c r="K59" s="18">
        <v>92000000</v>
      </c>
      <c r="L59" s="9"/>
      <c r="M59" s="9"/>
      <c r="N59" s="9">
        <v>30</v>
      </c>
      <c r="O59" s="9">
        <v>30</v>
      </c>
      <c r="P59" s="9">
        <v>30</v>
      </c>
      <c r="Q59" s="9">
        <v>10</v>
      </c>
      <c r="R59" s="9"/>
      <c r="S59" s="9"/>
      <c r="T59" s="9"/>
      <c r="U59" s="9"/>
    </row>
    <row r="60" spans="4:21" x14ac:dyDescent="0.25">
      <c r="D60" s="9" t="s">
        <v>9</v>
      </c>
      <c r="E60" s="9" t="s">
        <v>90</v>
      </c>
      <c r="F60" s="15" t="s">
        <v>261</v>
      </c>
      <c r="G60" s="15" t="s">
        <v>186</v>
      </c>
      <c r="H60" s="15">
        <v>7</v>
      </c>
      <c r="I60" s="9" t="s">
        <v>22</v>
      </c>
      <c r="J60" s="15" t="s">
        <v>377</v>
      </c>
      <c r="K60" s="18">
        <v>102000000</v>
      </c>
      <c r="L60" s="9"/>
      <c r="M60" s="9"/>
      <c r="N60" s="9">
        <v>30</v>
      </c>
      <c r="O60" s="9">
        <v>30</v>
      </c>
      <c r="P60" s="9">
        <v>30</v>
      </c>
      <c r="Q60" s="9">
        <v>10</v>
      </c>
      <c r="R60" s="9"/>
      <c r="S60" s="9"/>
      <c r="T60" s="9"/>
      <c r="U60" s="9"/>
    </row>
    <row r="61" spans="4:21" x14ac:dyDescent="0.25">
      <c r="D61" s="9" t="s">
        <v>9</v>
      </c>
      <c r="E61" s="9" t="s">
        <v>90</v>
      </c>
      <c r="F61" s="15" t="s">
        <v>261</v>
      </c>
      <c r="G61" s="15" t="s">
        <v>186</v>
      </c>
      <c r="H61" s="15">
        <v>8</v>
      </c>
      <c r="I61" s="9" t="s">
        <v>22</v>
      </c>
      <c r="J61" s="15" t="s">
        <v>377</v>
      </c>
      <c r="K61" s="18">
        <v>112000000</v>
      </c>
      <c r="L61" s="9"/>
      <c r="M61" s="9"/>
      <c r="N61" s="9">
        <v>30</v>
      </c>
      <c r="O61" s="9">
        <v>30</v>
      </c>
      <c r="P61" s="9">
        <v>30</v>
      </c>
      <c r="Q61" s="9">
        <v>10</v>
      </c>
      <c r="R61" s="9"/>
      <c r="S61" s="9"/>
      <c r="T61" s="9"/>
      <c r="U61" s="9"/>
    </row>
    <row r="62" spans="4:21" x14ac:dyDescent="0.25">
      <c r="D62" s="9" t="s">
        <v>9</v>
      </c>
      <c r="E62" s="9" t="s">
        <v>90</v>
      </c>
      <c r="F62" s="15" t="s">
        <v>261</v>
      </c>
      <c r="G62" s="15" t="s">
        <v>186</v>
      </c>
      <c r="H62" s="15">
        <v>9</v>
      </c>
      <c r="I62" s="9" t="s">
        <v>22</v>
      </c>
      <c r="J62" s="15" t="s">
        <v>377</v>
      </c>
      <c r="K62" s="18">
        <v>117800000</v>
      </c>
      <c r="L62" s="9"/>
      <c r="M62" s="9"/>
      <c r="N62" s="9">
        <v>30</v>
      </c>
      <c r="O62" s="9">
        <v>30</v>
      </c>
      <c r="P62" s="9">
        <v>30</v>
      </c>
      <c r="Q62" s="9">
        <v>10</v>
      </c>
      <c r="R62" s="9"/>
      <c r="S62" s="9"/>
      <c r="T62" s="9"/>
      <c r="U62" s="9"/>
    </row>
    <row r="63" spans="4:21" x14ac:dyDescent="0.25">
      <c r="D63" s="9" t="s">
        <v>9</v>
      </c>
      <c r="E63" s="9" t="s">
        <v>3</v>
      </c>
      <c r="F63" s="15" t="s">
        <v>261</v>
      </c>
      <c r="G63" s="15" t="s">
        <v>186</v>
      </c>
      <c r="H63" s="15">
        <v>3</v>
      </c>
      <c r="I63" s="9" t="s">
        <v>22</v>
      </c>
      <c r="J63" s="15" t="s">
        <v>377</v>
      </c>
      <c r="K63" s="18">
        <v>68770000</v>
      </c>
      <c r="L63" s="9"/>
      <c r="M63" s="9"/>
      <c r="N63" s="9">
        <v>30</v>
      </c>
      <c r="O63" s="9">
        <v>30</v>
      </c>
      <c r="P63" s="9">
        <v>30</v>
      </c>
      <c r="Q63" s="9">
        <v>10</v>
      </c>
      <c r="R63" s="9"/>
      <c r="S63" s="9"/>
      <c r="T63" s="9"/>
      <c r="U63" s="9"/>
    </row>
    <row r="64" spans="4:21" x14ac:dyDescent="0.25">
      <c r="D64" s="9" t="s">
        <v>9</v>
      </c>
      <c r="E64" s="9" t="s">
        <v>3</v>
      </c>
      <c r="F64" s="15" t="s">
        <v>261</v>
      </c>
      <c r="G64" s="15" t="s">
        <v>186</v>
      </c>
      <c r="H64" s="15">
        <v>4</v>
      </c>
      <c r="I64" s="9" t="s">
        <v>22</v>
      </c>
      <c r="J64" s="15" t="s">
        <v>377</v>
      </c>
      <c r="K64" s="18">
        <v>81000000</v>
      </c>
      <c r="L64" s="9"/>
      <c r="M64" s="9"/>
      <c r="N64" s="9">
        <v>30</v>
      </c>
      <c r="O64" s="9">
        <v>30</v>
      </c>
      <c r="P64" s="9">
        <v>30</v>
      </c>
      <c r="Q64" s="9">
        <v>10</v>
      </c>
      <c r="R64" s="9"/>
      <c r="S64" s="9"/>
      <c r="T64" s="9"/>
      <c r="U64" s="9"/>
    </row>
    <row r="65" spans="4:21" x14ac:dyDescent="0.25">
      <c r="D65" s="9" t="s">
        <v>9</v>
      </c>
      <c r="E65" s="9" t="s">
        <v>3</v>
      </c>
      <c r="F65" s="15" t="s">
        <v>261</v>
      </c>
      <c r="G65" s="15" t="s">
        <v>186</v>
      </c>
      <c r="H65" s="15">
        <v>5</v>
      </c>
      <c r="I65" s="9" t="s">
        <v>22</v>
      </c>
      <c r="J65" s="15" t="s">
        <v>377</v>
      </c>
      <c r="K65" s="18">
        <v>81000000</v>
      </c>
      <c r="L65" s="9"/>
      <c r="M65" s="9"/>
      <c r="N65" s="9">
        <v>30</v>
      </c>
      <c r="O65" s="9">
        <v>30</v>
      </c>
      <c r="P65" s="9">
        <v>30</v>
      </c>
      <c r="Q65" s="9">
        <v>10</v>
      </c>
      <c r="R65" s="9"/>
      <c r="S65" s="9"/>
      <c r="T65" s="9"/>
      <c r="U65" s="9"/>
    </row>
    <row r="66" spans="4:21" x14ac:dyDescent="0.25">
      <c r="D66" s="9" t="s">
        <v>9</v>
      </c>
      <c r="E66" s="9" t="s">
        <v>3</v>
      </c>
      <c r="F66" s="15" t="s">
        <v>261</v>
      </c>
      <c r="G66" s="15" t="s">
        <v>186</v>
      </c>
      <c r="H66" s="15">
        <v>6</v>
      </c>
      <c r="I66" s="9" t="s">
        <v>22</v>
      </c>
      <c r="J66" s="15" t="s">
        <v>377</v>
      </c>
      <c r="K66" s="18">
        <v>92000000</v>
      </c>
      <c r="L66" s="9"/>
      <c r="M66" s="9"/>
      <c r="N66" s="9">
        <v>30</v>
      </c>
      <c r="O66" s="9">
        <v>30</v>
      </c>
      <c r="P66" s="9">
        <v>30</v>
      </c>
      <c r="Q66" s="9">
        <v>10</v>
      </c>
      <c r="R66" s="9"/>
      <c r="S66" s="9"/>
      <c r="T66" s="9"/>
      <c r="U66" s="9"/>
    </row>
    <row r="67" spans="4:21" x14ac:dyDescent="0.25">
      <c r="D67" s="9" t="s">
        <v>9</v>
      </c>
      <c r="E67" s="9" t="s">
        <v>3</v>
      </c>
      <c r="F67" s="15" t="s">
        <v>261</v>
      </c>
      <c r="G67" s="15" t="s">
        <v>186</v>
      </c>
      <c r="H67" s="15">
        <v>7</v>
      </c>
      <c r="I67" s="9" t="s">
        <v>22</v>
      </c>
      <c r="J67" s="15" t="s">
        <v>377</v>
      </c>
      <c r="K67" s="18">
        <v>102000000</v>
      </c>
      <c r="L67" s="9"/>
      <c r="M67" s="9"/>
      <c r="N67" s="9">
        <v>30</v>
      </c>
      <c r="O67" s="9">
        <v>30</v>
      </c>
      <c r="P67" s="9">
        <v>30</v>
      </c>
      <c r="Q67" s="9">
        <v>10</v>
      </c>
      <c r="R67" s="9"/>
      <c r="S67" s="9"/>
      <c r="T67" s="9"/>
      <c r="U67" s="9"/>
    </row>
    <row r="68" spans="4:21" x14ac:dyDescent="0.25">
      <c r="D68" s="9" t="s">
        <v>9</v>
      </c>
      <c r="E68" s="9" t="s">
        <v>3</v>
      </c>
      <c r="F68" s="15" t="s">
        <v>261</v>
      </c>
      <c r="G68" s="15" t="s">
        <v>186</v>
      </c>
      <c r="H68" s="15">
        <v>8</v>
      </c>
      <c r="I68" s="9" t="s">
        <v>22</v>
      </c>
      <c r="J68" s="15" t="s">
        <v>377</v>
      </c>
      <c r="K68" s="18">
        <v>112000000</v>
      </c>
      <c r="L68" s="9"/>
      <c r="M68" s="9"/>
      <c r="N68" s="9">
        <v>30</v>
      </c>
      <c r="O68" s="9">
        <v>30</v>
      </c>
      <c r="P68" s="9">
        <v>30</v>
      </c>
      <c r="Q68" s="9">
        <v>10</v>
      </c>
      <c r="R68" s="9"/>
      <c r="S68" s="9"/>
      <c r="T68" s="9"/>
      <c r="U68" s="9"/>
    </row>
    <row r="69" spans="4:21" x14ac:dyDescent="0.25">
      <c r="D69" s="9" t="s">
        <v>9</v>
      </c>
      <c r="E69" s="9" t="s">
        <v>3</v>
      </c>
      <c r="F69" s="15" t="s">
        <v>261</v>
      </c>
      <c r="G69" s="15" t="s">
        <v>186</v>
      </c>
      <c r="H69" s="15">
        <v>9</v>
      </c>
      <c r="I69" s="9" t="s">
        <v>22</v>
      </c>
      <c r="J69" s="15" t="s">
        <v>377</v>
      </c>
      <c r="K69" s="18">
        <v>117800000</v>
      </c>
      <c r="L69" s="9"/>
      <c r="M69" s="9"/>
      <c r="N69" s="9">
        <v>30</v>
      </c>
      <c r="O69" s="9">
        <v>30</v>
      </c>
      <c r="P69" s="9">
        <v>30</v>
      </c>
      <c r="Q69" s="9">
        <v>10</v>
      </c>
      <c r="R69" s="9"/>
      <c r="S69" s="9"/>
      <c r="T69" s="9"/>
      <c r="U69" s="9"/>
    </row>
    <row r="70" spans="4:21" x14ac:dyDescent="0.25">
      <c r="D70" s="9" t="s">
        <v>90</v>
      </c>
      <c r="E70" s="9" t="s">
        <v>26</v>
      </c>
      <c r="F70" s="15" t="s">
        <v>261</v>
      </c>
      <c r="G70" s="15" t="s">
        <v>186</v>
      </c>
      <c r="H70" s="15">
        <v>2</v>
      </c>
      <c r="I70" s="9" t="s">
        <v>22</v>
      </c>
      <c r="J70" s="15" t="s">
        <v>377</v>
      </c>
      <c r="K70" s="18">
        <v>71730000</v>
      </c>
      <c r="L70" s="9"/>
      <c r="M70" s="9"/>
      <c r="N70" s="9">
        <v>30</v>
      </c>
      <c r="O70" s="9">
        <v>30</v>
      </c>
      <c r="P70" s="9">
        <v>30</v>
      </c>
      <c r="Q70" s="9">
        <v>10</v>
      </c>
      <c r="R70" s="9"/>
      <c r="S70" s="9"/>
      <c r="T70" s="9"/>
      <c r="U70" s="9"/>
    </row>
    <row r="71" spans="4:21" x14ac:dyDescent="0.25">
      <c r="D71" s="9" t="s">
        <v>90</v>
      </c>
      <c r="E71" s="9" t="s">
        <v>26</v>
      </c>
      <c r="F71" s="15" t="s">
        <v>261</v>
      </c>
      <c r="G71" s="15" t="s">
        <v>186</v>
      </c>
      <c r="H71" s="15">
        <v>3</v>
      </c>
      <c r="I71" s="9" t="s">
        <v>22</v>
      </c>
      <c r="J71" s="15" t="s">
        <v>377</v>
      </c>
      <c r="K71" s="18">
        <v>88030000</v>
      </c>
      <c r="L71" s="9"/>
      <c r="M71" s="9"/>
      <c r="N71" s="9">
        <v>30</v>
      </c>
      <c r="O71" s="9">
        <v>30</v>
      </c>
      <c r="P71" s="9">
        <v>30</v>
      </c>
      <c r="Q71" s="9">
        <v>10</v>
      </c>
      <c r="R71" s="9"/>
      <c r="S71" s="9"/>
      <c r="T71" s="9"/>
      <c r="U71" s="9"/>
    </row>
    <row r="72" spans="4:21" x14ac:dyDescent="0.25">
      <c r="D72" s="9" t="s">
        <v>90</v>
      </c>
      <c r="E72" s="9" t="s">
        <v>26</v>
      </c>
      <c r="F72" s="15" t="s">
        <v>261</v>
      </c>
      <c r="G72" s="15" t="s">
        <v>186</v>
      </c>
      <c r="H72" s="15">
        <v>4</v>
      </c>
      <c r="I72" s="9" t="s">
        <v>22</v>
      </c>
      <c r="J72" s="15" t="s">
        <v>377</v>
      </c>
      <c r="K72" s="18">
        <v>103700000</v>
      </c>
      <c r="L72" s="9"/>
      <c r="M72" s="9"/>
      <c r="N72" s="9">
        <v>30</v>
      </c>
      <c r="O72" s="9">
        <v>30</v>
      </c>
      <c r="P72" s="9">
        <v>30</v>
      </c>
      <c r="Q72" s="9">
        <v>10</v>
      </c>
      <c r="R72" s="9"/>
      <c r="S72" s="9"/>
      <c r="T72" s="9"/>
      <c r="U72" s="9"/>
    </row>
    <row r="73" spans="4:21" x14ac:dyDescent="0.25">
      <c r="D73" s="9" t="s">
        <v>90</v>
      </c>
      <c r="E73" s="9" t="s">
        <v>26</v>
      </c>
      <c r="F73" s="15" t="s">
        <v>261</v>
      </c>
      <c r="G73" s="15" t="s">
        <v>186</v>
      </c>
      <c r="H73" s="15">
        <v>5</v>
      </c>
      <c r="I73" s="9" t="s">
        <v>22</v>
      </c>
      <c r="J73" s="15" t="s">
        <v>377</v>
      </c>
      <c r="K73" s="18">
        <v>103700000</v>
      </c>
      <c r="L73" s="9"/>
      <c r="M73" s="9"/>
      <c r="N73" s="9">
        <v>30</v>
      </c>
      <c r="O73" s="9">
        <v>30</v>
      </c>
      <c r="P73" s="9">
        <v>30</v>
      </c>
      <c r="Q73" s="9">
        <v>10</v>
      </c>
      <c r="R73" s="9"/>
      <c r="S73" s="9"/>
      <c r="T73" s="9"/>
      <c r="U73" s="9"/>
    </row>
    <row r="74" spans="4:21" ht="15.75" thickBot="1" x14ac:dyDescent="0.3">
      <c r="D74" s="10" t="s">
        <v>90</v>
      </c>
      <c r="E74" s="10" t="s">
        <v>26</v>
      </c>
      <c r="F74" s="16" t="s">
        <v>261</v>
      </c>
      <c r="G74" s="16" t="s">
        <v>186</v>
      </c>
      <c r="H74" s="16">
        <v>6</v>
      </c>
      <c r="I74" s="10" t="s">
        <v>22</v>
      </c>
      <c r="J74" s="10" t="s">
        <v>377</v>
      </c>
      <c r="K74" s="46">
        <v>117700000</v>
      </c>
      <c r="L74" s="10"/>
      <c r="M74" s="10"/>
      <c r="N74" s="10">
        <v>30</v>
      </c>
      <c r="O74" s="10">
        <v>30</v>
      </c>
      <c r="P74" s="10">
        <v>30</v>
      </c>
      <c r="Q74" s="10">
        <v>10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35</vt:i4>
      </vt:variant>
    </vt:vector>
  </HeadingPairs>
  <TitlesOfParts>
    <vt:vector size="72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BeneficiationNames</vt:lpstr>
      <vt:lpstr>BeneficiationProcess</vt:lpstr>
      <vt:lpstr>Currency</vt:lpstr>
      <vt:lpstr>db</vt:lpstr>
      <vt:lpstr>ds_host</vt:lpstr>
      <vt:lpstr>ds_port</vt:lpstr>
      <vt:lpstr>ENTITIES</vt:lpstr>
      <vt:lpstr>'Spare SP'!GranulationName</vt:lpstr>
      <vt:lpstr>GranulationOptionsCapacity</vt:lpstr>
      <vt:lpstr>GranulCapacities</vt:lpstr>
      <vt:lpstr>GranulInputs</vt:lpstr>
      <vt:lpstr>'Conversion matrix'!GranulProcess</vt:lpstr>
      <vt:lpstr>GranulProcess</vt:lpstr>
      <vt:lpstr>GranulProducts</vt:lpstr>
      <vt:lpstr>Location</vt:lpstr>
      <vt:lpstr>LogisticCapacity</vt:lpstr>
      <vt:lpstr>LogisticsCapex</vt:lpstr>
      <vt:lpstr>'Conversion matrix'!LogisticsMethod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cp:lastPrinted>2019-09-24T08:45:31Z</cp:lastPrinted>
  <dcterms:created xsi:type="dcterms:W3CDTF">2019-06-13T15:12:33Z</dcterms:created>
  <dcterms:modified xsi:type="dcterms:W3CDTF">2019-11-28T17:07:22Z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