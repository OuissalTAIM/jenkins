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3.xml" ContentType="application/vnd.openxmlformats-officedocument.spreadsheetml.comment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omments4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omments5.xml" ContentType="application/vnd.openxmlformats-officedocument.spreadsheetml.comment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6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7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8.xml" ContentType="application/vnd.openxmlformats-officedocument.spreadsheetml.comment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omments9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omments10.xml" ContentType="application/vnd.openxmlformats-officedocument.spreadsheetml.comments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22430" windowHeight="6380" tabRatio="801" activeTab="2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mmon dict" sheetId="28" r:id="rId6"/>
    <sheet name="MINING &gt;&gt;&gt;" sheetId="1" r:id="rId7"/>
    <sheet name="MINING options" sheetId="3" r:id="rId8"/>
    <sheet name="MINING production" sheetId="5" r:id="rId9"/>
    <sheet name="MINING opex" sheetId="4" r:id="rId10"/>
    <sheet name="MINING capex" sheetId="6" r:id="rId11"/>
    <sheet name="Beneficiation &gt;&gt;&gt;" sheetId="62" r:id="rId12"/>
    <sheet name="Beneficiation options" sheetId="63" r:id="rId13"/>
    <sheet name="Beneficiation production" sheetId="64" r:id="rId14"/>
    <sheet name="Beneficiation opex" sheetId="65" r:id="rId15"/>
    <sheet name="Beneficiation capex" sheetId="66" r:id="rId16"/>
    <sheet name="SAP &gt;&gt;&gt;" sheetId="29" r:id="rId17"/>
    <sheet name="SAP options" sheetId="30" r:id="rId18"/>
    <sheet name="SAP production" sheetId="31" r:id="rId19"/>
    <sheet name="SAP opex" sheetId="32" r:id="rId20"/>
    <sheet name="SAP capex" sheetId="33" r:id="rId21"/>
    <sheet name="PAP &gt;&gt;&gt;" sheetId="39" r:id="rId22"/>
    <sheet name="PAP options" sheetId="40" r:id="rId23"/>
    <sheet name="PAP production" sheetId="41" r:id="rId24"/>
    <sheet name="PAP opex" sheetId="42" r:id="rId25"/>
    <sheet name="PAP capex" sheetId="43" r:id="rId26"/>
    <sheet name="Granulation &gt;&gt;&gt;" sheetId="44" r:id="rId27"/>
    <sheet name="Granulation options" sheetId="45" r:id="rId28"/>
    <sheet name="Granulation production" sheetId="46" r:id="rId29"/>
    <sheet name="Granulation opex" sheetId="47" r:id="rId30"/>
    <sheet name="Granulation capex" sheetId="48" r:id="rId31"/>
    <sheet name="Logistics &gt;&gt;&gt;" sheetId="49" r:id="rId32"/>
    <sheet name="Logistics options" sheetId="50" r:id="rId33"/>
    <sheet name="Logistics opex" sheetId="51" r:id="rId34"/>
    <sheet name="Logistics capex" sheetId="52" r:id="rId35"/>
    <sheet name="Utilities &gt;&gt;&gt;" sheetId="53" r:id="rId36"/>
    <sheet name="Utilities options" sheetId="54" r:id="rId37"/>
    <sheet name="Utilities opex" sheetId="55" r:id="rId38"/>
    <sheet name="Utilities capex" sheetId="56" r:id="rId39"/>
    <sheet name="Port &gt;&gt;&gt;" sheetId="57" r:id="rId40"/>
    <sheet name="Port options" sheetId="58" r:id="rId41"/>
    <sheet name="Port production" sheetId="59" r:id="rId42"/>
    <sheet name="Port opex" sheetId="60" r:id="rId43"/>
    <sheet name="Port capex" sheetId="61" r:id="rId44"/>
  </sheets>
  <functionGroups builtInGroupCount="18">
    <functionGroup name="xlwings"/>
  </functionGroups>
  <externalReferences>
    <externalReference r:id="rId45"/>
    <externalReference r:id="rId46"/>
    <externalReference r:id="rId47"/>
  </externalReferences>
  <definedNames>
    <definedName name="BeneficiationNames">'Beneficiation &gt;&gt;&gt;'!$D$5:$D$40</definedName>
    <definedName name="BeneficiationProcess">'Beneficiation &gt;&gt;&gt;'!$F$5:$F$40</definedName>
    <definedName name="Currency">'Common dict'!$J$5:$J$40</definedName>
    <definedName name="ENTITIES">'[1]Common dict'!$R$5:$W$40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">#REF!</definedName>
    <definedName name="GranulationName" localSheetId="3">#REF!</definedName>
    <definedName name="GranulationName">#REF!</definedName>
    <definedName name="GranulationOptionsCapacity">'[1]Granulation options'!$G$5:$G$50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>'Granulation &gt;&gt;&gt;'!$N$5:$N$40</definedName>
    <definedName name="GranulInputs">'Granulation &gt;&gt;&gt;'!$L$5:$L$40</definedName>
    <definedName name="GranulProducts">'Granulation &gt;&gt;&gt;'!$H$5:$H$40</definedName>
    <definedName name="Location">'Common dict'!$D$5:$D$40</definedName>
    <definedName name="LogisticCapacity">'[1]Logistics options'!$I$5:$I$50</definedName>
    <definedName name="LogisticsCapex" localSheetId="1">#REF!</definedName>
    <definedName name="LogisticsCapex" localSheetId="3">#REF!</definedName>
    <definedName name="LogisticsCapex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options'!$K$5:$K$46</definedName>
    <definedName name="MineName">'MINING &gt;&gt;&gt;'!$D$5:$D$40</definedName>
    <definedName name="MineProcess">'MINING &gt;&gt;&gt;'!$F$5:$F$40</definedName>
    <definedName name="MineQuality">'MINING &gt;&gt;&gt;'!$H$5:$H$40</definedName>
    <definedName name="Names">'Common dict'!$N$5:$N$40</definedName>
    <definedName name="OPEX">'Common dict'!$F$5:$F$40</definedName>
    <definedName name="PAPCapex" localSheetId="1">#REF!</definedName>
    <definedName name="PAPCapex" localSheetId="3">#REF!</definedName>
    <definedName name="PAPCapex">#REF!</definedName>
    <definedName name="PAPInput" localSheetId="1">#REF!</definedName>
    <definedName name="PAPInput" localSheetId="3">#REF!</definedName>
    <definedName name="PAPInput">#REF!</definedName>
    <definedName name="PAPInputs">'PAP &gt;&gt;&gt;'!$O$5:$O$40</definedName>
    <definedName name="PAPMoniker" localSheetId="1">#REF!</definedName>
    <definedName name="PAPMoniker" localSheetId="3">#REF!</definedName>
    <definedName name="PAPMoniker">#REF!</definedName>
    <definedName name="PAPName" localSheetId="1">#REF!</definedName>
    <definedName name="PAPName" localSheetId="3">#REF!</definedName>
    <definedName name="PAPName">#REF!</definedName>
    <definedName name="PAPOptionsCapacity">'[2]PAP options'!$G$5:$G$57</definedName>
    <definedName name="PAPOptionsLocation">'[2]PAP options'!$D$5:$D$57</definedName>
    <definedName name="PAPOptionsName">'PAP options'!$E$5:$E$13</definedName>
    <definedName name="PAPOptionsProcess">'[2]PAP options'!$F$5:$F$57</definedName>
    <definedName name="PAPProcess" localSheetId="1">#REF!</definedName>
    <definedName name="PAPProcess" localSheetId="3">#REF!</definedName>
    <definedName name="PAPProcess">#REF!</definedName>
    <definedName name="PAPProduct" localSheetId="1">#REF!</definedName>
    <definedName name="PAPProduct" localSheetId="3">#REF!</definedName>
    <definedName name="PAPProduct">#REF!</definedName>
    <definedName name="PAPProducts">'PAP &gt;&gt;&gt;'!$H$5:$H$40</definedName>
    <definedName name="PAPSize" localSheetId="1">#REF!</definedName>
    <definedName name="PAPSize" localSheetId="3">#REF!</definedName>
    <definedName name="PAPSize">#REF!</definedName>
    <definedName name="PortActions" localSheetId="1">#REF!</definedName>
    <definedName name="PortActions" localSheetId="3">#REF!</definedName>
    <definedName name="PortActions">#REF!</definedName>
    <definedName name="PortCapacity">'[1]Port options'!$G$5:$G$50</definedName>
    <definedName name="PortCAPEX" localSheetId="1">#REF!</definedName>
    <definedName name="PortCAPEX" localSheetId="3">#REF!</definedName>
    <definedName name="PortCAPEX">#REF!</definedName>
    <definedName name="PortMoniker" localSheetId="1">#REF!</definedName>
    <definedName name="PortMoniker" localSheetId="3">#REF!</definedName>
    <definedName name="PortMoniker">#REF!</definedName>
    <definedName name="PortNames" localSheetId="1">#REF!</definedName>
    <definedName name="PortNames" localSheetId="3">#REF!</definedName>
    <definedName name="PortNames">#REF!</definedName>
    <definedName name="PortProducts" localSheetId="1">#REF!</definedName>
    <definedName name="PortProducts" localSheetId="3">#REF!</definedName>
    <definedName name="PortProducts">#REF!</definedName>
    <definedName name="Products">'Common dict'!$P$5:$P$39</definedName>
    <definedName name="ProductType">'Common dict'!$L$5:$L$40</definedName>
    <definedName name="SAPCapex" localSheetId="1">#REF!</definedName>
    <definedName name="SAPCapex" localSheetId="3">#REF!</definedName>
    <definedName name="SAPCapex">#REF!</definedName>
    <definedName name="SAPMoniker" localSheetId="1">#REF!</definedName>
    <definedName name="SAPMoniker" localSheetId="3">#REF!</definedName>
    <definedName name="SAPMoniker">#REF!</definedName>
    <definedName name="SAPName" localSheetId="1">#REF!</definedName>
    <definedName name="SAPName" localSheetId="3">#REF!</definedName>
    <definedName name="SAPName">#REF!</definedName>
    <definedName name="SAPOptionsCapacity">'SAP options'!$G$8:$G$27</definedName>
    <definedName name="SAPOptionsLocation">'SAP options'!$D$8:$D$27</definedName>
    <definedName name="SAPOptionsProcess">'SAP options'!$F$8:$F$27</definedName>
    <definedName name="SAPProcess" localSheetId="1">#REF!</definedName>
    <definedName name="SAPProcess" localSheetId="3">#REF!</definedName>
    <definedName name="SAPProcess">#REF!</definedName>
    <definedName name="SAPProduct" localSheetId="1">#REF!</definedName>
    <definedName name="SAPProduct" localSheetId="3">#REF!</definedName>
    <definedName name="SAPProduct">#REF!</definedName>
    <definedName name="SAPSize" localSheetId="1">#REF!</definedName>
    <definedName name="SAPSize" localSheetId="3">#REF!</definedName>
    <definedName name="SAPSize">#REF!</definedName>
    <definedName name="Unit">'Common dict'!$H$5:$H$40</definedName>
    <definedName name="UpDown" localSheetId="1">'[1]Logistics &gt;&gt;&gt;'!#REF!</definedName>
    <definedName name="UpDown" localSheetId="2">'[1]Logistics &gt;&gt;&gt;'!#REF!</definedName>
    <definedName name="UpDown" localSheetId="3">'[1]Logistics &gt;&gt;&gt;'!#REF!</definedName>
    <definedName name="UpDown">#REF!</definedName>
    <definedName name="UtilitiesCapex" localSheetId="1">#REF!</definedName>
    <definedName name="UtilitiesCapex" localSheetId="39">'Port &gt;&gt;&gt;'!$H$5:$H$40</definedName>
    <definedName name="UtilitiesCapex" localSheetId="3">#REF!</definedName>
    <definedName name="UtilitiesCapex">#REF!</definedName>
    <definedName name="UtilitiesMoniker" localSheetId="1">#REF!</definedName>
    <definedName name="UtilitiesMoniker" localSheetId="40">'Port options'!$J$5:$J$50</definedName>
    <definedName name="UtilitiesMoniker" localSheetId="3">#REF!</definedName>
    <definedName name="UtilitiesMoniker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'[1]Utilities options'!$F$5:$F$50</definedName>
    <definedName name="UtilitiesOptionsTo">'[1]Utilities options'!$E$5:$E$50</definedName>
    <definedName name="UtilitiesProcess" localSheetId="1">#REF!</definedName>
    <definedName name="UtilitiesProcess" localSheetId="39">'Port &gt;&gt;&gt;'!$D$5:$D$40</definedName>
    <definedName name="UtilitiesProcess" localSheetId="3">#REF!</definedName>
    <definedName name="UtilitiesProcess">#REF!</definedName>
    <definedName name="UtilitiesProduct" localSheetId="1">#REF!</definedName>
    <definedName name="UtilitiesProduct" localSheetId="39">'Port &gt;&gt;&gt;'!$F$5:$F$40</definedName>
    <definedName name="UtilitiesProduct" localSheetId="3">#REF!</definedName>
    <definedName name="UtilitiesProduct">#REF!</definedName>
    <definedName name="UtilitiesSources">'[1]Utilities &gt;&gt;&gt;'!$D$5:$D$40</definedName>
    <definedName name="WPCapex">#REF!</definedName>
    <definedName name="WPMoniker">#REF!</definedName>
    <definedName name="WPName">#REF!</definedName>
    <definedName name="WPProcess">#REF!</definedName>
    <definedName name="WPQuality">#REF!</definedName>
  </definedNames>
  <calcPr calcId="162913"/>
  <extLst>
    <ext xmlns:x14="http://schemas.microsoft.com/office/spreadsheetml/2009/9/main" uri="{8193D73E-4604-4355-AFF4-8A2333D13BE4}">
      <x14:definedNames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46" l="1"/>
  <c r="J7" i="46" s="1"/>
  <c r="K7" i="46" s="1"/>
  <c r="L7" i="46" s="1"/>
  <c r="M7" i="46" s="1"/>
  <c r="N7" i="46" s="1"/>
  <c r="O7" i="46" s="1"/>
  <c r="P7" i="46" s="1"/>
  <c r="Q7" i="46" s="1"/>
  <c r="R7" i="46" s="1"/>
  <c r="I8" i="38"/>
  <c r="J8" i="38" s="1"/>
  <c r="K8" i="38" s="1"/>
  <c r="L8" i="38" s="1"/>
  <c r="M8" i="38" s="1"/>
  <c r="N8" i="38" s="1"/>
  <c r="O8" i="38" s="1"/>
  <c r="P8" i="38" s="1"/>
  <c r="Q8" i="38" s="1"/>
  <c r="H8" i="38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5"/>
  <c r="I6" i="35" s="1"/>
  <c r="J6" i="35" s="1"/>
  <c r="K6" i="35" s="1"/>
  <c r="L6" i="35" s="1"/>
  <c r="M6" i="35" s="1"/>
  <c r="N6" i="35" s="1"/>
  <c r="O6" i="35" s="1"/>
  <c r="P6" i="35" s="1"/>
  <c r="Q6" i="35" s="1"/>
  <c r="H5" i="35"/>
  <c r="I5" i="35" s="1"/>
  <c r="J5" i="35" s="1"/>
  <c r="K5" i="35" s="1"/>
  <c r="L5" i="35" s="1"/>
  <c r="M5" i="35" s="1"/>
  <c r="N5" i="35" s="1"/>
  <c r="O5" i="35" s="1"/>
  <c r="P5" i="35" s="1"/>
  <c r="Q5" i="35" s="1"/>
  <c r="I29" i="32"/>
  <c r="J29" i="32" s="1"/>
  <c r="K29" i="32" s="1"/>
  <c r="L29" i="32" s="1"/>
  <c r="M29" i="32" s="1"/>
  <c r="N29" i="32" s="1"/>
  <c r="O29" i="32" s="1"/>
  <c r="P29" i="32" s="1"/>
  <c r="Q29" i="32" s="1"/>
  <c r="R29" i="32" s="1"/>
  <c r="I28" i="32"/>
  <c r="J28" i="32" s="1"/>
  <c r="K28" i="32" s="1"/>
  <c r="L28" i="32" s="1"/>
  <c r="M28" i="32" s="1"/>
  <c r="N28" i="32" s="1"/>
  <c r="O28" i="32" s="1"/>
  <c r="P28" i="32" s="1"/>
  <c r="Q28" i="32" s="1"/>
  <c r="R28" i="32" s="1"/>
  <c r="I27" i="32"/>
  <c r="J27" i="32" s="1"/>
  <c r="K27" i="32" s="1"/>
  <c r="L27" i="32" s="1"/>
  <c r="M27" i="32" s="1"/>
  <c r="N27" i="32" s="1"/>
  <c r="O27" i="32" s="1"/>
  <c r="P27" i="32" s="1"/>
  <c r="Q27" i="32" s="1"/>
  <c r="R27" i="32" s="1"/>
  <c r="I26" i="32"/>
  <c r="J26" i="32" s="1"/>
  <c r="K26" i="32" s="1"/>
  <c r="L26" i="32" s="1"/>
  <c r="M26" i="32" s="1"/>
  <c r="N26" i="32" s="1"/>
  <c r="O26" i="32" s="1"/>
  <c r="P26" i="32" s="1"/>
  <c r="Q26" i="32" s="1"/>
  <c r="R26" i="32" s="1"/>
  <c r="I25" i="32"/>
  <c r="J25" i="32" s="1"/>
  <c r="K25" i="32" s="1"/>
  <c r="L25" i="32" s="1"/>
  <c r="M25" i="32" s="1"/>
  <c r="N25" i="32" s="1"/>
  <c r="O25" i="32" s="1"/>
  <c r="P25" i="32" s="1"/>
  <c r="Q25" i="32" s="1"/>
  <c r="R25" i="32" s="1"/>
  <c r="I24" i="32"/>
  <c r="J24" i="32" s="1"/>
  <c r="K24" i="32" s="1"/>
  <c r="L24" i="32" s="1"/>
  <c r="M24" i="32" s="1"/>
  <c r="N24" i="32" s="1"/>
  <c r="O24" i="32" s="1"/>
  <c r="P24" i="32" s="1"/>
  <c r="Q24" i="32" s="1"/>
  <c r="R24" i="32" s="1"/>
  <c r="I23" i="32"/>
  <c r="J23" i="32" s="1"/>
  <c r="K23" i="32" s="1"/>
  <c r="L23" i="32" s="1"/>
  <c r="M23" i="32" s="1"/>
  <c r="N23" i="32" s="1"/>
  <c r="O23" i="32" s="1"/>
  <c r="P23" i="32" s="1"/>
  <c r="Q23" i="32" s="1"/>
  <c r="R23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21" i="32"/>
  <c r="J21" i="32" s="1"/>
  <c r="K21" i="32" s="1"/>
  <c r="L21" i="32" s="1"/>
  <c r="M21" i="32" s="1"/>
  <c r="N21" i="32" s="1"/>
  <c r="O21" i="32" s="1"/>
  <c r="P21" i="32" s="1"/>
  <c r="Q21" i="32" s="1"/>
  <c r="R21" i="32" s="1"/>
  <c r="I20" i="32"/>
  <c r="J20" i="32" s="1"/>
  <c r="K20" i="32" s="1"/>
  <c r="L20" i="32" s="1"/>
  <c r="M20" i="32" s="1"/>
  <c r="N20" i="32" s="1"/>
  <c r="O20" i="32" s="1"/>
  <c r="P20" i="32" s="1"/>
  <c r="Q20" i="32" s="1"/>
  <c r="R20" i="32" s="1"/>
  <c r="I19" i="32"/>
  <c r="J19" i="32" s="1"/>
  <c r="K19" i="32" s="1"/>
  <c r="L19" i="32" s="1"/>
  <c r="M19" i="32" s="1"/>
  <c r="N19" i="32" s="1"/>
  <c r="O19" i="32" s="1"/>
  <c r="P19" i="32" s="1"/>
  <c r="Q19" i="32" s="1"/>
  <c r="R19" i="32" s="1"/>
  <c r="I18" i="32"/>
  <c r="J18" i="32" s="1"/>
  <c r="K18" i="32" s="1"/>
  <c r="L18" i="32" s="1"/>
  <c r="M18" i="32" s="1"/>
  <c r="N18" i="32" s="1"/>
  <c r="O18" i="32" s="1"/>
  <c r="P18" i="32" s="1"/>
  <c r="Q18" i="32" s="1"/>
  <c r="R18" i="32" s="1"/>
  <c r="I17" i="32"/>
  <c r="J17" i="32" s="1"/>
  <c r="K17" i="32" s="1"/>
  <c r="L17" i="32" s="1"/>
  <c r="M17" i="32" s="1"/>
  <c r="N17" i="32" s="1"/>
  <c r="O17" i="32" s="1"/>
  <c r="P17" i="32" s="1"/>
  <c r="Q17" i="32" s="1"/>
  <c r="R17" i="32" s="1"/>
  <c r="I16" i="32"/>
  <c r="J16" i="32" s="1"/>
  <c r="K16" i="32" s="1"/>
  <c r="L16" i="32" s="1"/>
  <c r="M16" i="32" s="1"/>
  <c r="N16" i="32" s="1"/>
  <c r="O16" i="32" s="1"/>
  <c r="P16" i="32" s="1"/>
  <c r="Q16" i="32" s="1"/>
  <c r="R16" i="32" s="1"/>
  <c r="I15" i="32"/>
  <c r="J15" i="32" s="1"/>
  <c r="K15" i="32" s="1"/>
  <c r="L15" i="32" s="1"/>
  <c r="M15" i="32" s="1"/>
  <c r="N15" i="32" s="1"/>
  <c r="O15" i="32" s="1"/>
  <c r="P15" i="32" s="1"/>
  <c r="Q15" i="32" s="1"/>
  <c r="R15" i="32" s="1"/>
  <c r="I14" i="32"/>
  <c r="J14" i="32" s="1"/>
  <c r="K14" i="32" s="1"/>
  <c r="L14" i="32" s="1"/>
  <c r="M14" i="32" s="1"/>
  <c r="N14" i="32" s="1"/>
  <c r="O14" i="32" s="1"/>
  <c r="P14" i="32" s="1"/>
  <c r="Q14" i="32" s="1"/>
  <c r="R14" i="32" s="1"/>
  <c r="I13" i="32"/>
  <c r="J13" i="32" s="1"/>
  <c r="K13" i="32" s="1"/>
  <c r="L13" i="32" s="1"/>
  <c r="M13" i="32" s="1"/>
  <c r="N13" i="32" s="1"/>
  <c r="O13" i="32" s="1"/>
  <c r="P13" i="32" s="1"/>
  <c r="Q13" i="32" s="1"/>
  <c r="R13" i="32" s="1"/>
  <c r="I12" i="32"/>
  <c r="J12" i="32" s="1"/>
  <c r="K12" i="32" s="1"/>
  <c r="L12" i="32" s="1"/>
  <c r="M12" i="32" s="1"/>
  <c r="N12" i="32" s="1"/>
  <c r="O12" i="32" s="1"/>
  <c r="P12" i="32" s="1"/>
  <c r="Q12" i="32" s="1"/>
  <c r="R12" i="32" s="1"/>
  <c r="I11" i="32"/>
  <c r="J11" i="32" s="1"/>
  <c r="K11" i="32" s="1"/>
  <c r="L11" i="32" s="1"/>
  <c r="M11" i="32" s="1"/>
  <c r="N11" i="32" s="1"/>
  <c r="O11" i="32" s="1"/>
  <c r="P11" i="32" s="1"/>
  <c r="Q11" i="32" s="1"/>
  <c r="R11" i="32" s="1"/>
  <c r="M10" i="32"/>
  <c r="N10" i="32" s="1"/>
  <c r="O10" i="32" s="1"/>
  <c r="P10" i="32" s="1"/>
  <c r="Q10" i="32" s="1"/>
  <c r="R10" i="32" s="1"/>
  <c r="I10" i="32"/>
  <c r="J10" i="32" s="1"/>
  <c r="K10" i="32" s="1"/>
  <c r="L10" i="32" s="1"/>
  <c r="I9" i="32"/>
  <c r="J9" i="32" s="1"/>
  <c r="K9" i="32" s="1"/>
  <c r="L9" i="32" s="1"/>
  <c r="M9" i="32" s="1"/>
  <c r="N9" i="32" s="1"/>
  <c r="O9" i="32" s="1"/>
  <c r="P9" i="32" s="1"/>
  <c r="Q9" i="32" s="1"/>
  <c r="R9" i="32" s="1"/>
  <c r="I8" i="32"/>
  <c r="J8" i="32" s="1"/>
  <c r="K8" i="32" s="1"/>
  <c r="L8" i="32" s="1"/>
  <c r="M8" i="32" s="1"/>
  <c r="N8" i="32" s="1"/>
  <c r="O8" i="32" s="1"/>
  <c r="P8" i="32" s="1"/>
  <c r="Q8" i="32" s="1"/>
  <c r="R8" i="32" s="1"/>
  <c r="I6" i="32"/>
  <c r="J6" i="32" s="1"/>
  <c r="K6" i="32" s="1"/>
  <c r="L6" i="32" s="1"/>
  <c r="M6" i="32" s="1"/>
  <c r="N6" i="32" s="1"/>
  <c r="O6" i="32" s="1"/>
  <c r="P6" i="32" s="1"/>
  <c r="Q6" i="32" s="1"/>
  <c r="R6" i="32" s="1"/>
  <c r="M5" i="32"/>
  <c r="N5" i="32" s="1"/>
  <c r="O5" i="32" s="1"/>
  <c r="P5" i="32" s="1"/>
  <c r="Q5" i="32" s="1"/>
  <c r="R5" i="32" s="1"/>
  <c r="I5" i="32"/>
  <c r="J5" i="32" s="1"/>
  <c r="K5" i="32" s="1"/>
  <c r="L5" i="32" s="1"/>
  <c r="K13" i="30" l="1"/>
  <c r="K16" i="30"/>
  <c r="K8" i="64" l="1"/>
  <c r="L8" i="64"/>
  <c r="M8" i="64"/>
  <c r="N8" i="64"/>
  <c r="O8" i="64"/>
  <c r="P8" i="64"/>
  <c r="Q8" i="64"/>
  <c r="R8" i="64"/>
  <c r="S8" i="64"/>
  <c r="J8" i="64"/>
  <c r="K7" i="64"/>
  <c r="L7" i="64"/>
  <c r="M7" i="64"/>
  <c r="N7" i="64"/>
  <c r="O7" i="64"/>
  <c r="P7" i="64"/>
  <c r="Q7" i="64"/>
  <c r="R7" i="64"/>
  <c r="S7" i="64"/>
  <c r="J7" i="64"/>
  <c r="K7" i="45" l="1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" i="45"/>
  <c r="K6" i="40"/>
  <c r="K7" i="40"/>
  <c r="K11" i="40"/>
  <c r="K12" i="40"/>
  <c r="K13" i="40"/>
  <c r="K14" i="40"/>
  <c r="K15" i="40"/>
  <c r="K16" i="40"/>
  <c r="K8" i="40"/>
  <c r="K9" i="40"/>
  <c r="K10" i="40"/>
  <c r="K5" i="40"/>
  <c r="K9" i="30"/>
  <c r="K10" i="30"/>
  <c r="K11" i="30"/>
  <c r="K12" i="30"/>
  <c r="K5" i="30"/>
  <c r="K6" i="30"/>
  <c r="K7" i="30"/>
  <c r="K14" i="30"/>
  <c r="K15" i="30"/>
  <c r="K20" i="30"/>
  <c r="K21" i="30"/>
  <c r="K22" i="30"/>
  <c r="K23" i="30"/>
  <c r="K24" i="30"/>
  <c r="K25" i="30"/>
  <c r="K26" i="30"/>
  <c r="K27" i="30"/>
  <c r="K28" i="30"/>
  <c r="K8" i="30"/>
  <c r="K6" i="63"/>
  <c r="K7" i="63"/>
  <c r="K8" i="63"/>
  <c r="K9" i="63"/>
  <c r="K10" i="63"/>
  <c r="K11" i="63"/>
  <c r="K12" i="63"/>
  <c r="K13" i="63"/>
  <c r="K14" i="63"/>
  <c r="K15" i="63"/>
  <c r="K16" i="63"/>
  <c r="K17" i="63"/>
  <c r="K18" i="63"/>
  <c r="K19" i="63"/>
  <c r="K20" i="63"/>
  <c r="K21" i="63"/>
  <c r="K22" i="63"/>
  <c r="K23" i="63"/>
  <c r="K24" i="63"/>
  <c r="K25" i="63"/>
  <c r="K26" i="63"/>
  <c r="K27" i="63"/>
  <c r="K28" i="63"/>
  <c r="K29" i="63"/>
  <c r="K30" i="63"/>
  <c r="K31" i="63"/>
  <c r="K32" i="63"/>
  <c r="K33" i="63"/>
  <c r="K34" i="63"/>
  <c r="K35" i="63"/>
  <c r="K36" i="63"/>
  <c r="K37" i="63"/>
  <c r="K38" i="63"/>
  <c r="K39" i="63"/>
  <c r="K40" i="63"/>
  <c r="K41" i="63"/>
  <c r="K42" i="63"/>
  <c r="K43" i="63"/>
  <c r="K44" i="63"/>
  <c r="K45" i="63"/>
  <c r="K46" i="63"/>
  <c r="K47" i="63"/>
  <c r="K48" i="63"/>
  <c r="K49" i="63"/>
  <c r="K50" i="63"/>
  <c r="K51" i="63"/>
  <c r="K52" i="63"/>
  <c r="K53" i="63"/>
  <c r="K54" i="63"/>
  <c r="K55" i="63"/>
  <c r="K56" i="63"/>
  <c r="K57" i="63"/>
  <c r="K58" i="63"/>
  <c r="K59" i="63"/>
  <c r="K60" i="63"/>
  <c r="K5" i="6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5" i="3"/>
  <c r="D3" i="63"/>
  <c r="D3" i="48"/>
  <c r="D3" i="3"/>
  <c r="D3" i="40"/>
  <c r="L3" i="44"/>
  <c r="D3" i="30"/>
  <c r="N3" i="44"/>
  <c r="K5" i="66" l="1"/>
  <c r="K6" i="66"/>
  <c r="D3" i="65"/>
  <c r="L6" i="66" l="1"/>
  <c r="L5" i="66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D3" i="64"/>
  <c r="D3" i="66"/>
  <c r="F3" i="1"/>
  <c r="J3" i="62"/>
  <c r="F3" i="62"/>
  <c r="D3" i="1"/>
  <c r="D3" i="62"/>
  <c r="H3" i="62"/>
  <c r="J50" i="60" l="1"/>
  <c r="K50" i="60" s="1"/>
  <c r="L50" i="60" s="1"/>
  <c r="M50" i="60" s="1"/>
  <c r="N50" i="60" s="1"/>
  <c r="O50" i="60" s="1"/>
  <c r="P50" i="60" s="1"/>
  <c r="Q50" i="60" s="1"/>
  <c r="R50" i="60" s="1"/>
  <c r="S50" i="60" s="1"/>
  <c r="J49" i="60"/>
  <c r="K49" i="60" s="1"/>
  <c r="L49" i="60" s="1"/>
  <c r="M49" i="60" s="1"/>
  <c r="N49" i="60" s="1"/>
  <c r="O49" i="60" s="1"/>
  <c r="P49" i="60" s="1"/>
  <c r="Q49" i="60" s="1"/>
  <c r="R49" i="60" s="1"/>
  <c r="S49" i="60" s="1"/>
  <c r="J48" i="60"/>
  <c r="K48" i="60" s="1"/>
  <c r="L48" i="60" s="1"/>
  <c r="M48" i="60" s="1"/>
  <c r="N48" i="60" s="1"/>
  <c r="O48" i="60" s="1"/>
  <c r="P48" i="60" s="1"/>
  <c r="Q48" i="60" s="1"/>
  <c r="R48" i="60" s="1"/>
  <c r="S48" i="60" s="1"/>
  <c r="J47" i="60"/>
  <c r="K47" i="60" s="1"/>
  <c r="L47" i="60" s="1"/>
  <c r="M47" i="60" s="1"/>
  <c r="N47" i="60" s="1"/>
  <c r="O47" i="60" s="1"/>
  <c r="P47" i="60" s="1"/>
  <c r="Q47" i="60" s="1"/>
  <c r="R47" i="60" s="1"/>
  <c r="S47" i="60" s="1"/>
  <c r="J46" i="60"/>
  <c r="K46" i="60" s="1"/>
  <c r="L46" i="60" s="1"/>
  <c r="M46" i="60" s="1"/>
  <c r="N46" i="60" s="1"/>
  <c r="O46" i="60" s="1"/>
  <c r="P46" i="60" s="1"/>
  <c r="Q46" i="60" s="1"/>
  <c r="R46" i="60" s="1"/>
  <c r="S46" i="60" s="1"/>
  <c r="J45" i="60"/>
  <c r="K45" i="60" s="1"/>
  <c r="L45" i="60" s="1"/>
  <c r="M45" i="60" s="1"/>
  <c r="N45" i="60" s="1"/>
  <c r="O45" i="60" s="1"/>
  <c r="P45" i="60" s="1"/>
  <c r="Q45" i="60" s="1"/>
  <c r="R45" i="60" s="1"/>
  <c r="S45" i="60" s="1"/>
  <c r="J44" i="60"/>
  <c r="K44" i="60" s="1"/>
  <c r="L44" i="60" s="1"/>
  <c r="M44" i="60" s="1"/>
  <c r="N44" i="60" s="1"/>
  <c r="O44" i="60" s="1"/>
  <c r="P44" i="60" s="1"/>
  <c r="Q44" i="60" s="1"/>
  <c r="R44" i="60" s="1"/>
  <c r="S44" i="60" s="1"/>
  <c r="J43" i="60"/>
  <c r="K43" i="60" s="1"/>
  <c r="L43" i="60" s="1"/>
  <c r="M43" i="60" s="1"/>
  <c r="N43" i="60" s="1"/>
  <c r="O43" i="60" s="1"/>
  <c r="P43" i="60" s="1"/>
  <c r="Q43" i="60" s="1"/>
  <c r="R43" i="60" s="1"/>
  <c r="S43" i="60" s="1"/>
  <c r="J42" i="60"/>
  <c r="K42" i="60" s="1"/>
  <c r="L42" i="60" s="1"/>
  <c r="M42" i="60" s="1"/>
  <c r="N42" i="60" s="1"/>
  <c r="O42" i="60" s="1"/>
  <c r="P42" i="60" s="1"/>
  <c r="Q42" i="60" s="1"/>
  <c r="R42" i="60" s="1"/>
  <c r="S42" i="60" s="1"/>
  <c r="J41" i="60"/>
  <c r="K41" i="60" s="1"/>
  <c r="L41" i="60" s="1"/>
  <c r="M41" i="60" s="1"/>
  <c r="N41" i="60" s="1"/>
  <c r="O41" i="60" s="1"/>
  <c r="P41" i="60" s="1"/>
  <c r="Q41" i="60" s="1"/>
  <c r="R41" i="60" s="1"/>
  <c r="S41" i="60" s="1"/>
  <c r="J40" i="60"/>
  <c r="K40" i="60" s="1"/>
  <c r="L40" i="60" s="1"/>
  <c r="M40" i="60" s="1"/>
  <c r="N40" i="60" s="1"/>
  <c r="O40" i="60" s="1"/>
  <c r="P40" i="60" s="1"/>
  <c r="Q40" i="60" s="1"/>
  <c r="R40" i="60" s="1"/>
  <c r="S40" i="60" s="1"/>
  <c r="J39" i="60"/>
  <c r="K39" i="60" s="1"/>
  <c r="L39" i="60" s="1"/>
  <c r="M39" i="60" s="1"/>
  <c r="N39" i="60" s="1"/>
  <c r="O39" i="60" s="1"/>
  <c r="P39" i="60" s="1"/>
  <c r="Q39" i="60" s="1"/>
  <c r="R39" i="60" s="1"/>
  <c r="S39" i="60" s="1"/>
  <c r="J38" i="60"/>
  <c r="K38" i="60" s="1"/>
  <c r="L38" i="60" s="1"/>
  <c r="M38" i="60" s="1"/>
  <c r="N38" i="60" s="1"/>
  <c r="O38" i="60" s="1"/>
  <c r="P38" i="60" s="1"/>
  <c r="Q38" i="60" s="1"/>
  <c r="R38" i="60" s="1"/>
  <c r="S38" i="60" s="1"/>
  <c r="J37" i="60"/>
  <c r="K37" i="60" s="1"/>
  <c r="L37" i="60" s="1"/>
  <c r="M37" i="60" s="1"/>
  <c r="N37" i="60" s="1"/>
  <c r="O37" i="60" s="1"/>
  <c r="P37" i="60" s="1"/>
  <c r="Q37" i="60" s="1"/>
  <c r="R37" i="60" s="1"/>
  <c r="S37" i="60" s="1"/>
  <c r="J36" i="60"/>
  <c r="K36" i="60" s="1"/>
  <c r="L36" i="60" s="1"/>
  <c r="M36" i="60" s="1"/>
  <c r="N36" i="60" s="1"/>
  <c r="O36" i="60" s="1"/>
  <c r="P36" i="60" s="1"/>
  <c r="Q36" i="60" s="1"/>
  <c r="R36" i="60" s="1"/>
  <c r="S36" i="60" s="1"/>
  <c r="J35" i="60"/>
  <c r="K35" i="60" s="1"/>
  <c r="L35" i="60" s="1"/>
  <c r="M35" i="60" s="1"/>
  <c r="N35" i="60" s="1"/>
  <c r="O35" i="60" s="1"/>
  <c r="P35" i="60" s="1"/>
  <c r="Q35" i="60" s="1"/>
  <c r="R35" i="60" s="1"/>
  <c r="S35" i="60" s="1"/>
  <c r="J34" i="60"/>
  <c r="K34" i="60" s="1"/>
  <c r="L34" i="60" s="1"/>
  <c r="M34" i="60" s="1"/>
  <c r="N34" i="60" s="1"/>
  <c r="O34" i="60" s="1"/>
  <c r="P34" i="60" s="1"/>
  <c r="Q34" i="60" s="1"/>
  <c r="R34" i="60" s="1"/>
  <c r="S34" i="60" s="1"/>
  <c r="J33" i="60"/>
  <c r="K33" i="60" s="1"/>
  <c r="L33" i="60" s="1"/>
  <c r="M33" i="60" s="1"/>
  <c r="N33" i="60" s="1"/>
  <c r="O33" i="60" s="1"/>
  <c r="P33" i="60" s="1"/>
  <c r="Q33" i="60" s="1"/>
  <c r="R33" i="60" s="1"/>
  <c r="S33" i="60" s="1"/>
  <c r="J32" i="60"/>
  <c r="K32" i="60" s="1"/>
  <c r="L32" i="60" s="1"/>
  <c r="M32" i="60" s="1"/>
  <c r="N32" i="60" s="1"/>
  <c r="O32" i="60" s="1"/>
  <c r="P32" i="60" s="1"/>
  <c r="Q32" i="60" s="1"/>
  <c r="R32" i="60" s="1"/>
  <c r="S32" i="60" s="1"/>
  <c r="J31" i="60"/>
  <c r="K31" i="60" s="1"/>
  <c r="L31" i="60" s="1"/>
  <c r="M31" i="60" s="1"/>
  <c r="N31" i="60" s="1"/>
  <c r="O31" i="60" s="1"/>
  <c r="P31" i="60" s="1"/>
  <c r="Q31" i="60" s="1"/>
  <c r="R31" i="60" s="1"/>
  <c r="S31" i="60" s="1"/>
  <c r="J30" i="60"/>
  <c r="K30" i="60" s="1"/>
  <c r="L30" i="60" s="1"/>
  <c r="M30" i="60" s="1"/>
  <c r="N30" i="60" s="1"/>
  <c r="O30" i="60" s="1"/>
  <c r="P30" i="60" s="1"/>
  <c r="Q30" i="60" s="1"/>
  <c r="R30" i="60" s="1"/>
  <c r="S30" i="60" s="1"/>
  <c r="J29" i="60"/>
  <c r="K29" i="60" s="1"/>
  <c r="L29" i="60" s="1"/>
  <c r="M29" i="60" s="1"/>
  <c r="N29" i="60" s="1"/>
  <c r="O29" i="60" s="1"/>
  <c r="P29" i="60" s="1"/>
  <c r="Q29" i="60" s="1"/>
  <c r="R29" i="60" s="1"/>
  <c r="S29" i="60" s="1"/>
  <c r="J28" i="60"/>
  <c r="K28" i="60" s="1"/>
  <c r="L28" i="60" s="1"/>
  <c r="M28" i="60" s="1"/>
  <c r="N28" i="60" s="1"/>
  <c r="O28" i="60" s="1"/>
  <c r="P28" i="60" s="1"/>
  <c r="Q28" i="60" s="1"/>
  <c r="R28" i="60" s="1"/>
  <c r="S28" i="60" s="1"/>
  <c r="K27" i="60"/>
  <c r="L27" i="60" s="1"/>
  <c r="M27" i="60" s="1"/>
  <c r="N27" i="60" s="1"/>
  <c r="O27" i="60" s="1"/>
  <c r="P27" i="60" s="1"/>
  <c r="Q27" i="60" s="1"/>
  <c r="R27" i="60" s="1"/>
  <c r="S27" i="60" s="1"/>
  <c r="J27" i="60"/>
  <c r="J26" i="60"/>
  <c r="K26" i="60" s="1"/>
  <c r="L26" i="60" s="1"/>
  <c r="M26" i="60" s="1"/>
  <c r="N26" i="60" s="1"/>
  <c r="O26" i="60" s="1"/>
  <c r="P26" i="60" s="1"/>
  <c r="Q26" i="60" s="1"/>
  <c r="R26" i="60" s="1"/>
  <c r="S26" i="60" s="1"/>
  <c r="J25" i="60"/>
  <c r="K25" i="60" s="1"/>
  <c r="L25" i="60" s="1"/>
  <c r="M25" i="60" s="1"/>
  <c r="N25" i="60" s="1"/>
  <c r="O25" i="60" s="1"/>
  <c r="P25" i="60" s="1"/>
  <c r="Q25" i="60" s="1"/>
  <c r="R25" i="60" s="1"/>
  <c r="S25" i="60" s="1"/>
  <c r="J24" i="60"/>
  <c r="K24" i="60" s="1"/>
  <c r="L24" i="60" s="1"/>
  <c r="M24" i="60" s="1"/>
  <c r="N24" i="60" s="1"/>
  <c r="O24" i="60" s="1"/>
  <c r="P24" i="60" s="1"/>
  <c r="Q24" i="60" s="1"/>
  <c r="R24" i="60" s="1"/>
  <c r="S24" i="60" s="1"/>
  <c r="J23" i="60"/>
  <c r="K23" i="60" s="1"/>
  <c r="L23" i="60" s="1"/>
  <c r="M23" i="60" s="1"/>
  <c r="N23" i="60" s="1"/>
  <c r="O23" i="60" s="1"/>
  <c r="P23" i="60" s="1"/>
  <c r="Q23" i="60" s="1"/>
  <c r="R23" i="60" s="1"/>
  <c r="S23" i="60" s="1"/>
  <c r="J22" i="60"/>
  <c r="K22" i="60" s="1"/>
  <c r="L22" i="60" s="1"/>
  <c r="M22" i="60" s="1"/>
  <c r="N22" i="60" s="1"/>
  <c r="O22" i="60" s="1"/>
  <c r="P22" i="60" s="1"/>
  <c r="Q22" i="60" s="1"/>
  <c r="R22" i="60" s="1"/>
  <c r="S22" i="60" s="1"/>
  <c r="J21" i="60"/>
  <c r="K21" i="60" s="1"/>
  <c r="L21" i="60" s="1"/>
  <c r="M21" i="60" s="1"/>
  <c r="N21" i="60" s="1"/>
  <c r="O21" i="60" s="1"/>
  <c r="P21" i="60" s="1"/>
  <c r="Q21" i="60" s="1"/>
  <c r="R21" i="60" s="1"/>
  <c r="S21" i="60" s="1"/>
  <c r="J20" i="60"/>
  <c r="K20" i="60" s="1"/>
  <c r="L20" i="60" s="1"/>
  <c r="M20" i="60" s="1"/>
  <c r="N20" i="60" s="1"/>
  <c r="O20" i="60" s="1"/>
  <c r="P20" i="60" s="1"/>
  <c r="Q20" i="60" s="1"/>
  <c r="R20" i="60" s="1"/>
  <c r="S20" i="60" s="1"/>
  <c r="J19" i="60"/>
  <c r="K19" i="60" s="1"/>
  <c r="L19" i="60" s="1"/>
  <c r="M19" i="60" s="1"/>
  <c r="N19" i="60" s="1"/>
  <c r="O19" i="60" s="1"/>
  <c r="P19" i="60" s="1"/>
  <c r="Q19" i="60" s="1"/>
  <c r="R19" i="60" s="1"/>
  <c r="S19" i="60" s="1"/>
  <c r="J18" i="60"/>
  <c r="K18" i="60" s="1"/>
  <c r="L18" i="60" s="1"/>
  <c r="M18" i="60" s="1"/>
  <c r="N18" i="60" s="1"/>
  <c r="O18" i="60" s="1"/>
  <c r="P18" i="60" s="1"/>
  <c r="Q18" i="60" s="1"/>
  <c r="R18" i="60" s="1"/>
  <c r="S18" i="60" s="1"/>
  <c r="J17" i="60"/>
  <c r="K17" i="60" s="1"/>
  <c r="L17" i="60" s="1"/>
  <c r="M17" i="60" s="1"/>
  <c r="N17" i="60" s="1"/>
  <c r="O17" i="60" s="1"/>
  <c r="P17" i="60" s="1"/>
  <c r="Q17" i="60" s="1"/>
  <c r="R17" i="60" s="1"/>
  <c r="S17" i="60" s="1"/>
  <c r="K16" i="60"/>
  <c r="L16" i="60" s="1"/>
  <c r="M16" i="60" s="1"/>
  <c r="N16" i="60" s="1"/>
  <c r="O16" i="60" s="1"/>
  <c r="P16" i="60" s="1"/>
  <c r="Q16" i="60" s="1"/>
  <c r="R16" i="60" s="1"/>
  <c r="S16" i="60" s="1"/>
  <c r="J16" i="60"/>
  <c r="J15" i="60"/>
  <c r="K15" i="60" s="1"/>
  <c r="L15" i="60" s="1"/>
  <c r="M15" i="60" s="1"/>
  <c r="N15" i="60" s="1"/>
  <c r="O15" i="60" s="1"/>
  <c r="P15" i="60" s="1"/>
  <c r="Q15" i="60" s="1"/>
  <c r="R15" i="60" s="1"/>
  <c r="S15" i="60" s="1"/>
  <c r="J14" i="60"/>
  <c r="K14" i="60" s="1"/>
  <c r="L14" i="60" s="1"/>
  <c r="M14" i="60" s="1"/>
  <c r="N14" i="60" s="1"/>
  <c r="O14" i="60" s="1"/>
  <c r="P14" i="60" s="1"/>
  <c r="Q14" i="60" s="1"/>
  <c r="R14" i="60" s="1"/>
  <c r="S14" i="60" s="1"/>
  <c r="K13" i="60"/>
  <c r="L13" i="60" s="1"/>
  <c r="M13" i="60" s="1"/>
  <c r="N13" i="60" s="1"/>
  <c r="O13" i="60" s="1"/>
  <c r="P13" i="60" s="1"/>
  <c r="Q13" i="60" s="1"/>
  <c r="R13" i="60" s="1"/>
  <c r="S13" i="60" s="1"/>
  <c r="J13" i="60"/>
  <c r="J12" i="60"/>
  <c r="K12" i="60" s="1"/>
  <c r="L12" i="60" s="1"/>
  <c r="M12" i="60" s="1"/>
  <c r="N12" i="60" s="1"/>
  <c r="O12" i="60" s="1"/>
  <c r="P12" i="60" s="1"/>
  <c r="Q12" i="60" s="1"/>
  <c r="R12" i="60" s="1"/>
  <c r="S12" i="60" s="1"/>
  <c r="J11" i="60"/>
  <c r="K11" i="60" s="1"/>
  <c r="L11" i="60" s="1"/>
  <c r="M11" i="60" s="1"/>
  <c r="N11" i="60" s="1"/>
  <c r="O11" i="60" s="1"/>
  <c r="P11" i="60" s="1"/>
  <c r="Q11" i="60" s="1"/>
  <c r="R11" i="60" s="1"/>
  <c r="S11" i="60" s="1"/>
  <c r="J10" i="60"/>
  <c r="K10" i="60" s="1"/>
  <c r="L10" i="60" s="1"/>
  <c r="M10" i="60" s="1"/>
  <c r="N10" i="60" s="1"/>
  <c r="O10" i="60" s="1"/>
  <c r="P10" i="60" s="1"/>
  <c r="Q10" i="60" s="1"/>
  <c r="R10" i="60" s="1"/>
  <c r="S10" i="60" s="1"/>
  <c r="J9" i="60"/>
  <c r="K9" i="60" s="1"/>
  <c r="L9" i="60" s="1"/>
  <c r="M9" i="60" s="1"/>
  <c r="N9" i="60" s="1"/>
  <c r="O9" i="60" s="1"/>
  <c r="P9" i="60" s="1"/>
  <c r="Q9" i="60" s="1"/>
  <c r="R9" i="60" s="1"/>
  <c r="S9" i="60" s="1"/>
  <c r="J8" i="60"/>
  <c r="K8" i="60" s="1"/>
  <c r="L8" i="60" s="1"/>
  <c r="M8" i="60" s="1"/>
  <c r="N8" i="60" s="1"/>
  <c r="O8" i="60" s="1"/>
  <c r="P8" i="60" s="1"/>
  <c r="Q8" i="60" s="1"/>
  <c r="R8" i="60" s="1"/>
  <c r="S8" i="60" s="1"/>
  <c r="J7" i="60"/>
  <c r="K7" i="60" s="1"/>
  <c r="L7" i="60" s="1"/>
  <c r="M7" i="60" s="1"/>
  <c r="N7" i="60" s="1"/>
  <c r="O7" i="60" s="1"/>
  <c r="P7" i="60" s="1"/>
  <c r="Q7" i="60" s="1"/>
  <c r="R7" i="60" s="1"/>
  <c r="S7" i="60" s="1"/>
  <c r="J6" i="60"/>
  <c r="K6" i="60" s="1"/>
  <c r="L6" i="60" s="1"/>
  <c r="M6" i="60" s="1"/>
  <c r="N6" i="60" s="1"/>
  <c r="O6" i="60" s="1"/>
  <c r="P6" i="60" s="1"/>
  <c r="Q6" i="60" s="1"/>
  <c r="R6" i="60" s="1"/>
  <c r="S6" i="60" s="1"/>
  <c r="J5" i="60"/>
  <c r="K5" i="60" s="1"/>
  <c r="L5" i="60" s="1"/>
  <c r="M5" i="60" s="1"/>
  <c r="N5" i="60" s="1"/>
  <c r="O5" i="60" s="1"/>
  <c r="P5" i="60" s="1"/>
  <c r="Q5" i="60" s="1"/>
  <c r="R5" i="60" s="1"/>
  <c r="S5" i="60" s="1"/>
  <c r="J50" i="59"/>
  <c r="K50" i="59" s="1"/>
  <c r="L50" i="59" s="1"/>
  <c r="M50" i="59" s="1"/>
  <c r="N50" i="59" s="1"/>
  <c r="O50" i="59" s="1"/>
  <c r="P50" i="59" s="1"/>
  <c r="Q50" i="59" s="1"/>
  <c r="R50" i="59" s="1"/>
  <c r="S50" i="59" s="1"/>
  <c r="J49" i="59"/>
  <c r="K49" i="59" s="1"/>
  <c r="L49" i="59" s="1"/>
  <c r="M49" i="59" s="1"/>
  <c r="N49" i="59" s="1"/>
  <c r="O49" i="59" s="1"/>
  <c r="P49" i="59" s="1"/>
  <c r="Q49" i="59" s="1"/>
  <c r="R49" i="59" s="1"/>
  <c r="S49" i="59" s="1"/>
  <c r="J48" i="59"/>
  <c r="K48" i="59" s="1"/>
  <c r="L48" i="59" s="1"/>
  <c r="M48" i="59" s="1"/>
  <c r="N48" i="59" s="1"/>
  <c r="O48" i="59" s="1"/>
  <c r="P48" i="59" s="1"/>
  <c r="Q48" i="59" s="1"/>
  <c r="R48" i="59" s="1"/>
  <c r="S48" i="59" s="1"/>
  <c r="J47" i="59"/>
  <c r="K47" i="59" s="1"/>
  <c r="L47" i="59" s="1"/>
  <c r="M47" i="59" s="1"/>
  <c r="N47" i="59" s="1"/>
  <c r="O47" i="59" s="1"/>
  <c r="P47" i="59" s="1"/>
  <c r="Q47" i="59" s="1"/>
  <c r="R47" i="59" s="1"/>
  <c r="S47" i="59" s="1"/>
  <c r="J46" i="59"/>
  <c r="K46" i="59" s="1"/>
  <c r="L46" i="59" s="1"/>
  <c r="M46" i="59" s="1"/>
  <c r="N46" i="59" s="1"/>
  <c r="O46" i="59" s="1"/>
  <c r="P46" i="59" s="1"/>
  <c r="Q46" i="59" s="1"/>
  <c r="R46" i="59" s="1"/>
  <c r="S46" i="59" s="1"/>
  <c r="J45" i="59"/>
  <c r="K45" i="59" s="1"/>
  <c r="L45" i="59" s="1"/>
  <c r="M45" i="59" s="1"/>
  <c r="N45" i="59" s="1"/>
  <c r="O45" i="59" s="1"/>
  <c r="P45" i="59" s="1"/>
  <c r="Q45" i="59" s="1"/>
  <c r="R45" i="59" s="1"/>
  <c r="S45" i="59" s="1"/>
  <c r="J44" i="59"/>
  <c r="K44" i="59" s="1"/>
  <c r="L44" i="59" s="1"/>
  <c r="M44" i="59" s="1"/>
  <c r="N44" i="59" s="1"/>
  <c r="O44" i="59" s="1"/>
  <c r="P44" i="59" s="1"/>
  <c r="Q44" i="59" s="1"/>
  <c r="R44" i="59" s="1"/>
  <c r="S44" i="59" s="1"/>
  <c r="J43" i="59"/>
  <c r="K43" i="59" s="1"/>
  <c r="L43" i="59" s="1"/>
  <c r="M43" i="59" s="1"/>
  <c r="N43" i="59" s="1"/>
  <c r="O43" i="59" s="1"/>
  <c r="P43" i="59" s="1"/>
  <c r="Q43" i="59" s="1"/>
  <c r="R43" i="59" s="1"/>
  <c r="S43" i="59" s="1"/>
  <c r="J42" i="59"/>
  <c r="K42" i="59" s="1"/>
  <c r="L42" i="59" s="1"/>
  <c r="M42" i="59" s="1"/>
  <c r="N42" i="59" s="1"/>
  <c r="O42" i="59" s="1"/>
  <c r="P42" i="59" s="1"/>
  <c r="Q42" i="59" s="1"/>
  <c r="R42" i="59" s="1"/>
  <c r="S42" i="59" s="1"/>
  <c r="J41" i="59"/>
  <c r="K41" i="59" s="1"/>
  <c r="L41" i="59" s="1"/>
  <c r="M41" i="59" s="1"/>
  <c r="N41" i="59" s="1"/>
  <c r="O41" i="59" s="1"/>
  <c r="P41" i="59" s="1"/>
  <c r="Q41" i="59" s="1"/>
  <c r="R41" i="59" s="1"/>
  <c r="S41" i="59" s="1"/>
  <c r="J40" i="59"/>
  <c r="K40" i="59" s="1"/>
  <c r="L40" i="59" s="1"/>
  <c r="M40" i="59" s="1"/>
  <c r="N40" i="59" s="1"/>
  <c r="O40" i="59" s="1"/>
  <c r="P40" i="59" s="1"/>
  <c r="Q40" i="59" s="1"/>
  <c r="R40" i="59" s="1"/>
  <c r="S40" i="59" s="1"/>
  <c r="J39" i="59"/>
  <c r="K39" i="59" s="1"/>
  <c r="L39" i="59" s="1"/>
  <c r="M39" i="59" s="1"/>
  <c r="N39" i="59" s="1"/>
  <c r="O39" i="59" s="1"/>
  <c r="P39" i="59" s="1"/>
  <c r="Q39" i="59" s="1"/>
  <c r="R39" i="59" s="1"/>
  <c r="S39" i="59" s="1"/>
  <c r="J38" i="59"/>
  <c r="K38" i="59" s="1"/>
  <c r="L38" i="59" s="1"/>
  <c r="M38" i="59" s="1"/>
  <c r="N38" i="59" s="1"/>
  <c r="O38" i="59" s="1"/>
  <c r="P38" i="59" s="1"/>
  <c r="Q38" i="59" s="1"/>
  <c r="R38" i="59" s="1"/>
  <c r="S38" i="59" s="1"/>
  <c r="J37" i="59"/>
  <c r="K37" i="59" s="1"/>
  <c r="L37" i="59" s="1"/>
  <c r="M37" i="59" s="1"/>
  <c r="N37" i="59" s="1"/>
  <c r="O37" i="59" s="1"/>
  <c r="P37" i="59" s="1"/>
  <c r="Q37" i="59" s="1"/>
  <c r="R37" i="59" s="1"/>
  <c r="S37" i="59" s="1"/>
  <c r="J36" i="59"/>
  <c r="K36" i="59" s="1"/>
  <c r="L36" i="59" s="1"/>
  <c r="M36" i="59" s="1"/>
  <c r="N36" i="59" s="1"/>
  <c r="O36" i="59" s="1"/>
  <c r="P36" i="59" s="1"/>
  <c r="Q36" i="59" s="1"/>
  <c r="R36" i="59" s="1"/>
  <c r="S36" i="59" s="1"/>
  <c r="J35" i="59"/>
  <c r="K35" i="59" s="1"/>
  <c r="L35" i="59" s="1"/>
  <c r="M35" i="59" s="1"/>
  <c r="N35" i="59" s="1"/>
  <c r="O35" i="59" s="1"/>
  <c r="P35" i="59" s="1"/>
  <c r="Q35" i="59" s="1"/>
  <c r="R35" i="59" s="1"/>
  <c r="S35" i="59" s="1"/>
  <c r="J34" i="59"/>
  <c r="K34" i="59" s="1"/>
  <c r="L34" i="59" s="1"/>
  <c r="M34" i="59" s="1"/>
  <c r="N34" i="59" s="1"/>
  <c r="O34" i="59" s="1"/>
  <c r="P34" i="59" s="1"/>
  <c r="Q34" i="59" s="1"/>
  <c r="R34" i="59" s="1"/>
  <c r="S34" i="59" s="1"/>
  <c r="J33" i="59"/>
  <c r="K33" i="59" s="1"/>
  <c r="L33" i="59" s="1"/>
  <c r="M33" i="59" s="1"/>
  <c r="N33" i="59" s="1"/>
  <c r="O33" i="59" s="1"/>
  <c r="P33" i="59" s="1"/>
  <c r="Q33" i="59" s="1"/>
  <c r="R33" i="59" s="1"/>
  <c r="S33" i="59" s="1"/>
  <c r="J32" i="59"/>
  <c r="K32" i="59" s="1"/>
  <c r="L32" i="59" s="1"/>
  <c r="M32" i="59" s="1"/>
  <c r="N32" i="59" s="1"/>
  <c r="O32" i="59" s="1"/>
  <c r="P32" i="59" s="1"/>
  <c r="Q32" i="59" s="1"/>
  <c r="R32" i="59" s="1"/>
  <c r="S32" i="59" s="1"/>
  <c r="J31" i="59"/>
  <c r="K31" i="59" s="1"/>
  <c r="L31" i="59" s="1"/>
  <c r="M31" i="59" s="1"/>
  <c r="N31" i="59" s="1"/>
  <c r="O31" i="59" s="1"/>
  <c r="P31" i="59" s="1"/>
  <c r="Q31" i="59" s="1"/>
  <c r="R31" i="59" s="1"/>
  <c r="S31" i="59" s="1"/>
  <c r="J30" i="59"/>
  <c r="K30" i="59" s="1"/>
  <c r="L30" i="59" s="1"/>
  <c r="M30" i="59" s="1"/>
  <c r="N30" i="59" s="1"/>
  <c r="O30" i="59" s="1"/>
  <c r="P30" i="59" s="1"/>
  <c r="Q30" i="59" s="1"/>
  <c r="R30" i="59" s="1"/>
  <c r="S30" i="59" s="1"/>
  <c r="J29" i="59"/>
  <c r="K29" i="59" s="1"/>
  <c r="L29" i="59" s="1"/>
  <c r="M29" i="59" s="1"/>
  <c r="N29" i="59" s="1"/>
  <c r="O29" i="59" s="1"/>
  <c r="P29" i="59" s="1"/>
  <c r="Q29" i="59" s="1"/>
  <c r="R29" i="59" s="1"/>
  <c r="S29" i="59" s="1"/>
  <c r="J28" i="59"/>
  <c r="K28" i="59" s="1"/>
  <c r="L28" i="59" s="1"/>
  <c r="M28" i="59" s="1"/>
  <c r="N28" i="59" s="1"/>
  <c r="O28" i="59" s="1"/>
  <c r="P28" i="59" s="1"/>
  <c r="Q28" i="59" s="1"/>
  <c r="R28" i="59" s="1"/>
  <c r="S28" i="59" s="1"/>
  <c r="J27" i="59"/>
  <c r="K27" i="59" s="1"/>
  <c r="L27" i="59" s="1"/>
  <c r="M27" i="59" s="1"/>
  <c r="N27" i="59" s="1"/>
  <c r="O27" i="59" s="1"/>
  <c r="P27" i="59" s="1"/>
  <c r="Q27" i="59" s="1"/>
  <c r="R27" i="59" s="1"/>
  <c r="S27" i="59" s="1"/>
  <c r="J26" i="59"/>
  <c r="K26" i="59" s="1"/>
  <c r="L26" i="59" s="1"/>
  <c r="M26" i="59" s="1"/>
  <c r="N26" i="59" s="1"/>
  <c r="O26" i="59" s="1"/>
  <c r="P26" i="59" s="1"/>
  <c r="Q26" i="59" s="1"/>
  <c r="R26" i="59" s="1"/>
  <c r="S26" i="59" s="1"/>
  <c r="J25" i="59"/>
  <c r="K25" i="59" s="1"/>
  <c r="L25" i="59" s="1"/>
  <c r="M25" i="59" s="1"/>
  <c r="N25" i="59" s="1"/>
  <c r="O25" i="59" s="1"/>
  <c r="P25" i="59" s="1"/>
  <c r="Q25" i="59" s="1"/>
  <c r="R25" i="59" s="1"/>
  <c r="S25" i="59" s="1"/>
  <c r="J24" i="59"/>
  <c r="K24" i="59" s="1"/>
  <c r="L24" i="59" s="1"/>
  <c r="M24" i="59" s="1"/>
  <c r="N24" i="59" s="1"/>
  <c r="O24" i="59" s="1"/>
  <c r="P24" i="59" s="1"/>
  <c r="Q24" i="59" s="1"/>
  <c r="R24" i="59" s="1"/>
  <c r="S24" i="59" s="1"/>
  <c r="J23" i="59"/>
  <c r="K23" i="59" s="1"/>
  <c r="L23" i="59" s="1"/>
  <c r="M23" i="59" s="1"/>
  <c r="N23" i="59" s="1"/>
  <c r="O23" i="59" s="1"/>
  <c r="P23" i="59" s="1"/>
  <c r="Q23" i="59" s="1"/>
  <c r="R23" i="59" s="1"/>
  <c r="S23" i="59" s="1"/>
  <c r="J22" i="59"/>
  <c r="K22" i="59" s="1"/>
  <c r="L22" i="59" s="1"/>
  <c r="M22" i="59" s="1"/>
  <c r="N22" i="59" s="1"/>
  <c r="O22" i="59" s="1"/>
  <c r="P22" i="59" s="1"/>
  <c r="Q22" i="59" s="1"/>
  <c r="R22" i="59" s="1"/>
  <c r="S22" i="59" s="1"/>
  <c r="J21" i="59"/>
  <c r="K21" i="59" s="1"/>
  <c r="L21" i="59" s="1"/>
  <c r="M21" i="59" s="1"/>
  <c r="N21" i="59" s="1"/>
  <c r="O21" i="59" s="1"/>
  <c r="P21" i="59" s="1"/>
  <c r="Q21" i="59" s="1"/>
  <c r="R21" i="59" s="1"/>
  <c r="S21" i="59" s="1"/>
  <c r="J20" i="59"/>
  <c r="K20" i="59" s="1"/>
  <c r="L20" i="59" s="1"/>
  <c r="M20" i="59" s="1"/>
  <c r="N20" i="59" s="1"/>
  <c r="O20" i="59" s="1"/>
  <c r="P20" i="59" s="1"/>
  <c r="Q20" i="59" s="1"/>
  <c r="R20" i="59" s="1"/>
  <c r="S20" i="59" s="1"/>
  <c r="J19" i="59"/>
  <c r="K19" i="59" s="1"/>
  <c r="L19" i="59" s="1"/>
  <c r="M19" i="59" s="1"/>
  <c r="N19" i="59" s="1"/>
  <c r="O19" i="59" s="1"/>
  <c r="P19" i="59" s="1"/>
  <c r="Q19" i="59" s="1"/>
  <c r="R19" i="59" s="1"/>
  <c r="S19" i="59" s="1"/>
  <c r="J18" i="59"/>
  <c r="K18" i="59" s="1"/>
  <c r="L18" i="59" s="1"/>
  <c r="M18" i="59" s="1"/>
  <c r="N18" i="59" s="1"/>
  <c r="O18" i="59" s="1"/>
  <c r="P18" i="59" s="1"/>
  <c r="Q18" i="59" s="1"/>
  <c r="R18" i="59" s="1"/>
  <c r="S18" i="59" s="1"/>
  <c r="J17" i="59"/>
  <c r="K17" i="59" s="1"/>
  <c r="L17" i="59" s="1"/>
  <c r="M17" i="59" s="1"/>
  <c r="N17" i="59" s="1"/>
  <c r="O17" i="59" s="1"/>
  <c r="P17" i="59" s="1"/>
  <c r="Q17" i="59" s="1"/>
  <c r="R17" i="59" s="1"/>
  <c r="S17" i="59" s="1"/>
  <c r="J16" i="59"/>
  <c r="K16" i="59" s="1"/>
  <c r="L16" i="59" s="1"/>
  <c r="M16" i="59" s="1"/>
  <c r="N16" i="59" s="1"/>
  <c r="O16" i="59" s="1"/>
  <c r="P16" i="59" s="1"/>
  <c r="Q16" i="59" s="1"/>
  <c r="R16" i="59" s="1"/>
  <c r="S16" i="59" s="1"/>
  <c r="J15" i="59"/>
  <c r="K15" i="59" s="1"/>
  <c r="L15" i="59" s="1"/>
  <c r="M15" i="59" s="1"/>
  <c r="N15" i="59" s="1"/>
  <c r="O15" i="59" s="1"/>
  <c r="P15" i="59" s="1"/>
  <c r="Q15" i="59" s="1"/>
  <c r="R15" i="59" s="1"/>
  <c r="S15" i="59" s="1"/>
  <c r="J14" i="59"/>
  <c r="K14" i="59" s="1"/>
  <c r="L14" i="59" s="1"/>
  <c r="M14" i="59" s="1"/>
  <c r="N14" i="59" s="1"/>
  <c r="O14" i="59" s="1"/>
  <c r="P14" i="59" s="1"/>
  <c r="Q14" i="59" s="1"/>
  <c r="R14" i="59" s="1"/>
  <c r="S14" i="59" s="1"/>
  <c r="J13" i="59"/>
  <c r="K13" i="59" s="1"/>
  <c r="L13" i="59" s="1"/>
  <c r="M13" i="59" s="1"/>
  <c r="N13" i="59" s="1"/>
  <c r="O13" i="59" s="1"/>
  <c r="P13" i="59" s="1"/>
  <c r="Q13" i="59" s="1"/>
  <c r="R13" i="59" s="1"/>
  <c r="S13" i="59" s="1"/>
  <c r="J12" i="59"/>
  <c r="K12" i="59" s="1"/>
  <c r="L12" i="59" s="1"/>
  <c r="M12" i="59" s="1"/>
  <c r="N12" i="59" s="1"/>
  <c r="O12" i="59" s="1"/>
  <c r="P12" i="59" s="1"/>
  <c r="Q12" i="59" s="1"/>
  <c r="R12" i="59" s="1"/>
  <c r="S12" i="59" s="1"/>
  <c r="J11" i="59"/>
  <c r="K11" i="59" s="1"/>
  <c r="L11" i="59" s="1"/>
  <c r="M11" i="59" s="1"/>
  <c r="N11" i="59" s="1"/>
  <c r="O11" i="59" s="1"/>
  <c r="P11" i="59" s="1"/>
  <c r="Q11" i="59" s="1"/>
  <c r="R11" i="59" s="1"/>
  <c r="S11" i="59" s="1"/>
  <c r="J10" i="59"/>
  <c r="K10" i="59" s="1"/>
  <c r="L10" i="59" s="1"/>
  <c r="M10" i="59" s="1"/>
  <c r="N10" i="59" s="1"/>
  <c r="O10" i="59" s="1"/>
  <c r="P10" i="59" s="1"/>
  <c r="Q10" i="59" s="1"/>
  <c r="R10" i="59" s="1"/>
  <c r="S10" i="59" s="1"/>
  <c r="J9" i="59"/>
  <c r="K9" i="59" s="1"/>
  <c r="L9" i="59" s="1"/>
  <c r="M9" i="59" s="1"/>
  <c r="N9" i="59" s="1"/>
  <c r="O9" i="59" s="1"/>
  <c r="P9" i="59" s="1"/>
  <c r="Q9" i="59" s="1"/>
  <c r="R9" i="59" s="1"/>
  <c r="S9" i="59" s="1"/>
  <c r="J8" i="59"/>
  <c r="K8" i="59" s="1"/>
  <c r="L8" i="59" s="1"/>
  <c r="M8" i="59" s="1"/>
  <c r="N8" i="59" s="1"/>
  <c r="O8" i="59" s="1"/>
  <c r="P8" i="59" s="1"/>
  <c r="Q8" i="59" s="1"/>
  <c r="R8" i="59" s="1"/>
  <c r="S8" i="59" s="1"/>
  <c r="J7" i="59"/>
  <c r="K7" i="59" s="1"/>
  <c r="L7" i="59" s="1"/>
  <c r="M7" i="59" s="1"/>
  <c r="N7" i="59" s="1"/>
  <c r="O7" i="59" s="1"/>
  <c r="P7" i="59" s="1"/>
  <c r="Q7" i="59" s="1"/>
  <c r="R7" i="59" s="1"/>
  <c r="S7" i="59" s="1"/>
  <c r="J6" i="59"/>
  <c r="K6" i="59" s="1"/>
  <c r="L6" i="59" s="1"/>
  <c r="M6" i="59" s="1"/>
  <c r="N6" i="59" s="1"/>
  <c r="O6" i="59" s="1"/>
  <c r="P6" i="59" s="1"/>
  <c r="Q6" i="59" s="1"/>
  <c r="R6" i="59" s="1"/>
  <c r="S6" i="59" s="1"/>
  <c r="J5" i="59"/>
  <c r="K5" i="59" s="1"/>
  <c r="L5" i="59" s="1"/>
  <c r="M5" i="59" s="1"/>
  <c r="N5" i="59" s="1"/>
  <c r="O5" i="59" s="1"/>
  <c r="P5" i="59" s="1"/>
  <c r="Q5" i="59" s="1"/>
  <c r="R5" i="59" s="1"/>
  <c r="S5" i="59" s="1"/>
  <c r="J51" i="58"/>
  <c r="J50" i="58"/>
  <c r="H50" i="58"/>
  <c r="J49" i="58"/>
  <c r="H49" i="58"/>
  <c r="J48" i="58"/>
  <c r="H48" i="58"/>
  <c r="J47" i="58"/>
  <c r="H47" i="58"/>
  <c r="J46" i="58"/>
  <c r="H46" i="58"/>
  <c r="J45" i="58"/>
  <c r="H45" i="58"/>
  <c r="J44" i="58"/>
  <c r="H44" i="58"/>
  <c r="J43" i="58"/>
  <c r="H43" i="58"/>
  <c r="J42" i="58"/>
  <c r="H42" i="58"/>
  <c r="J41" i="58"/>
  <c r="H41" i="58"/>
  <c r="J40" i="58"/>
  <c r="H40" i="58"/>
  <c r="J39" i="58"/>
  <c r="H39" i="58"/>
  <c r="J38" i="58"/>
  <c r="H38" i="58"/>
  <c r="J37" i="58"/>
  <c r="H37" i="58"/>
  <c r="J36" i="58"/>
  <c r="H36" i="58"/>
  <c r="J35" i="58"/>
  <c r="H35" i="58"/>
  <c r="J34" i="58"/>
  <c r="H34" i="58"/>
  <c r="J33" i="58"/>
  <c r="H33" i="58"/>
  <c r="J32" i="58"/>
  <c r="H32" i="58"/>
  <c r="J31" i="58"/>
  <c r="H31" i="58"/>
  <c r="J30" i="58"/>
  <c r="H30" i="58"/>
  <c r="J29" i="58"/>
  <c r="H29" i="58"/>
  <c r="J28" i="58"/>
  <c r="H28" i="58"/>
  <c r="J27" i="58"/>
  <c r="H27" i="58"/>
  <c r="J26" i="58"/>
  <c r="H26" i="58"/>
  <c r="J25" i="58"/>
  <c r="H25" i="58"/>
  <c r="J24" i="58"/>
  <c r="H24" i="58"/>
  <c r="J23" i="58"/>
  <c r="H23" i="58"/>
  <c r="J22" i="58"/>
  <c r="H22" i="58"/>
  <c r="J21" i="58"/>
  <c r="H21" i="58"/>
  <c r="J20" i="58"/>
  <c r="H20" i="58"/>
  <c r="J19" i="58"/>
  <c r="H19" i="58"/>
  <c r="J18" i="58"/>
  <c r="H18" i="58"/>
  <c r="J17" i="58"/>
  <c r="H17" i="58"/>
  <c r="J16" i="58"/>
  <c r="H16" i="58"/>
  <c r="J15" i="58"/>
  <c r="H15" i="58"/>
  <c r="J14" i="58"/>
  <c r="H14" i="58"/>
  <c r="J13" i="58"/>
  <c r="H13" i="58"/>
  <c r="J12" i="58"/>
  <c r="H12" i="58"/>
  <c r="J11" i="58"/>
  <c r="H11" i="58"/>
  <c r="J10" i="58"/>
  <c r="H10" i="58"/>
  <c r="J9" i="58"/>
  <c r="H9" i="58"/>
  <c r="J8" i="58"/>
  <c r="H8" i="58"/>
  <c r="J7" i="58"/>
  <c r="H7" i="58"/>
  <c r="J6" i="58"/>
  <c r="H6" i="58"/>
  <c r="J5" i="58"/>
  <c r="J50" i="55"/>
  <c r="K50" i="55" s="1"/>
  <c r="L50" i="55" s="1"/>
  <c r="M50" i="55" s="1"/>
  <c r="N50" i="55" s="1"/>
  <c r="O50" i="55" s="1"/>
  <c r="P50" i="55" s="1"/>
  <c r="Q50" i="55" s="1"/>
  <c r="R50" i="55" s="1"/>
  <c r="S50" i="55" s="1"/>
  <c r="J49" i="55"/>
  <c r="K49" i="55" s="1"/>
  <c r="L49" i="55" s="1"/>
  <c r="M49" i="55" s="1"/>
  <c r="N49" i="55" s="1"/>
  <c r="O49" i="55" s="1"/>
  <c r="P49" i="55" s="1"/>
  <c r="Q49" i="55" s="1"/>
  <c r="R49" i="55" s="1"/>
  <c r="S49" i="55" s="1"/>
  <c r="J48" i="55"/>
  <c r="K48" i="55" s="1"/>
  <c r="L48" i="55" s="1"/>
  <c r="M48" i="55" s="1"/>
  <c r="N48" i="55" s="1"/>
  <c r="O48" i="55" s="1"/>
  <c r="P48" i="55" s="1"/>
  <c r="Q48" i="55" s="1"/>
  <c r="R48" i="55" s="1"/>
  <c r="S48" i="55" s="1"/>
  <c r="J47" i="55"/>
  <c r="K47" i="55" s="1"/>
  <c r="L47" i="55" s="1"/>
  <c r="M47" i="55" s="1"/>
  <c r="N47" i="55" s="1"/>
  <c r="O47" i="55" s="1"/>
  <c r="P47" i="55" s="1"/>
  <c r="Q47" i="55" s="1"/>
  <c r="R47" i="55" s="1"/>
  <c r="S47" i="55" s="1"/>
  <c r="J46" i="55"/>
  <c r="K46" i="55" s="1"/>
  <c r="L46" i="55" s="1"/>
  <c r="M46" i="55" s="1"/>
  <c r="N46" i="55" s="1"/>
  <c r="O46" i="55" s="1"/>
  <c r="P46" i="55" s="1"/>
  <c r="Q46" i="55" s="1"/>
  <c r="R46" i="55" s="1"/>
  <c r="S46" i="55" s="1"/>
  <c r="J45" i="55"/>
  <c r="K45" i="55" s="1"/>
  <c r="L45" i="55" s="1"/>
  <c r="M45" i="55" s="1"/>
  <c r="N45" i="55" s="1"/>
  <c r="O45" i="55" s="1"/>
  <c r="P45" i="55" s="1"/>
  <c r="Q45" i="55" s="1"/>
  <c r="R45" i="55" s="1"/>
  <c r="S45" i="55" s="1"/>
  <c r="J44" i="55"/>
  <c r="K44" i="55" s="1"/>
  <c r="L44" i="55" s="1"/>
  <c r="M44" i="55" s="1"/>
  <c r="N44" i="55" s="1"/>
  <c r="O44" i="55" s="1"/>
  <c r="P44" i="55" s="1"/>
  <c r="Q44" i="55" s="1"/>
  <c r="R44" i="55" s="1"/>
  <c r="S44" i="55" s="1"/>
  <c r="J43" i="55"/>
  <c r="K43" i="55" s="1"/>
  <c r="L43" i="55" s="1"/>
  <c r="M43" i="55" s="1"/>
  <c r="N43" i="55" s="1"/>
  <c r="O43" i="55" s="1"/>
  <c r="P43" i="55" s="1"/>
  <c r="Q43" i="55" s="1"/>
  <c r="R43" i="55" s="1"/>
  <c r="S43" i="55" s="1"/>
  <c r="J42" i="55"/>
  <c r="K42" i="55" s="1"/>
  <c r="L42" i="55" s="1"/>
  <c r="M42" i="55" s="1"/>
  <c r="N42" i="55" s="1"/>
  <c r="O42" i="55" s="1"/>
  <c r="P42" i="55" s="1"/>
  <c r="Q42" i="55" s="1"/>
  <c r="R42" i="55" s="1"/>
  <c r="S42" i="55" s="1"/>
  <c r="J41" i="55"/>
  <c r="K41" i="55" s="1"/>
  <c r="L41" i="55" s="1"/>
  <c r="M41" i="55" s="1"/>
  <c r="N41" i="55" s="1"/>
  <c r="O41" i="55" s="1"/>
  <c r="P41" i="55" s="1"/>
  <c r="Q41" i="55" s="1"/>
  <c r="R41" i="55" s="1"/>
  <c r="S41" i="55" s="1"/>
  <c r="J40" i="55"/>
  <c r="K40" i="55" s="1"/>
  <c r="L40" i="55" s="1"/>
  <c r="M40" i="55" s="1"/>
  <c r="N40" i="55" s="1"/>
  <c r="O40" i="55" s="1"/>
  <c r="P40" i="55" s="1"/>
  <c r="Q40" i="55" s="1"/>
  <c r="R40" i="55" s="1"/>
  <c r="S40" i="55" s="1"/>
  <c r="J39" i="55"/>
  <c r="K39" i="55" s="1"/>
  <c r="L39" i="55" s="1"/>
  <c r="M39" i="55" s="1"/>
  <c r="N39" i="55" s="1"/>
  <c r="O39" i="55" s="1"/>
  <c r="P39" i="55" s="1"/>
  <c r="Q39" i="55" s="1"/>
  <c r="R39" i="55" s="1"/>
  <c r="S39" i="55" s="1"/>
  <c r="J38" i="55"/>
  <c r="K38" i="55" s="1"/>
  <c r="L38" i="55" s="1"/>
  <c r="M38" i="55" s="1"/>
  <c r="N38" i="55" s="1"/>
  <c r="O38" i="55" s="1"/>
  <c r="P38" i="55" s="1"/>
  <c r="Q38" i="55" s="1"/>
  <c r="R38" i="55" s="1"/>
  <c r="S38" i="55" s="1"/>
  <c r="J37" i="55"/>
  <c r="K37" i="55" s="1"/>
  <c r="L37" i="55" s="1"/>
  <c r="M37" i="55" s="1"/>
  <c r="N37" i="55" s="1"/>
  <c r="O37" i="55" s="1"/>
  <c r="P37" i="55" s="1"/>
  <c r="Q37" i="55" s="1"/>
  <c r="R37" i="55" s="1"/>
  <c r="S37" i="55" s="1"/>
  <c r="J36" i="55"/>
  <c r="K36" i="55" s="1"/>
  <c r="L36" i="55" s="1"/>
  <c r="M36" i="55" s="1"/>
  <c r="N36" i="55" s="1"/>
  <c r="O36" i="55" s="1"/>
  <c r="P36" i="55" s="1"/>
  <c r="Q36" i="55" s="1"/>
  <c r="R36" i="55" s="1"/>
  <c r="S36" i="55" s="1"/>
  <c r="J35" i="55"/>
  <c r="K35" i="55" s="1"/>
  <c r="L35" i="55" s="1"/>
  <c r="M35" i="55" s="1"/>
  <c r="N35" i="55" s="1"/>
  <c r="O35" i="55" s="1"/>
  <c r="P35" i="55" s="1"/>
  <c r="Q35" i="55" s="1"/>
  <c r="R35" i="55" s="1"/>
  <c r="S35" i="55" s="1"/>
  <c r="J34" i="55"/>
  <c r="K34" i="55" s="1"/>
  <c r="L34" i="55" s="1"/>
  <c r="M34" i="55" s="1"/>
  <c r="N34" i="55" s="1"/>
  <c r="O34" i="55" s="1"/>
  <c r="P34" i="55" s="1"/>
  <c r="Q34" i="55" s="1"/>
  <c r="R34" i="55" s="1"/>
  <c r="S34" i="55" s="1"/>
  <c r="J33" i="55"/>
  <c r="K33" i="55" s="1"/>
  <c r="L33" i="55" s="1"/>
  <c r="M33" i="55" s="1"/>
  <c r="N33" i="55" s="1"/>
  <c r="O33" i="55" s="1"/>
  <c r="P33" i="55" s="1"/>
  <c r="Q33" i="55" s="1"/>
  <c r="R33" i="55" s="1"/>
  <c r="S33" i="55" s="1"/>
  <c r="J32" i="55"/>
  <c r="K32" i="55" s="1"/>
  <c r="L32" i="55" s="1"/>
  <c r="M32" i="55" s="1"/>
  <c r="N32" i="55" s="1"/>
  <c r="O32" i="55" s="1"/>
  <c r="P32" i="55" s="1"/>
  <c r="Q32" i="55" s="1"/>
  <c r="R32" i="55" s="1"/>
  <c r="S32" i="55" s="1"/>
  <c r="J31" i="55"/>
  <c r="K31" i="55" s="1"/>
  <c r="L31" i="55" s="1"/>
  <c r="M31" i="55" s="1"/>
  <c r="N31" i="55" s="1"/>
  <c r="O31" i="55" s="1"/>
  <c r="P31" i="55" s="1"/>
  <c r="Q31" i="55" s="1"/>
  <c r="R31" i="55" s="1"/>
  <c r="S31" i="55" s="1"/>
  <c r="J30" i="55"/>
  <c r="K30" i="55" s="1"/>
  <c r="L30" i="55" s="1"/>
  <c r="M30" i="55" s="1"/>
  <c r="N30" i="55" s="1"/>
  <c r="O30" i="55" s="1"/>
  <c r="P30" i="55" s="1"/>
  <c r="Q30" i="55" s="1"/>
  <c r="R30" i="55" s="1"/>
  <c r="S30" i="55" s="1"/>
  <c r="J29" i="55"/>
  <c r="K29" i="55" s="1"/>
  <c r="L29" i="55" s="1"/>
  <c r="M29" i="55" s="1"/>
  <c r="N29" i="55" s="1"/>
  <c r="O29" i="55" s="1"/>
  <c r="P29" i="55" s="1"/>
  <c r="Q29" i="55" s="1"/>
  <c r="R29" i="55" s="1"/>
  <c r="S29" i="55" s="1"/>
  <c r="J28" i="55"/>
  <c r="K28" i="55" s="1"/>
  <c r="L28" i="55" s="1"/>
  <c r="M28" i="55" s="1"/>
  <c r="N28" i="55" s="1"/>
  <c r="O28" i="55" s="1"/>
  <c r="P28" i="55" s="1"/>
  <c r="Q28" i="55" s="1"/>
  <c r="R28" i="55" s="1"/>
  <c r="S28" i="55" s="1"/>
  <c r="J27" i="55"/>
  <c r="K27" i="55" s="1"/>
  <c r="L27" i="55" s="1"/>
  <c r="M27" i="55" s="1"/>
  <c r="N27" i="55" s="1"/>
  <c r="O27" i="55" s="1"/>
  <c r="P27" i="55" s="1"/>
  <c r="Q27" i="55" s="1"/>
  <c r="R27" i="55" s="1"/>
  <c r="S27" i="55" s="1"/>
  <c r="J26" i="55"/>
  <c r="K26" i="55" s="1"/>
  <c r="L26" i="55" s="1"/>
  <c r="M26" i="55" s="1"/>
  <c r="N26" i="55" s="1"/>
  <c r="O26" i="55" s="1"/>
  <c r="P26" i="55" s="1"/>
  <c r="Q26" i="55" s="1"/>
  <c r="R26" i="55" s="1"/>
  <c r="S26" i="55" s="1"/>
  <c r="J25" i="55"/>
  <c r="K25" i="55" s="1"/>
  <c r="L25" i="55" s="1"/>
  <c r="M25" i="55" s="1"/>
  <c r="N25" i="55" s="1"/>
  <c r="O25" i="55" s="1"/>
  <c r="P25" i="55" s="1"/>
  <c r="Q25" i="55" s="1"/>
  <c r="R25" i="55" s="1"/>
  <c r="S25" i="55" s="1"/>
  <c r="J24" i="55"/>
  <c r="K24" i="55" s="1"/>
  <c r="L24" i="55" s="1"/>
  <c r="M24" i="55" s="1"/>
  <c r="N24" i="55" s="1"/>
  <c r="O24" i="55" s="1"/>
  <c r="P24" i="55" s="1"/>
  <c r="Q24" i="55" s="1"/>
  <c r="R24" i="55" s="1"/>
  <c r="S24" i="55" s="1"/>
  <c r="J23" i="55"/>
  <c r="K23" i="55" s="1"/>
  <c r="L23" i="55" s="1"/>
  <c r="M23" i="55" s="1"/>
  <c r="N23" i="55" s="1"/>
  <c r="O23" i="55" s="1"/>
  <c r="P23" i="55" s="1"/>
  <c r="Q23" i="55" s="1"/>
  <c r="R23" i="55" s="1"/>
  <c r="S23" i="55" s="1"/>
  <c r="J22" i="55"/>
  <c r="K22" i="55" s="1"/>
  <c r="L22" i="55" s="1"/>
  <c r="M22" i="55" s="1"/>
  <c r="N22" i="55" s="1"/>
  <c r="O22" i="55" s="1"/>
  <c r="P22" i="55" s="1"/>
  <c r="Q22" i="55" s="1"/>
  <c r="R22" i="55" s="1"/>
  <c r="S22" i="55" s="1"/>
  <c r="J21" i="55"/>
  <c r="K21" i="55" s="1"/>
  <c r="L21" i="55" s="1"/>
  <c r="M21" i="55" s="1"/>
  <c r="N21" i="55" s="1"/>
  <c r="O21" i="55" s="1"/>
  <c r="P21" i="55" s="1"/>
  <c r="Q21" i="55" s="1"/>
  <c r="R21" i="55" s="1"/>
  <c r="S21" i="55" s="1"/>
  <c r="J20" i="55"/>
  <c r="K20" i="55" s="1"/>
  <c r="L20" i="55" s="1"/>
  <c r="M20" i="55" s="1"/>
  <c r="N20" i="55" s="1"/>
  <c r="O20" i="55" s="1"/>
  <c r="P20" i="55" s="1"/>
  <c r="Q20" i="55" s="1"/>
  <c r="R20" i="55" s="1"/>
  <c r="S20" i="55" s="1"/>
  <c r="J19" i="55"/>
  <c r="K19" i="55" s="1"/>
  <c r="L19" i="55" s="1"/>
  <c r="M19" i="55" s="1"/>
  <c r="N19" i="55" s="1"/>
  <c r="O19" i="55" s="1"/>
  <c r="P19" i="55" s="1"/>
  <c r="Q19" i="55" s="1"/>
  <c r="R19" i="55" s="1"/>
  <c r="S19" i="55" s="1"/>
  <c r="J18" i="55"/>
  <c r="K18" i="55" s="1"/>
  <c r="L18" i="55" s="1"/>
  <c r="M18" i="55" s="1"/>
  <c r="N18" i="55" s="1"/>
  <c r="O18" i="55" s="1"/>
  <c r="P18" i="55" s="1"/>
  <c r="Q18" i="55" s="1"/>
  <c r="R18" i="55" s="1"/>
  <c r="S18" i="55" s="1"/>
  <c r="J17" i="55"/>
  <c r="K17" i="55" s="1"/>
  <c r="L17" i="55" s="1"/>
  <c r="M17" i="55" s="1"/>
  <c r="N17" i="55" s="1"/>
  <c r="O17" i="55" s="1"/>
  <c r="P17" i="55" s="1"/>
  <c r="Q17" i="55" s="1"/>
  <c r="R17" i="55" s="1"/>
  <c r="S17" i="55" s="1"/>
  <c r="J16" i="55"/>
  <c r="K16" i="55" s="1"/>
  <c r="L16" i="55" s="1"/>
  <c r="M16" i="55" s="1"/>
  <c r="N16" i="55" s="1"/>
  <c r="O16" i="55" s="1"/>
  <c r="P16" i="55" s="1"/>
  <c r="Q16" i="55" s="1"/>
  <c r="R16" i="55" s="1"/>
  <c r="S16" i="55" s="1"/>
  <c r="J15" i="55"/>
  <c r="K15" i="55" s="1"/>
  <c r="L15" i="55" s="1"/>
  <c r="M15" i="55" s="1"/>
  <c r="N15" i="55" s="1"/>
  <c r="O15" i="55" s="1"/>
  <c r="P15" i="55" s="1"/>
  <c r="Q15" i="55" s="1"/>
  <c r="R15" i="55" s="1"/>
  <c r="S15" i="55" s="1"/>
  <c r="J14" i="55"/>
  <c r="K14" i="55" s="1"/>
  <c r="L14" i="55" s="1"/>
  <c r="M14" i="55" s="1"/>
  <c r="N14" i="55" s="1"/>
  <c r="O14" i="55" s="1"/>
  <c r="P14" i="55" s="1"/>
  <c r="Q14" i="55" s="1"/>
  <c r="R14" i="55" s="1"/>
  <c r="S14" i="55" s="1"/>
  <c r="J13" i="55"/>
  <c r="K13" i="55" s="1"/>
  <c r="L13" i="55" s="1"/>
  <c r="M13" i="55" s="1"/>
  <c r="N13" i="55" s="1"/>
  <c r="O13" i="55" s="1"/>
  <c r="P13" i="55" s="1"/>
  <c r="Q13" i="55" s="1"/>
  <c r="R13" i="55" s="1"/>
  <c r="S13" i="55" s="1"/>
  <c r="J12" i="55"/>
  <c r="K12" i="55" s="1"/>
  <c r="L12" i="55" s="1"/>
  <c r="M12" i="55" s="1"/>
  <c r="N12" i="55" s="1"/>
  <c r="O12" i="55" s="1"/>
  <c r="P12" i="55" s="1"/>
  <c r="Q12" i="55" s="1"/>
  <c r="R12" i="55" s="1"/>
  <c r="S12" i="55" s="1"/>
  <c r="J11" i="55"/>
  <c r="K11" i="55" s="1"/>
  <c r="L11" i="55" s="1"/>
  <c r="M11" i="55" s="1"/>
  <c r="N11" i="55" s="1"/>
  <c r="O11" i="55" s="1"/>
  <c r="P11" i="55" s="1"/>
  <c r="Q11" i="55" s="1"/>
  <c r="R11" i="55" s="1"/>
  <c r="S11" i="55" s="1"/>
  <c r="J10" i="55"/>
  <c r="K10" i="55" s="1"/>
  <c r="L10" i="55" s="1"/>
  <c r="M10" i="55" s="1"/>
  <c r="N10" i="55" s="1"/>
  <c r="O10" i="55" s="1"/>
  <c r="P10" i="55" s="1"/>
  <c r="Q10" i="55" s="1"/>
  <c r="R10" i="55" s="1"/>
  <c r="S10" i="55" s="1"/>
  <c r="J9" i="55"/>
  <c r="K9" i="55" s="1"/>
  <c r="L9" i="55" s="1"/>
  <c r="M9" i="55" s="1"/>
  <c r="N9" i="55" s="1"/>
  <c r="O9" i="55" s="1"/>
  <c r="P9" i="55" s="1"/>
  <c r="Q9" i="55" s="1"/>
  <c r="R9" i="55" s="1"/>
  <c r="S9" i="55" s="1"/>
  <c r="J8" i="55"/>
  <c r="K8" i="55" s="1"/>
  <c r="L8" i="55" s="1"/>
  <c r="M8" i="55" s="1"/>
  <c r="N8" i="55" s="1"/>
  <c r="O8" i="55" s="1"/>
  <c r="P8" i="55" s="1"/>
  <c r="Q8" i="55" s="1"/>
  <c r="R8" i="55" s="1"/>
  <c r="S8" i="55" s="1"/>
  <c r="J7" i="55"/>
  <c r="K7" i="55" s="1"/>
  <c r="L7" i="55" s="1"/>
  <c r="M7" i="55" s="1"/>
  <c r="N7" i="55" s="1"/>
  <c r="O7" i="55" s="1"/>
  <c r="P7" i="55" s="1"/>
  <c r="Q7" i="55" s="1"/>
  <c r="R7" i="55" s="1"/>
  <c r="S7" i="55" s="1"/>
  <c r="J6" i="55"/>
  <c r="K6" i="55" s="1"/>
  <c r="L6" i="55" s="1"/>
  <c r="M6" i="55" s="1"/>
  <c r="N6" i="55" s="1"/>
  <c r="O6" i="55" s="1"/>
  <c r="P6" i="55" s="1"/>
  <c r="Q6" i="55" s="1"/>
  <c r="R6" i="55" s="1"/>
  <c r="S6" i="55" s="1"/>
  <c r="J5" i="55"/>
  <c r="K5" i="55" s="1"/>
  <c r="L5" i="55" s="1"/>
  <c r="M5" i="55" s="1"/>
  <c r="N5" i="55" s="1"/>
  <c r="O5" i="55" s="1"/>
  <c r="P5" i="55" s="1"/>
  <c r="Q5" i="55" s="1"/>
  <c r="R5" i="55" s="1"/>
  <c r="S5" i="55" s="1"/>
  <c r="N51" i="54"/>
  <c r="N50" i="54"/>
  <c r="L50" i="54"/>
  <c r="K50" i="54"/>
  <c r="N49" i="54"/>
  <c r="L49" i="54"/>
  <c r="K49" i="54"/>
  <c r="N48" i="54"/>
  <c r="L48" i="54"/>
  <c r="K48" i="54"/>
  <c r="N47" i="54"/>
  <c r="L47" i="54"/>
  <c r="K47" i="54"/>
  <c r="N46" i="54"/>
  <c r="L46" i="54"/>
  <c r="K46" i="54"/>
  <c r="N45" i="54"/>
  <c r="L45" i="54"/>
  <c r="K45" i="54"/>
  <c r="N44" i="54"/>
  <c r="L44" i="54"/>
  <c r="K44" i="54"/>
  <c r="N43" i="54"/>
  <c r="L43" i="54"/>
  <c r="K43" i="54"/>
  <c r="N42" i="54"/>
  <c r="L42" i="54"/>
  <c r="K42" i="54"/>
  <c r="N41" i="54"/>
  <c r="L41" i="54"/>
  <c r="K41" i="54"/>
  <c r="N40" i="54"/>
  <c r="L40" i="54"/>
  <c r="K40" i="54"/>
  <c r="N39" i="54"/>
  <c r="L39" i="54"/>
  <c r="K39" i="54"/>
  <c r="N38" i="54"/>
  <c r="L38" i="54"/>
  <c r="K38" i="54"/>
  <c r="N37" i="54"/>
  <c r="L37" i="54"/>
  <c r="K37" i="54"/>
  <c r="N36" i="54"/>
  <c r="L36" i="54"/>
  <c r="K36" i="54"/>
  <c r="N35" i="54"/>
  <c r="L35" i="54"/>
  <c r="K35" i="54"/>
  <c r="N34" i="54"/>
  <c r="L34" i="54"/>
  <c r="K34" i="54"/>
  <c r="N33" i="54"/>
  <c r="L33" i="54"/>
  <c r="K33" i="54"/>
  <c r="N32" i="54"/>
  <c r="L32" i="54"/>
  <c r="K32" i="54"/>
  <c r="N31" i="54"/>
  <c r="L31" i="54"/>
  <c r="K31" i="54"/>
  <c r="N30" i="54"/>
  <c r="L30" i="54"/>
  <c r="K30" i="54"/>
  <c r="N29" i="54"/>
  <c r="L29" i="54"/>
  <c r="K29" i="54"/>
  <c r="N28" i="54"/>
  <c r="L28" i="54"/>
  <c r="K28" i="54"/>
  <c r="N27" i="54"/>
  <c r="L27" i="54"/>
  <c r="K27" i="54"/>
  <c r="N26" i="54"/>
  <c r="L26" i="54"/>
  <c r="K26" i="54"/>
  <c r="N25" i="54"/>
  <c r="L25" i="54"/>
  <c r="K25" i="54"/>
  <c r="N24" i="54"/>
  <c r="L24" i="54"/>
  <c r="K24" i="54"/>
  <c r="N23" i="54"/>
  <c r="L23" i="54"/>
  <c r="K23" i="54"/>
  <c r="N22" i="54"/>
  <c r="L22" i="54"/>
  <c r="K22" i="54"/>
  <c r="N21" i="54"/>
  <c r="L21" i="54"/>
  <c r="K21" i="54"/>
  <c r="N20" i="54"/>
  <c r="L20" i="54"/>
  <c r="K20" i="54"/>
  <c r="N19" i="54"/>
  <c r="L19" i="54"/>
  <c r="K19" i="54"/>
  <c r="N18" i="54"/>
  <c r="L18" i="54"/>
  <c r="K18" i="54"/>
  <c r="N17" i="54"/>
  <c r="L17" i="54"/>
  <c r="K17" i="54"/>
  <c r="N16" i="54"/>
  <c r="L16" i="54"/>
  <c r="K16" i="54"/>
  <c r="N15" i="54"/>
  <c r="L15" i="54"/>
  <c r="K15" i="54"/>
  <c r="N14" i="54"/>
  <c r="L14" i="54"/>
  <c r="K14" i="54"/>
  <c r="N13" i="54"/>
  <c r="L13" i="54"/>
  <c r="K13" i="54"/>
  <c r="N12" i="54"/>
  <c r="L12" i="54"/>
  <c r="K12" i="54"/>
  <c r="N11" i="54"/>
  <c r="L11" i="54"/>
  <c r="K11" i="54"/>
  <c r="N10" i="54"/>
  <c r="L10" i="54"/>
  <c r="K10" i="54"/>
  <c r="N9" i="54"/>
  <c r="L9" i="54"/>
  <c r="K9" i="54"/>
  <c r="N8" i="54"/>
  <c r="L8" i="54"/>
  <c r="K8" i="54"/>
  <c r="N7" i="54"/>
  <c r="L7" i="54"/>
  <c r="K7" i="54"/>
  <c r="N6" i="54"/>
  <c r="L6" i="54"/>
  <c r="K6" i="54"/>
  <c r="N5" i="54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M51" i="50"/>
  <c r="M50" i="50"/>
  <c r="L50" i="50"/>
  <c r="K50" i="50"/>
  <c r="M49" i="50"/>
  <c r="L49" i="50"/>
  <c r="K49" i="50"/>
  <c r="M48" i="50"/>
  <c r="L48" i="50"/>
  <c r="K48" i="50"/>
  <c r="M47" i="50"/>
  <c r="L47" i="50"/>
  <c r="K47" i="50"/>
  <c r="M46" i="50"/>
  <c r="L46" i="50"/>
  <c r="K46" i="50"/>
  <c r="M45" i="50"/>
  <c r="L45" i="50"/>
  <c r="K45" i="50"/>
  <c r="M44" i="50"/>
  <c r="L44" i="50"/>
  <c r="K44" i="50"/>
  <c r="M43" i="50"/>
  <c r="L43" i="50"/>
  <c r="K43" i="50"/>
  <c r="M42" i="50"/>
  <c r="L42" i="50"/>
  <c r="K42" i="50"/>
  <c r="M41" i="50"/>
  <c r="L41" i="50"/>
  <c r="K41" i="50"/>
  <c r="M40" i="50"/>
  <c r="L40" i="50"/>
  <c r="K40" i="50"/>
  <c r="M39" i="50"/>
  <c r="L39" i="50"/>
  <c r="K39" i="50"/>
  <c r="M38" i="50"/>
  <c r="L38" i="50"/>
  <c r="K38" i="50"/>
  <c r="M37" i="50"/>
  <c r="L37" i="50"/>
  <c r="K37" i="50"/>
  <c r="M36" i="50"/>
  <c r="L36" i="50"/>
  <c r="K36" i="50"/>
  <c r="M35" i="50"/>
  <c r="L35" i="50"/>
  <c r="K35" i="50"/>
  <c r="M34" i="50"/>
  <c r="L34" i="50"/>
  <c r="K34" i="50"/>
  <c r="M33" i="50"/>
  <c r="L33" i="50"/>
  <c r="K33" i="50"/>
  <c r="M32" i="50"/>
  <c r="L32" i="50"/>
  <c r="K32" i="50"/>
  <c r="M31" i="50"/>
  <c r="L31" i="50"/>
  <c r="K31" i="50"/>
  <c r="M30" i="50"/>
  <c r="L30" i="50"/>
  <c r="K30" i="50"/>
  <c r="M29" i="50"/>
  <c r="L29" i="50"/>
  <c r="K29" i="50"/>
  <c r="M28" i="50"/>
  <c r="L28" i="50"/>
  <c r="K28" i="50"/>
  <c r="M27" i="50"/>
  <c r="L27" i="50"/>
  <c r="K27" i="50"/>
  <c r="M26" i="50"/>
  <c r="L26" i="50"/>
  <c r="K26" i="50"/>
  <c r="M25" i="50"/>
  <c r="L25" i="50"/>
  <c r="K25" i="50"/>
  <c r="M24" i="50"/>
  <c r="L24" i="50"/>
  <c r="K24" i="50"/>
  <c r="M23" i="50"/>
  <c r="L23" i="50"/>
  <c r="K23" i="50"/>
  <c r="M22" i="50"/>
  <c r="L22" i="50"/>
  <c r="K22" i="50"/>
  <c r="M21" i="50"/>
  <c r="L21" i="50"/>
  <c r="K21" i="50"/>
  <c r="M20" i="50"/>
  <c r="L20" i="50"/>
  <c r="K20" i="50"/>
  <c r="M19" i="50"/>
  <c r="L19" i="50"/>
  <c r="K19" i="50"/>
  <c r="M18" i="50"/>
  <c r="L18" i="50"/>
  <c r="K18" i="50"/>
  <c r="M17" i="50"/>
  <c r="L17" i="50"/>
  <c r="K17" i="50"/>
  <c r="M16" i="50"/>
  <c r="L16" i="50"/>
  <c r="K16" i="50"/>
  <c r="M15" i="50"/>
  <c r="L15" i="50"/>
  <c r="K15" i="50"/>
  <c r="M14" i="50"/>
  <c r="L14" i="50"/>
  <c r="K14" i="50"/>
  <c r="M13" i="50"/>
  <c r="L13" i="50"/>
  <c r="K13" i="50"/>
  <c r="M12" i="50"/>
  <c r="L12" i="50"/>
  <c r="K12" i="50"/>
  <c r="M11" i="50"/>
  <c r="L11" i="50"/>
  <c r="K11" i="50"/>
  <c r="M10" i="50"/>
  <c r="L10" i="50"/>
  <c r="K10" i="50"/>
  <c r="M9" i="50"/>
  <c r="L9" i="50"/>
  <c r="K9" i="50"/>
  <c r="M8" i="50"/>
  <c r="L8" i="50"/>
  <c r="K8" i="50"/>
  <c r="M7" i="50"/>
  <c r="L7" i="50"/>
  <c r="K7" i="50"/>
  <c r="M6" i="50"/>
  <c r="L6" i="50"/>
  <c r="M5" i="50"/>
  <c r="K50" i="47"/>
  <c r="K49" i="47"/>
  <c r="L49" i="47" s="1"/>
  <c r="M49" i="47" s="1"/>
  <c r="N49" i="47" s="1"/>
  <c r="O49" i="47" s="1"/>
  <c r="P49" i="47" s="1"/>
  <c r="Q49" i="47" s="1"/>
  <c r="R49" i="47" s="1"/>
  <c r="S49" i="47" s="1"/>
  <c r="T49" i="47" s="1"/>
  <c r="K48" i="47"/>
  <c r="L48" i="47" s="1"/>
  <c r="M48" i="47" s="1"/>
  <c r="N48" i="47" s="1"/>
  <c r="O48" i="47" s="1"/>
  <c r="P48" i="47" s="1"/>
  <c r="Q48" i="47" s="1"/>
  <c r="R48" i="47" s="1"/>
  <c r="S48" i="47" s="1"/>
  <c r="T48" i="47" s="1"/>
  <c r="K47" i="47"/>
  <c r="L47" i="47" s="1"/>
  <c r="M47" i="47" s="1"/>
  <c r="N47" i="47" s="1"/>
  <c r="O47" i="47" s="1"/>
  <c r="P47" i="47" s="1"/>
  <c r="Q47" i="47" s="1"/>
  <c r="R47" i="47" s="1"/>
  <c r="S47" i="47" s="1"/>
  <c r="T47" i="47" s="1"/>
  <c r="K46" i="47"/>
  <c r="L46" i="47" s="1"/>
  <c r="M46" i="47" s="1"/>
  <c r="N46" i="47" s="1"/>
  <c r="O46" i="47" s="1"/>
  <c r="P46" i="47" s="1"/>
  <c r="Q46" i="47" s="1"/>
  <c r="R46" i="47" s="1"/>
  <c r="S46" i="47" s="1"/>
  <c r="T46" i="47" s="1"/>
  <c r="K45" i="47"/>
  <c r="L45" i="47" s="1"/>
  <c r="M45" i="47" s="1"/>
  <c r="N45" i="47" s="1"/>
  <c r="O45" i="47" s="1"/>
  <c r="P45" i="47" s="1"/>
  <c r="Q45" i="47" s="1"/>
  <c r="R45" i="47" s="1"/>
  <c r="S45" i="47" s="1"/>
  <c r="T45" i="47" s="1"/>
  <c r="K44" i="47"/>
  <c r="L44" i="47" s="1"/>
  <c r="M44" i="47" s="1"/>
  <c r="N44" i="47" s="1"/>
  <c r="O44" i="47" s="1"/>
  <c r="P44" i="47" s="1"/>
  <c r="Q44" i="47" s="1"/>
  <c r="R44" i="47" s="1"/>
  <c r="S44" i="47" s="1"/>
  <c r="T44" i="47" s="1"/>
  <c r="K43" i="47"/>
  <c r="L43" i="47" s="1"/>
  <c r="M43" i="47" s="1"/>
  <c r="N43" i="47" s="1"/>
  <c r="O43" i="47" s="1"/>
  <c r="P43" i="47" s="1"/>
  <c r="Q43" i="47" s="1"/>
  <c r="R43" i="47" s="1"/>
  <c r="S43" i="47" s="1"/>
  <c r="T43" i="47" s="1"/>
  <c r="K42" i="47"/>
  <c r="L42" i="47" s="1"/>
  <c r="M42" i="47" s="1"/>
  <c r="N42" i="47" s="1"/>
  <c r="O42" i="47" s="1"/>
  <c r="P42" i="47" s="1"/>
  <c r="Q42" i="47" s="1"/>
  <c r="R42" i="47" s="1"/>
  <c r="S42" i="47" s="1"/>
  <c r="T42" i="47" s="1"/>
  <c r="K41" i="47"/>
  <c r="L41" i="47" s="1"/>
  <c r="M41" i="47" s="1"/>
  <c r="N41" i="47" s="1"/>
  <c r="O41" i="47" s="1"/>
  <c r="P41" i="47" s="1"/>
  <c r="Q41" i="47" s="1"/>
  <c r="R41" i="47" s="1"/>
  <c r="S41" i="47" s="1"/>
  <c r="T41" i="47" s="1"/>
  <c r="K40" i="47"/>
  <c r="L40" i="47" s="1"/>
  <c r="M40" i="47" s="1"/>
  <c r="N40" i="47" s="1"/>
  <c r="O40" i="47" s="1"/>
  <c r="P40" i="47" s="1"/>
  <c r="Q40" i="47" s="1"/>
  <c r="R40" i="47" s="1"/>
  <c r="S40" i="47" s="1"/>
  <c r="T40" i="47" s="1"/>
  <c r="K39" i="47"/>
  <c r="L39" i="47" s="1"/>
  <c r="M39" i="47" s="1"/>
  <c r="N39" i="47" s="1"/>
  <c r="O39" i="47" s="1"/>
  <c r="P39" i="47" s="1"/>
  <c r="Q39" i="47" s="1"/>
  <c r="R39" i="47" s="1"/>
  <c r="S39" i="47" s="1"/>
  <c r="T39" i="47" s="1"/>
  <c r="K38" i="47"/>
  <c r="L38" i="47" s="1"/>
  <c r="M38" i="47" s="1"/>
  <c r="N38" i="47" s="1"/>
  <c r="O38" i="47" s="1"/>
  <c r="P38" i="47" s="1"/>
  <c r="Q38" i="47" s="1"/>
  <c r="R38" i="47" s="1"/>
  <c r="S38" i="47" s="1"/>
  <c r="T38" i="47" s="1"/>
  <c r="K37" i="47"/>
  <c r="L37" i="47" s="1"/>
  <c r="M37" i="47" s="1"/>
  <c r="N37" i="47" s="1"/>
  <c r="O37" i="47" s="1"/>
  <c r="P37" i="47" s="1"/>
  <c r="Q37" i="47" s="1"/>
  <c r="R37" i="47" s="1"/>
  <c r="S37" i="47" s="1"/>
  <c r="T37" i="47" s="1"/>
  <c r="K36" i="47"/>
  <c r="L36" i="47" s="1"/>
  <c r="M36" i="47" s="1"/>
  <c r="N36" i="47" s="1"/>
  <c r="O36" i="47" s="1"/>
  <c r="P36" i="47" s="1"/>
  <c r="Q36" i="47" s="1"/>
  <c r="R36" i="47" s="1"/>
  <c r="S36" i="47" s="1"/>
  <c r="T36" i="47" s="1"/>
  <c r="K35" i="47"/>
  <c r="L35" i="47" s="1"/>
  <c r="M35" i="47" s="1"/>
  <c r="N35" i="47" s="1"/>
  <c r="O35" i="47" s="1"/>
  <c r="P35" i="47" s="1"/>
  <c r="Q35" i="47" s="1"/>
  <c r="R35" i="47" s="1"/>
  <c r="S35" i="47" s="1"/>
  <c r="T35" i="47" s="1"/>
  <c r="K34" i="47"/>
  <c r="L34" i="47" s="1"/>
  <c r="M34" i="47" s="1"/>
  <c r="N34" i="47" s="1"/>
  <c r="O34" i="47" s="1"/>
  <c r="P34" i="47" s="1"/>
  <c r="Q34" i="47" s="1"/>
  <c r="R34" i="47" s="1"/>
  <c r="S34" i="47" s="1"/>
  <c r="T34" i="47" s="1"/>
  <c r="K33" i="47"/>
  <c r="L33" i="47" s="1"/>
  <c r="M33" i="47" s="1"/>
  <c r="N33" i="47" s="1"/>
  <c r="O33" i="47" s="1"/>
  <c r="P33" i="47" s="1"/>
  <c r="Q33" i="47" s="1"/>
  <c r="R33" i="47" s="1"/>
  <c r="S33" i="47" s="1"/>
  <c r="T33" i="47" s="1"/>
  <c r="K32" i="47"/>
  <c r="L32" i="47" s="1"/>
  <c r="M32" i="47" s="1"/>
  <c r="N32" i="47" s="1"/>
  <c r="O32" i="47" s="1"/>
  <c r="P32" i="47" s="1"/>
  <c r="Q32" i="47" s="1"/>
  <c r="R32" i="47" s="1"/>
  <c r="S32" i="47" s="1"/>
  <c r="T32" i="47" s="1"/>
  <c r="K31" i="47"/>
  <c r="L31" i="47" s="1"/>
  <c r="M31" i="47" s="1"/>
  <c r="N31" i="47" s="1"/>
  <c r="O31" i="47" s="1"/>
  <c r="P31" i="47" s="1"/>
  <c r="Q31" i="47" s="1"/>
  <c r="R31" i="47" s="1"/>
  <c r="S31" i="47" s="1"/>
  <c r="T31" i="47" s="1"/>
  <c r="K30" i="47"/>
  <c r="L30" i="47" s="1"/>
  <c r="M30" i="47" s="1"/>
  <c r="N30" i="47" s="1"/>
  <c r="O30" i="47" s="1"/>
  <c r="P30" i="47" s="1"/>
  <c r="Q30" i="47" s="1"/>
  <c r="R30" i="47" s="1"/>
  <c r="S30" i="47" s="1"/>
  <c r="T30" i="47" s="1"/>
  <c r="K29" i="47"/>
  <c r="L29" i="47" s="1"/>
  <c r="M29" i="47" s="1"/>
  <c r="N29" i="47" s="1"/>
  <c r="O29" i="47" s="1"/>
  <c r="P29" i="47" s="1"/>
  <c r="Q29" i="47" s="1"/>
  <c r="R29" i="47" s="1"/>
  <c r="S29" i="47" s="1"/>
  <c r="T29" i="47" s="1"/>
  <c r="K28" i="47"/>
  <c r="L28" i="47" s="1"/>
  <c r="M28" i="47" s="1"/>
  <c r="N28" i="47" s="1"/>
  <c r="O28" i="47" s="1"/>
  <c r="P28" i="47" s="1"/>
  <c r="Q28" i="47" s="1"/>
  <c r="R28" i="47" s="1"/>
  <c r="S28" i="47" s="1"/>
  <c r="T28" i="47" s="1"/>
  <c r="K27" i="47"/>
  <c r="L27" i="47" s="1"/>
  <c r="M27" i="47" s="1"/>
  <c r="N27" i="47" s="1"/>
  <c r="O27" i="47" s="1"/>
  <c r="P27" i="47" s="1"/>
  <c r="Q27" i="47" s="1"/>
  <c r="R27" i="47" s="1"/>
  <c r="S27" i="47" s="1"/>
  <c r="T27" i="47" s="1"/>
  <c r="K26" i="47"/>
  <c r="L26" i="47" s="1"/>
  <c r="M26" i="47" s="1"/>
  <c r="N26" i="47" s="1"/>
  <c r="O26" i="47" s="1"/>
  <c r="P26" i="47" s="1"/>
  <c r="Q26" i="47" s="1"/>
  <c r="R26" i="47" s="1"/>
  <c r="S26" i="47" s="1"/>
  <c r="T26" i="47" s="1"/>
  <c r="K25" i="47"/>
  <c r="L25" i="47" s="1"/>
  <c r="M25" i="47" s="1"/>
  <c r="N25" i="47" s="1"/>
  <c r="O25" i="47" s="1"/>
  <c r="P25" i="47" s="1"/>
  <c r="Q25" i="47" s="1"/>
  <c r="R25" i="47" s="1"/>
  <c r="S25" i="47" s="1"/>
  <c r="T25" i="47" s="1"/>
  <c r="K24" i="47"/>
  <c r="L24" i="47" s="1"/>
  <c r="M24" i="47" s="1"/>
  <c r="N24" i="47" s="1"/>
  <c r="O24" i="47" s="1"/>
  <c r="P24" i="47" s="1"/>
  <c r="Q24" i="47" s="1"/>
  <c r="R24" i="47" s="1"/>
  <c r="S24" i="47" s="1"/>
  <c r="T24" i="47" s="1"/>
  <c r="K23" i="47"/>
  <c r="L23" i="47" s="1"/>
  <c r="M23" i="47" s="1"/>
  <c r="N23" i="47" s="1"/>
  <c r="O23" i="47" s="1"/>
  <c r="P23" i="47" s="1"/>
  <c r="Q23" i="47" s="1"/>
  <c r="R23" i="47" s="1"/>
  <c r="S23" i="47" s="1"/>
  <c r="T23" i="47" s="1"/>
  <c r="K22" i="47"/>
  <c r="L22" i="47" s="1"/>
  <c r="M22" i="47" s="1"/>
  <c r="N22" i="47" s="1"/>
  <c r="O22" i="47" s="1"/>
  <c r="P22" i="47" s="1"/>
  <c r="Q22" i="47" s="1"/>
  <c r="R22" i="47" s="1"/>
  <c r="S22" i="47" s="1"/>
  <c r="T22" i="47" s="1"/>
  <c r="K21" i="47"/>
  <c r="L21" i="47" s="1"/>
  <c r="M21" i="47" s="1"/>
  <c r="N21" i="47" s="1"/>
  <c r="O21" i="47" s="1"/>
  <c r="P21" i="47" s="1"/>
  <c r="Q21" i="47" s="1"/>
  <c r="R21" i="47" s="1"/>
  <c r="S21" i="47" s="1"/>
  <c r="T21" i="47" s="1"/>
  <c r="K20" i="47"/>
  <c r="L20" i="47" s="1"/>
  <c r="M20" i="47" s="1"/>
  <c r="N20" i="47" s="1"/>
  <c r="O20" i="47" s="1"/>
  <c r="P20" i="47" s="1"/>
  <c r="Q20" i="47" s="1"/>
  <c r="R20" i="47" s="1"/>
  <c r="S20" i="47" s="1"/>
  <c r="T20" i="47" s="1"/>
  <c r="K19" i="47"/>
  <c r="L19" i="47" s="1"/>
  <c r="M19" i="47" s="1"/>
  <c r="N19" i="47" s="1"/>
  <c r="O19" i="47" s="1"/>
  <c r="P19" i="47" s="1"/>
  <c r="Q19" i="47" s="1"/>
  <c r="R19" i="47" s="1"/>
  <c r="S19" i="47" s="1"/>
  <c r="T19" i="47" s="1"/>
  <c r="K18" i="47"/>
  <c r="L18" i="47" s="1"/>
  <c r="M18" i="47" s="1"/>
  <c r="N18" i="47" s="1"/>
  <c r="O18" i="47" s="1"/>
  <c r="P18" i="47" s="1"/>
  <c r="Q18" i="47" s="1"/>
  <c r="R18" i="47" s="1"/>
  <c r="S18" i="47" s="1"/>
  <c r="T18" i="47" s="1"/>
  <c r="K17" i="47"/>
  <c r="L17" i="47" s="1"/>
  <c r="M17" i="47" s="1"/>
  <c r="N17" i="47" s="1"/>
  <c r="O17" i="47" s="1"/>
  <c r="P17" i="47" s="1"/>
  <c r="Q17" i="47" s="1"/>
  <c r="R17" i="47" s="1"/>
  <c r="S17" i="47" s="1"/>
  <c r="T17" i="47" s="1"/>
  <c r="K16" i="47"/>
  <c r="L16" i="47" s="1"/>
  <c r="M16" i="47" s="1"/>
  <c r="N16" i="47" s="1"/>
  <c r="O16" i="47" s="1"/>
  <c r="P16" i="47" s="1"/>
  <c r="Q16" i="47" s="1"/>
  <c r="R16" i="47" s="1"/>
  <c r="S16" i="47" s="1"/>
  <c r="T16" i="47" s="1"/>
  <c r="K15" i="47"/>
  <c r="L15" i="47" s="1"/>
  <c r="M15" i="47" s="1"/>
  <c r="N15" i="47" s="1"/>
  <c r="O15" i="47" s="1"/>
  <c r="P15" i="47" s="1"/>
  <c r="Q15" i="47" s="1"/>
  <c r="R15" i="47" s="1"/>
  <c r="S15" i="47" s="1"/>
  <c r="T15" i="47" s="1"/>
  <c r="K14" i="47"/>
  <c r="L14" i="47" s="1"/>
  <c r="M14" i="47" s="1"/>
  <c r="N14" i="47" s="1"/>
  <c r="O14" i="47" s="1"/>
  <c r="P14" i="47" s="1"/>
  <c r="Q14" i="47" s="1"/>
  <c r="R14" i="47" s="1"/>
  <c r="S14" i="47" s="1"/>
  <c r="T14" i="47" s="1"/>
  <c r="K13" i="47"/>
  <c r="L13" i="47" s="1"/>
  <c r="M13" i="47" s="1"/>
  <c r="N13" i="47" s="1"/>
  <c r="O13" i="47" s="1"/>
  <c r="P13" i="47" s="1"/>
  <c r="Q13" i="47" s="1"/>
  <c r="R13" i="47" s="1"/>
  <c r="S13" i="47" s="1"/>
  <c r="T13" i="47" s="1"/>
  <c r="K12" i="47"/>
  <c r="L12" i="47" s="1"/>
  <c r="M12" i="47" s="1"/>
  <c r="N12" i="47" s="1"/>
  <c r="O12" i="47" s="1"/>
  <c r="P12" i="47" s="1"/>
  <c r="Q12" i="47" s="1"/>
  <c r="R12" i="47" s="1"/>
  <c r="S12" i="47" s="1"/>
  <c r="T12" i="47" s="1"/>
  <c r="K11" i="47"/>
  <c r="L11" i="47" s="1"/>
  <c r="M11" i="47" s="1"/>
  <c r="N11" i="47" s="1"/>
  <c r="O11" i="47" s="1"/>
  <c r="P11" i="47" s="1"/>
  <c r="Q11" i="47" s="1"/>
  <c r="R11" i="47" s="1"/>
  <c r="S11" i="47" s="1"/>
  <c r="T11" i="47" s="1"/>
  <c r="K10" i="47"/>
  <c r="L10" i="47" s="1"/>
  <c r="M10" i="47" s="1"/>
  <c r="N10" i="47" s="1"/>
  <c r="O10" i="47" s="1"/>
  <c r="P10" i="47" s="1"/>
  <c r="Q10" i="47" s="1"/>
  <c r="R10" i="47" s="1"/>
  <c r="S10" i="47" s="1"/>
  <c r="T10" i="47" s="1"/>
  <c r="K9" i="47"/>
  <c r="L9" i="47" s="1"/>
  <c r="M9" i="47" s="1"/>
  <c r="N9" i="47" s="1"/>
  <c r="O9" i="47" s="1"/>
  <c r="P9" i="47" s="1"/>
  <c r="Q9" i="47" s="1"/>
  <c r="R9" i="47" s="1"/>
  <c r="S9" i="47" s="1"/>
  <c r="T9" i="47" s="1"/>
  <c r="K8" i="47"/>
  <c r="L8" i="47" s="1"/>
  <c r="M8" i="47" s="1"/>
  <c r="N8" i="47" s="1"/>
  <c r="O8" i="47" s="1"/>
  <c r="P8" i="47" s="1"/>
  <c r="Q8" i="47" s="1"/>
  <c r="R8" i="47" s="1"/>
  <c r="S8" i="47" s="1"/>
  <c r="T8" i="47" s="1"/>
  <c r="K7" i="47"/>
  <c r="L7" i="47" s="1"/>
  <c r="M7" i="47" s="1"/>
  <c r="N7" i="47" s="1"/>
  <c r="O7" i="47" s="1"/>
  <c r="P7" i="47" s="1"/>
  <c r="Q7" i="47" s="1"/>
  <c r="R7" i="47" s="1"/>
  <c r="S7" i="47" s="1"/>
  <c r="T7" i="47" s="1"/>
  <c r="K6" i="47"/>
  <c r="L6" i="47" s="1"/>
  <c r="M6" i="47" s="1"/>
  <c r="N6" i="47" s="1"/>
  <c r="O6" i="47" s="1"/>
  <c r="P6" i="47" s="1"/>
  <c r="Q6" i="47" s="1"/>
  <c r="R6" i="47" s="1"/>
  <c r="S6" i="47" s="1"/>
  <c r="T6" i="47" s="1"/>
  <c r="K5" i="47"/>
  <c r="L5" i="47" s="1"/>
  <c r="M5" i="47" s="1"/>
  <c r="N5" i="47" s="1"/>
  <c r="O5" i="47" s="1"/>
  <c r="P5" i="47" s="1"/>
  <c r="Q5" i="47" s="1"/>
  <c r="R5" i="47" s="1"/>
  <c r="S5" i="47" s="1"/>
  <c r="T5" i="47" s="1"/>
  <c r="I50" i="46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4" i="46"/>
  <c r="J14" i="46" s="1"/>
  <c r="K14" i="46" s="1"/>
  <c r="L14" i="46" s="1"/>
  <c r="M14" i="46" s="1"/>
  <c r="N14" i="46" s="1"/>
  <c r="O14" i="46" s="1"/>
  <c r="P14" i="46" s="1"/>
  <c r="Q14" i="46" s="1"/>
  <c r="R14" i="46" s="1"/>
  <c r="I13" i="46"/>
  <c r="J13" i="46" s="1"/>
  <c r="K13" i="46" s="1"/>
  <c r="L13" i="46" s="1"/>
  <c r="M13" i="46" s="1"/>
  <c r="N13" i="46" s="1"/>
  <c r="O13" i="46" s="1"/>
  <c r="P13" i="46" s="1"/>
  <c r="Q13" i="46" s="1"/>
  <c r="R13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J50" i="45"/>
  <c r="I50" i="45"/>
  <c r="J49" i="45"/>
  <c r="I49" i="45"/>
  <c r="J48" i="45"/>
  <c r="I48" i="45"/>
  <c r="J47" i="45"/>
  <c r="I47" i="45"/>
  <c r="J46" i="45"/>
  <c r="I46" i="45"/>
  <c r="J45" i="45"/>
  <c r="I45" i="45"/>
  <c r="J44" i="45"/>
  <c r="I44" i="45"/>
  <c r="J43" i="45"/>
  <c r="I43" i="45"/>
  <c r="J42" i="45"/>
  <c r="I42" i="45"/>
  <c r="J41" i="45"/>
  <c r="I41" i="45"/>
  <c r="J40" i="45"/>
  <c r="I40" i="45"/>
  <c r="J39" i="45"/>
  <c r="I39" i="45"/>
  <c r="J38" i="45"/>
  <c r="I38" i="45"/>
  <c r="J37" i="45"/>
  <c r="I37" i="45"/>
  <c r="J36" i="45"/>
  <c r="I36" i="45"/>
  <c r="J35" i="45"/>
  <c r="I35" i="45"/>
  <c r="J34" i="45"/>
  <c r="I34" i="45"/>
  <c r="J33" i="45"/>
  <c r="I33" i="45"/>
  <c r="J32" i="45"/>
  <c r="I32" i="45"/>
  <c r="J31" i="45"/>
  <c r="I31" i="45"/>
  <c r="J30" i="45"/>
  <c r="I30" i="45"/>
  <c r="J29" i="45"/>
  <c r="I29" i="45"/>
  <c r="J28" i="45"/>
  <c r="I28" i="45"/>
  <c r="J27" i="45"/>
  <c r="I27" i="45"/>
  <c r="J26" i="45"/>
  <c r="I26" i="45"/>
  <c r="J25" i="45"/>
  <c r="I25" i="45"/>
  <c r="J24" i="45"/>
  <c r="I24" i="45"/>
  <c r="J23" i="45"/>
  <c r="I23" i="45"/>
  <c r="J22" i="45"/>
  <c r="I22" i="45"/>
  <c r="J21" i="45"/>
  <c r="I21" i="45"/>
  <c r="J20" i="45"/>
  <c r="I20" i="45"/>
  <c r="J19" i="45"/>
  <c r="I19" i="45"/>
  <c r="J18" i="45"/>
  <c r="I18" i="45"/>
  <c r="J17" i="45"/>
  <c r="I17" i="45"/>
  <c r="J16" i="45"/>
  <c r="I16" i="45"/>
  <c r="J15" i="45"/>
  <c r="I15" i="45"/>
  <c r="J14" i="45"/>
  <c r="I14" i="45"/>
  <c r="J13" i="45"/>
  <c r="I13" i="45"/>
  <c r="J12" i="45"/>
  <c r="I12" i="45"/>
  <c r="J11" i="45"/>
  <c r="I11" i="45"/>
  <c r="J10" i="45"/>
  <c r="I10" i="45"/>
  <c r="J9" i="45"/>
  <c r="I9" i="45"/>
  <c r="J8" i="45"/>
  <c r="I8" i="45"/>
  <c r="J7" i="45"/>
  <c r="I7" i="45"/>
  <c r="J6" i="45"/>
  <c r="I6" i="45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H5" i="37"/>
  <c r="I5" i="37" s="1"/>
  <c r="J5" i="37" s="1"/>
  <c r="K5" i="37" s="1"/>
  <c r="L5" i="37" s="1"/>
  <c r="M5" i="37" s="1"/>
  <c r="N5" i="37" s="1"/>
  <c r="O5" i="37" s="1"/>
  <c r="P5" i="37" s="1"/>
  <c r="Q5" i="37" s="1"/>
  <c r="H6" i="37"/>
  <c r="I6" i="37" s="1"/>
  <c r="J6" i="37" s="1"/>
  <c r="L6" i="37" s="1"/>
  <c r="M6" i="37" s="1"/>
  <c r="N6" i="37" s="1"/>
  <c r="O6" i="37" s="1"/>
  <c r="P6" i="37" s="1"/>
  <c r="Q6" i="37" s="1"/>
  <c r="F3" i="44"/>
  <c r="D3" i="53"/>
  <c r="J3" i="44"/>
  <c r="E3" i="54"/>
  <c r="D3" i="58"/>
  <c r="D3" i="44"/>
  <c r="J3" i="53"/>
  <c r="H3" i="49"/>
  <c r="O4" i="50"/>
  <c r="N3" i="54"/>
  <c r="J3" i="57"/>
  <c r="H3" i="44"/>
  <c r="H3" i="57"/>
  <c r="D3" i="61"/>
  <c r="J3" i="49"/>
  <c r="D3" i="59"/>
  <c r="F3" i="57"/>
  <c r="D3" i="51"/>
  <c r="D3" i="52"/>
  <c r="D3" i="38"/>
  <c r="H3" i="53"/>
  <c r="F3" i="53"/>
  <c r="F3" i="49"/>
  <c r="D3" i="57"/>
  <c r="D3" i="46"/>
  <c r="D3" i="49"/>
  <c r="D3" i="60"/>
  <c r="D3" i="50"/>
  <c r="K6" i="45" l="1"/>
  <c r="L50" i="47"/>
  <c r="M50" i="47" s="1"/>
  <c r="N50" i="47" s="1"/>
  <c r="O50" i="47" s="1"/>
  <c r="P50" i="47" s="1"/>
  <c r="Q50" i="47" s="1"/>
  <c r="R50" i="47" s="1"/>
  <c r="S50" i="47" s="1"/>
  <c r="T50" i="47" s="1"/>
  <c r="L50" i="42"/>
  <c r="M50" i="42" s="1"/>
  <c r="N50" i="42" s="1"/>
  <c r="O50" i="42" s="1"/>
  <c r="P50" i="42" s="1"/>
  <c r="Q50" i="42" s="1"/>
  <c r="R50" i="42" s="1"/>
  <c r="S50" i="42" s="1"/>
  <c r="T50" i="42" s="1"/>
  <c r="U50" i="42" s="1"/>
  <c r="L49" i="42"/>
  <c r="M49" i="42" s="1"/>
  <c r="N49" i="42" s="1"/>
  <c r="O49" i="42" s="1"/>
  <c r="P49" i="42" s="1"/>
  <c r="Q49" i="42" s="1"/>
  <c r="R49" i="42" s="1"/>
  <c r="S49" i="42" s="1"/>
  <c r="T49" i="42" s="1"/>
  <c r="U49" i="42" s="1"/>
  <c r="L48" i="42"/>
  <c r="M48" i="42" s="1"/>
  <c r="N48" i="42" s="1"/>
  <c r="O48" i="42" s="1"/>
  <c r="P48" i="42" s="1"/>
  <c r="Q48" i="42" s="1"/>
  <c r="R48" i="42" s="1"/>
  <c r="S48" i="42" s="1"/>
  <c r="T48" i="42" s="1"/>
  <c r="U48" i="42" s="1"/>
  <c r="L47" i="42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27" i="42"/>
  <c r="M27" i="42" s="1"/>
  <c r="N27" i="42" s="1"/>
  <c r="O27" i="42" s="1"/>
  <c r="P27" i="42" s="1"/>
  <c r="Q27" i="42" s="1"/>
  <c r="R27" i="42" s="1"/>
  <c r="S27" i="42" s="1"/>
  <c r="T27" i="42" s="1"/>
  <c r="U27" i="42" s="1"/>
  <c r="L26" i="42"/>
  <c r="M26" i="42" s="1"/>
  <c r="N26" i="42" s="1"/>
  <c r="O26" i="42" s="1"/>
  <c r="P26" i="42" s="1"/>
  <c r="Q26" i="42" s="1"/>
  <c r="R26" i="42" s="1"/>
  <c r="S26" i="42" s="1"/>
  <c r="T26" i="42" s="1"/>
  <c r="U26" i="42" s="1"/>
  <c r="L25" i="42"/>
  <c r="M25" i="42" s="1"/>
  <c r="N25" i="42" s="1"/>
  <c r="O25" i="42" s="1"/>
  <c r="P25" i="42" s="1"/>
  <c r="Q25" i="42" s="1"/>
  <c r="R25" i="42" s="1"/>
  <c r="S25" i="42" s="1"/>
  <c r="T25" i="42" s="1"/>
  <c r="U25" i="42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7" i="42"/>
  <c r="M17" i="42" s="1"/>
  <c r="N17" i="42" s="1"/>
  <c r="O17" i="42" s="1"/>
  <c r="P17" i="42" s="1"/>
  <c r="Q17" i="42" s="1"/>
  <c r="R17" i="42" s="1"/>
  <c r="S17" i="42" s="1"/>
  <c r="T17" i="42" s="1"/>
  <c r="U17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L14" i="42"/>
  <c r="M14" i="42" s="1"/>
  <c r="N14" i="42" s="1"/>
  <c r="O14" i="42" s="1"/>
  <c r="P14" i="42" s="1"/>
  <c r="Q14" i="42" s="1"/>
  <c r="R14" i="42" s="1"/>
  <c r="S14" i="42" s="1"/>
  <c r="T14" i="42" s="1"/>
  <c r="U14" i="42" s="1"/>
  <c r="L13" i="42"/>
  <c r="M13" i="42" s="1"/>
  <c r="N13" i="42" s="1"/>
  <c r="O13" i="42" s="1"/>
  <c r="P13" i="42" s="1"/>
  <c r="Q13" i="42" s="1"/>
  <c r="R13" i="42" s="1"/>
  <c r="S13" i="42" s="1"/>
  <c r="T13" i="42" s="1"/>
  <c r="U13" i="42" s="1"/>
  <c r="L8" i="42"/>
  <c r="M8" i="42" s="1"/>
  <c r="N8" i="42" s="1"/>
  <c r="O8" i="42" s="1"/>
  <c r="P8" i="42" s="1"/>
  <c r="Q8" i="42" s="1"/>
  <c r="R8" i="42" s="1"/>
  <c r="S8" i="42" s="1"/>
  <c r="T8" i="42" s="1"/>
  <c r="U8" i="42" s="1"/>
  <c r="L7" i="42"/>
  <c r="M7" i="42" s="1"/>
  <c r="N7" i="42" s="1"/>
  <c r="O7" i="42" s="1"/>
  <c r="P7" i="42" s="1"/>
  <c r="Q7" i="42" s="1"/>
  <c r="R7" i="42" s="1"/>
  <c r="S7" i="42" s="1"/>
  <c r="T7" i="42" s="1"/>
  <c r="U7" i="42" s="1"/>
  <c r="L6" i="42"/>
  <c r="M6" i="42" s="1"/>
  <c r="N6" i="42" s="1"/>
  <c r="O6" i="42" s="1"/>
  <c r="P6" i="42" s="1"/>
  <c r="Q6" i="42" s="1"/>
  <c r="R6" i="42" s="1"/>
  <c r="S6" i="42" s="1"/>
  <c r="T6" i="42" s="1"/>
  <c r="U6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I49" i="41"/>
  <c r="J49" i="41" s="1"/>
  <c r="K49" i="41" s="1"/>
  <c r="L49" i="41" s="1"/>
  <c r="M49" i="41" s="1"/>
  <c r="N49" i="41" s="1"/>
  <c r="O49" i="41" s="1"/>
  <c r="P49" i="41" s="1"/>
  <c r="Q49" i="41" s="1"/>
  <c r="R49" i="41" s="1"/>
  <c r="I48" i="41"/>
  <c r="J48" i="41" s="1"/>
  <c r="K48" i="41" s="1"/>
  <c r="L48" i="41" s="1"/>
  <c r="M48" i="41" s="1"/>
  <c r="N48" i="41" s="1"/>
  <c r="O48" i="41" s="1"/>
  <c r="P48" i="41" s="1"/>
  <c r="Q48" i="41" s="1"/>
  <c r="R48" i="41" s="1"/>
  <c r="I47" i="41"/>
  <c r="J47" i="41" s="1"/>
  <c r="K47" i="41" s="1"/>
  <c r="L47" i="41" s="1"/>
  <c r="M47" i="41" s="1"/>
  <c r="N47" i="41" s="1"/>
  <c r="O47" i="41" s="1"/>
  <c r="P47" i="41" s="1"/>
  <c r="Q47" i="41" s="1"/>
  <c r="R47" i="41" s="1"/>
  <c r="I46" i="41"/>
  <c r="J46" i="41" s="1"/>
  <c r="K46" i="41" s="1"/>
  <c r="L46" i="41" s="1"/>
  <c r="M46" i="41" s="1"/>
  <c r="N46" i="41" s="1"/>
  <c r="O46" i="41" s="1"/>
  <c r="P46" i="41" s="1"/>
  <c r="Q46" i="41" s="1"/>
  <c r="R46" i="41" s="1"/>
  <c r="I45" i="41"/>
  <c r="J45" i="41" s="1"/>
  <c r="K45" i="41" s="1"/>
  <c r="L45" i="41" s="1"/>
  <c r="M45" i="41" s="1"/>
  <c r="N45" i="41" s="1"/>
  <c r="O45" i="41" s="1"/>
  <c r="P45" i="41" s="1"/>
  <c r="Q45" i="41" s="1"/>
  <c r="R45" i="41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J13" i="4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J6" i="4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2"/>
  <c r="D3" i="39"/>
  <c r="D3" i="41"/>
  <c r="D3" i="43"/>
  <c r="O3" i="39"/>
  <c r="K3" i="39"/>
  <c r="F3" i="39"/>
  <c r="D3" i="47"/>
  <c r="H3" i="39"/>
  <c r="M3" i="39"/>
  <c r="D3" i="45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J35" i="37"/>
  <c r="K35" i="37" s="1"/>
  <c r="L35" i="37" s="1"/>
  <c r="M35" i="37" s="1"/>
  <c r="N35" i="37" s="1"/>
  <c r="O35" i="37" s="1"/>
  <c r="P35" i="37" s="1"/>
  <c r="Q35" i="37" s="1"/>
  <c r="H35" i="37"/>
  <c r="I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12" i="37"/>
  <c r="I12" i="37" s="1"/>
  <c r="J12" i="37" s="1"/>
  <c r="K12" i="37" s="1"/>
  <c r="L12" i="37" s="1"/>
  <c r="M12" i="37" s="1"/>
  <c r="N12" i="37" s="1"/>
  <c r="O12" i="37" s="1"/>
  <c r="P12" i="37" s="1"/>
  <c r="Q12" i="37" s="1"/>
  <c r="H11" i="37"/>
  <c r="I11" i="37" s="1"/>
  <c r="J11" i="37" s="1"/>
  <c r="K11" i="37" s="1"/>
  <c r="L11" i="37" s="1"/>
  <c r="M11" i="37" s="1"/>
  <c r="N11" i="37" s="1"/>
  <c r="O11" i="37" s="1"/>
  <c r="P11" i="37" s="1"/>
  <c r="Q11" i="37" s="1"/>
  <c r="H10" i="37"/>
  <c r="I10" i="37" s="1"/>
  <c r="J10" i="37" s="1"/>
  <c r="K10" i="37" s="1"/>
  <c r="L10" i="37" s="1"/>
  <c r="M10" i="37" s="1"/>
  <c r="N10" i="37" s="1"/>
  <c r="O10" i="37" s="1"/>
  <c r="P10" i="37" s="1"/>
  <c r="Q10" i="37" s="1"/>
  <c r="H9" i="37"/>
  <c r="I9" i="37" s="1"/>
  <c r="J9" i="37" s="1"/>
  <c r="K9" i="37" s="1"/>
  <c r="L9" i="37" s="1"/>
  <c r="M9" i="37" s="1"/>
  <c r="N9" i="37" s="1"/>
  <c r="O9" i="37" s="1"/>
  <c r="P9" i="37" s="1"/>
  <c r="Q9" i="37" s="1"/>
  <c r="H8" i="37"/>
  <c r="I8" i="37" s="1"/>
  <c r="J8" i="37" s="1"/>
  <c r="L8" i="37" s="1"/>
  <c r="M8" i="37" s="1"/>
  <c r="N8" i="37" s="1"/>
  <c r="O8" i="37" s="1"/>
  <c r="P8" i="37" s="1"/>
  <c r="Q8" i="37" s="1"/>
  <c r="H7" i="37"/>
  <c r="I7" i="37" s="1"/>
  <c r="J7" i="37" s="1"/>
  <c r="L7" i="37" s="1"/>
  <c r="M7" i="37" s="1"/>
  <c r="N7" i="37" s="1"/>
  <c r="O7" i="37" s="1"/>
  <c r="P7" i="37" s="1"/>
  <c r="Q7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H3" i="29"/>
  <c r="D3" i="36"/>
  <c r="D3" i="37"/>
  <c r="D3" i="35"/>
  <c r="D3" i="29"/>
  <c r="D3" i="33"/>
  <c r="F3" i="29"/>
  <c r="M3" i="29"/>
  <c r="K3" i="29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7" i="32"/>
  <c r="J7" i="32" s="1"/>
  <c r="K7" i="32" s="1"/>
  <c r="L7" i="32" s="1"/>
  <c r="M7" i="32" s="1"/>
  <c r="N7" i="32" s="1"/>
  <c r="O7" i="32" s="1"/>
  <c r="P7" i="32" s="1"/>
  <c r="Q7" i="32" s="1"/>
  <c r="R7" i="32" s="1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16" i="31"/>
  <c r="J16" i="31" s="1"/>
  <c r="K16" i="31" s="1"/>
  <c r="L16" i="31" s="1"/>
  <c r="M16" i="31" s="1"/>
  <c r="N16" i="31" s="1"/>
  <c r="O16" i="31" s="1"/>
  <c r="P16" i="31" s="1"/>
  <c r="Q16" i="31" s="1"/>
  <c r="R16" i="31" s="1"/>
  <c r="I15" i="31"/>
  <c r="J15" i="31" s="1"/>
  <c r="K15" i="31" s="1"/>
  <c r="L15" i="31" s="1"/>
  <c r="M15" i="31" s="1"/>
  <c r="N15" i="31" s="1"/>
  <c r="O15" i="31" s="1"/>
  <c r="P15" i="31" s="1"/>
  <c r="Q15" i="31" s="1"/>
  <c r="R15" i="31" s="1"/>
  <c r="I14" i="31"/>
  <c r="J14" i="31" s="1"/>
  <c r="K14" i="31" s="1"/>
  <c r="L14" i="31" s="1"/>
  <c r="M14" i="31" s="1"/>
  <c r="N14" i="31" s="1"/>
  <c r="O14" i="31" s="1"/>
  <c r="P14" i="31" s="1"/>
  <c r="Q14" i="31" s="1"/>
  <c r="R14" i="31" s="1"/>
  <c r="I13" i="31"/>
  <c r="J13" i="31" s="1"/>
  <c r="K13" i="31" s="1"/>
  <c r="L13" i="31" s="1"/>
  <c r="M13" i="31" s="1"/>
  <c r="N13" i="31" s="1"/>
  <c r="O13" i="31" s="1"/>
  <c r="P13" i="31" s="1"/>
  <c r="Q13" i="31" s="1"/>
  <c r="R13" i="31" s="1"/>
  <c r="I12" i="31"/>
  <c r="J12" i="31" s="1"/>
  <c r="K12" i="31" s="1"/>
  <c r="L12" i="31" s="1"/>
  <c r="M12" i="31" s="1"/>
  <c r="N12" i="31" s="1"/>
  <c r="O12" i="31" s="1"/>
  <c r="P12" i="31" s="1"/>
  <c r="Q12" i="31" s="1"/>
  <c r="R12" i="31" s="1"/>
  <c r="I11" i="31"/>
  <c r="J11" i="31" s="1"/>
  <c r="K11" i="31" s="1"/>
  <c r="L11" i="31" s="1"/>
  <c r="M11" i="31" s="1"/>
  <c r="N11" i="31" s="1"/>
  <c r="O11" i="31" s="1"/>
  <c r="P11" i="31" s="1"/>
  <c r="Q11" i="31" s="1"/>
  <c r="R11" i="31" s="1"/>
  <c r="I10" i="31"/>
  <c r="J10" i="31" s="1"/>
  <c r="K10" i="31" s="1"/>
  <c r="L10" i="31" s="1"/>
  <c r="M10" i="31" s="1"/>
  <c r="N10" i="31" s="1"/>
  <c r="O10" i="31" s="1"/>
  <c r="P10" i="31" s="1"/>
  <c r="Q10" i="31" s="1"/>
  <c r="R10" i="31" s="1"/>
  <c r="I9" i="31"/>
  <c r="J9" i="31" s="1"/>
  <c r="K9" i="31" s="1"/>
  <c r="L9" i="31" s="1"/>
  <c r="M9" i="31" s="1"/>
  <c r="N9" i="31" s="1"/>
  <c r="O9" i="31" s="1"/>
  <c r="P9" i="31" s="1"/>
  <c r="Q9" i="31" s="1"/>
  <c r="R9" i="31" s="1"/>
  <c r="I8" i="31"/>
  <c r="J8" i="31" s="1"/>
  <c r="K8" i="31" s="1"/>
  <c r="L8" i="31" s="1"/>
  <c r="M8" i="31" s="1"/>
  <c r="N8" i="31" s="1"/>
  <c r="O8" i="31" s="1"/>
  <c r="P8" i="31" s="1"/>
  <c r="Q8" i="31" s="1"/>
  <c r="R8" i="31" s="1"/>
  <c r="I7" i="31"/>
  <c r="J7" i="31" s="1"/>
  <c r="K7" i="31" s="1"/>
  <c r="L7" i="31" s="1"/>
  <c r="M7" i="31" s="1"/>
  <c r="N7" i="31" s="1"/>
  <c r="O7" i="31" s="1"/>
  <c r="P7" i="31" s="1"/>
  <c r="Q7" i="31" s="1"/>
  <c r="R7" i="31" s="1"/>
  <c r="I6" i="31"/>
  <c r="J6" i="31" s="1"/>
  <c r="K6" i="31" s="1"/>
  <c r="L6" i="31" s="1"/>
  <c r="M6" i="31" s="1"/>
  <c r="N6" i="31" s="1"/>
  <c r="O6" i="31" s="1"/>
  <c r="P6" i="31" s="1"/>
  <c r="Q6" i="31" s="1"/>
  <c r="R6" i="31" s="1"/>
  <c r="I5" i="31"/>
  <c r="J5" i="31" s="1"/>
  <c r="K5" i="31" s="1"/>
  <c r="L5" i="31" s="1"/>
  <c r="M5" i="31" s="1"/>
  <c r="N5" i="31" s="1"/>
  <c r="O5" i="31" s="1"/>
  <c r="P5" i="31" s="1"/>
  <c r="Q5" i="31" s="1"/>
  <c r="R5" i="31" s="1"/>
  <c r="D3" i="6"/>
  <c r="H3" i="1"/>
  <c r="D3" i="32"/>
  <c r="D3" i="31"/>
  <c r="J3" i="1"/>
  <c r="I33" i="4" l="1"/>
  <c r="I32" i="4"/>
  <c r="I31" i="4"/>
  <c r="I30" i="4"/>
  <c r="I29" i="4"/>
  <c r="I28" i="4"/>
  <c r="I27" i="4"/>
  <c r="I26" i="4"/>
  <c r="I25" i="4"/>
  <c r="I24" i="4"/>
  <c r="I23" i="4"/>
  <c r="I20" i="4"/>
  <c r="I21" i="4"/>
  <c r="I22" i="4"/>
  <c r="I19" i="4"/>
  <c r="I6" i="4"/>
  <c r="I5" i="4"/>
  <c r="I18" i="4"/>
  <c r="I17" i="4"/>
  <c r="I15" i="4"/>
  <c r="I16" i="4"/>
  <c r="I14" i="4"/>
  <c r="I11" i="4"/>
  <c r="I12" i="4"/>
  <c r="I13" i="4"/>
  <c r="I10" i="4"/>
  <c r="I9" i="4"/>
  <c r="I8" i="4"/>
  <c r="I7" i="4"/>
  <c r="H6" i="5" l="1"/>
  <c r="H8" i="5" s="1"/>
  <c r="K39" i="3" l="1"/>
  <c r="K40" i="3"/>
  <c r="K41" i="3"/>
  <c r="K42" i="3"/>
  <c r="K43" i="3"/>
  <c r="K44" i="3"/>
  <c r="K45" i="3"/>
  <c r="K46" i="3"/>
  <c r="K47" i="3"/>
  <c r="I7" i="5" l="1"/>
  <c r="J7" i="5" s="1"/>
  <c r="K7" i="5" s="1"/>
  <c r="L7" i="5" s="1"/>
  <c r="M7" i="5" s="1"/>
  <c r="N7" i="5" s="1"/>
  <c r="O7" i="5" s="1"/>
  <c r="P7" i="5" s="1"/>
  <c r="Q7" i="5" s="1"/>
  <c r="R7" i="5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40" i="5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6" i="5"/>
  <c r="J6" i="5" s="1"/>
  <c r="K6" i="5" s="1"/>
  <c r="L6" i="5" s="1"/>
  <c r="M6" i="5" s="1"/>
  <c r="N6" i="5" s="1"/>
  <c r="O6" i="5" s="1"/>
  <c r="P6" i="5" s="1"/>
  <c r="Q6" i="5" s="1"/>
  <c r="R6" i="5" s="1"/>
  <c r="I5" i="5"/>
  <c r="J5" i="5" s="1"/>
  <c r="K5" i="5" s="1"/>
  <c r="L5" i="5" s="1"/>
  <c r="M5" i="5" s="1"/>
  <c r="N5" i="5" s="1"/>
  <c r="O5" i="5" s="1"/>
  <c r="P5" i="5" s="1"/>
  <c r="Q5" i="5" s="1"/>
  <c r="R5" i="5" s="1"/>
  <c r="J6" i="4"/>
  <c r="K6" i="4" s="1"/>
  <c r="L6" i="4" s="1"/>
  <c r="M6" i="4" s="1"/>
  <c r="N6" i="4" s="1"/>
  <c r="O6" i="4" s="1"/>
  <c r="P6" i="4" s="1"/>
  <c r="Q6" i="4" s="1"/>
  <c r="R6" i="4" s="1"/>
  <c r="S6" i="4" s="1"/>
  <c r="J7" i="4"/>
  <c r="K7" i="4" s="1"/>
  <c r="L7" i="4" s="1"/>
  <c r="M7" i="4" s="1"/>
  <c r="N7" i="4" s="1"/>
  <c r="O7" i="4" s="1"/>
  <c r="P7" i="4" s="1"/>
  <c r="Q7" i="4" s="1"/>
  <c r="R7" i="4" s="1"/>
  <c r="S7" i="4" s="1"/>
  <c r="J8" i="4"/>
  <c r="K8" i="4" s="1"/>
  <c r="L8" i="4" s="1"/>
  <c r="M8" i="4" s="1"/>
  <c r="N8" i="4" s="1"/>
  <c r="O8" i="4" s="1"/>
  <c r="P8" i="4" s="1"/>
  <c r="Q8" i="4" s="1"/>
  <c r="R8" i="4" s="1"/>
  <c r="S8" i="4" s="1"/>
  <c r="J9" i="4"/>
  <c r="K9" i="4" s="1"/>
  <c r="L9" i="4" s="1"/>
  <c r="M9" i="4" s="1"/>
  <c r="N9" i="4" s="1"/>
  <c r="O9" i="4" s="1"/>
  <c r="P9" i="4" s="1"/>
  <c r="Q9" i="4" s="1"/>
  <c r="R9" i="4" s="1"/>
  <c r="S9" i="4" s="1"/>
  <c r="J10" i="4"/>
  <c r="K10" i="4" s="1"/>
  <c r="L10" i="4" s="1"/>
  <c r="M10" i="4" s="1"/>
  <c r="N10" i="4" s="1"/>
  <c r="O10" i="4" s="1"/>
  <c r="P10" i="4" s="1"/>
  <c r="Q10" i="4" s="1"/>
  <c r="R10" i="4" s="1"/>
  <c r="S10" i="4" s="1"/>
  <c r="J11" i="4"/>
  <c r="K11" i="4" s="1"/>
  <c r="L11" i="4" s="1"/>
  <c r="M11" i="4" s="1"/>
  <c r="N11" i="4" s="1"/>
  <c r="O11" i="4" s="1"/>
  <c r="P11" i="4" s="1"/>
  <c r="Q11" i="4" s="1"/>
  <c r="R11" i="4" s="1"/>
  <c r="S11" i="4" s="1"/>
  <c r="J12" i="4"/>
  <c r="K12" i="4" s="1"/>
  <c r="L12" i="4" s="1"/>
  <c r="M12" i="4" s="1"/>
  <c r="N12" i="4" s="1"/>
  <c r="O12" i="4" s="1"/>
  <c r="P12" i="4" s="1"/>
  <c r="Q12" i="4" s="1"/>
  <c r="R12" i="4" s="1"/>
  <c r="S12" i="4" s="1"/>
  <c r="J13" i="4"/>
  <c r="K13" i="4" s="1"/>
  <c r="L13" i="4" s="1"/>
  <c r="M13" i="4" s="1"/>
  <c r="N13" i="4" s="1"/>
  <c r="O13" i="4" s="1"/>
  <c r="P13" i="4" s="1"/>
  <c r="Q13" i="4" s="1"/>
  <c r="R13" i="4" s="1"/>
  <c r="S13" i="4" s="1"/>
  <c r="J14" i="4"/>
  <c r="K14" i="4" s="1"/>
  <c r="L14" i="4" s="1"/>
  <c r="M14" i="4" s="1"/>
  <c r="N14" i="4" s="1"/>
  <c r="O14" i="4" s="1"/>
  <c r="P14" i="4" s="1"/>
  <c r="Q14" i="4" s="1"/>
  <c r="R14" i="4" s="1"/>
  <c r="S14" i="4" s="1"/>
  <c r="J15" i="4"/>
  <c r="K15" i="4" s="1"/>
  <c r="L15" i="4" s="1"/>
  <c r="M15" i="4" s="1"/>
  <c r="N15" i="4" s="1"/>
  <c r="O15" i="4" s="1"/>
  <c r="P15" i="4" s="1"/>
  <c r="Q15" i="4" s="1"/>
  <c r="R15" i="4" s="1"/>
  <c r="S15" i="4" s="1"/>
  <c r="J16" i="4"/>
  <c r="K16" i="4" s="1"/>
  <c r="L16" i="4" s="1"/>
  <c r="M16" i="4" s="1"/>
  <c r="N16" i="4" s="1"/>
  <c r="O16" i="4" s="1"/>
  <c r="P16" i="4" s="1"/>
  <c r="Q16" i="4" s="1"/>
  <c r="R16" i="4" s="1"/>
  <c r="S16" i="4" s="1"/>
  <c r="J17" i="4"/>
  <c r="K17" i="4" s="1"/>
  <c r="L17" i="4" s="1"/>
  <c r="M17" i="4" s="1"/>
  <c r="N17" i="4" s="1"/>
  <c r="O17" i="4" s="1"/>
  <c r="P17" i="4" s="1"/>
  <c r="Q17" i="4" s="1"/>
  <c r="R17" i="4" s="1"/>
  <c r="S17" i="4" s="1"/>
  <c r="J18" i="4"/>
  <c r="K18" i="4" s="1"/>
  <c r="L18" i="4" s="1"/>
  <c r="M18" i="4" s="1"/>
  <c r="N18" i="4" s="1"/>
  <c r="O18" i="4" s="1"/>
  <c r="P18" i="4" s="1"/>
  <c r="Q18" i="4" s="1"/>
  <c r="R18" i="4" s="1"/>
  <c r="S18" i="4" s="1"/>
  <c r="J19" i="4"/>
  <c r="K19" i="4" s="1"/>
  <c r="L19" i="4" s="1"/>
  <c r="M19" i="4" s="1"/>
  <c r="N19" i="4" s="1"/>
  <c r="O19" i="4" s="1"/>
  <c r="P19" i="4" s="1"/>
  <c r="Q19" i="4" s="1"/>
  <c r="R19" i="4" s="1"/>
  <c r="S19" i="4" s="1"/>
  <c r="J20" i="4"/>
  <c r="K20" i="4" s="1"/>
  <c r="L20" i="4" s="1"/>
  <c r="M20" i="4" s="1"/>
  <c r="N20" i="4" s="1"/>
  <c r="O20" i="4" s="1"/>
  <c r="P20" i="4" s="1"/>
  <c r="Q20" i="4" s="1"/>
  <c r="R20" i="4" s="1"/>
  <c r="S20" i="4" s="1"/>
  <c r="J21" i="4"/>
  <c r="K21" i="4" s="1"/>
  <c r="L21" i="4" s="1"/>
  <c r="M21" i="4" s="1"/>
  <c r="N21" i="4" s="1"/>
  <c r="O21" i="4" s="1"/>
  <c r="P21" i="4" s="1"/>
  <c r="Q21" i="4" s="1"/>
  <c r="R21" i="4" s="1"/>
  <c r="S21" i="4" s="1"/>
  <c r="J22" i="4"/>
  <c r="K22" i="4" s="1"/>
  <c r="L22" i="4" s="1"/>
  <c r="M22" i="4" s="1"/>
  <c r="N22" i="4" s="1"/>
  <c r="O22" i="4" s="1"/>
  <c r="P22" i="4" s="1"/>
  <c r="Q22" i="4" s="1"/>
  <c r="R22" i="4" s="1"/>
  <c r="S22" i="4" s="1"/>
  <c r="J23" i="4"/>
  <c r="K23" i="4" s="1"/>
  <c r="L23" i="4" s="1"/>
  <c r="M23" i="4" s="1"/>
  <c r="N23" i="4" s="1"/>
  <c r="O23" i="4" s="1"/>
  <c r="P23" i="4" s="1"/>
  <c r="Q23" i="4" s="1"/>
  <c r="R23" i="4" s="1"/>
  <c r="S23" i="4" s="1"/>
  <c r="J24" i="4"/>
  <c r="K24" i="4" s="1"/>
  <c r="L24" i="4" s="1"/>
  <c r="M24" i="4" s="1"/>
  <c r="N24" i="4" s="1"/>
  <c r="O24" i="4" s="1"/>
  <c r="P24" i="4" s="1"/>
  <c r="Q24" i="4" s="1"/>
  <c r="R24" i="4" s="1"/>
  <c r="S24" i="4" s="1"/>
  <c r="J25" i="4"/>
  <c r="K25" i="4" s="1"/>
  <c r="L25" i="4" s="1"/>
  <c r="M25" i="4" s="1"/>
  <c r="N25" i="4" s="1"/>
  <c r="O25" i="4" s="1"/>
  <c r="P25" i="4" s="1"/>
  <c r="Q25" i="4" s="1"/>
  <c r="R25" i="4" s="1"/>
  <c r="S25" i="4" s="1"/>
  <c r="J26" i="4"/>
  <c r="K26" i="4" s="1"/>
  <c r="L26" i="4" s="1"/>
  <c r="M26" i="4" s="1"/>
  <c r="N26" i="4" s="1"/>
  <c r="O26" i="4" s="1"/>
  <c r="P26" i="4" s="1"/>
  <c r="Q26" i="4" s="1"/>
  <c r="R26" i="4" s="1"/>
  <c r="S26" i="4" s="1"/>
  <c r="J27" i="4"/>
  <c r="K27" i="4" s="1"/>
  <c r="L27" i="4" s="1"/>
  <c r="M27" i="4" s="1"/>
  <c r="N27" i="4" s="1"/>
  <c r="O27" i="4" s="1"/>
  <c r="P27" i="4" s="1"/>
  <c r="Q27" i="4" s="1"/>
  <c r="R27" i="4" s="1"/>
  <c r="S27" i="4" s="1"/>
  <c r="J28" i="4"/>
  <c r="K28" i="4" s="1"/>
  <c r="L28" i="4" s="1"/>
  <c r="M28" i="4" s="1"/>
  <c r="N28" i="4" s="1"/>
  <c r="O28" i="4" s="1"/>
  <c r="P28" i="4" s="1"/>
  <c r="Q28" i="4" s="1"/>
  <c r="R28" i="4" s="1"/>
  <c r="S28" i="4" s="1"/>
  <c r="J29" i="4"/>
  <c r="K29" i="4" s="1"/>
  <c r="L29" i="4" s="1"/>
  <c r="M29" i="4" s="1"/>
  <c r="N29" i="4" s="1"/>
  <c r="O29" i="4" s="1"/>
  <c r="P29" i="4" s="1"/>
  <c r="Q29" i="4" s="1"/>
  <c r="R29" i="4" s="1"/>
  <c r="S29" i="4" s="1"/>
  <c r="J30" i="4"/>
  <c r="K30" i="4" s="1"/>
  <c r="L30" i="4" s="1"/>
  <c r="M30" i="4" s="1"/>
  <c r="N30" i="4" s="1"/>
  <c r="O30" i="4" s="1"/>
  <c r="P30" i="4" s="1"/>
  <c r="Q30" i="4" s="1"/>
  <c r="R30" i="4" s="1"/>
  <c r="S30" i="4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3" i="4"/>
  <c r="K33" i="4" s="1"/>
  <c r="L33" i="4" s="1"/>
  <c r="M33" i="4" s="1"/>
  <c r="N33" i="4" s="1"/>
  <c r="O33" i="4" s="1"/>
  <c r="P33" i="4" s="1"/>
  <c r="Q33" i="4" s="1"/>
  <c r="R33" i="4" s="1"/>
  <c r="S33" i="4" s="1"/>
  <c r="J34" i="4"/>
  <c r="K34" i="4" s="1"/>
  <c r="L34" i="4" s="1"/>
  <c r="M34" i="4" s="1"/>
  <c r="N34" i="4" s="1"/>
  <c r="O34" i="4" s="1"/>
  <c r="P34" i="4" s="1"/>
  <c r="Q34" i="4" s="1"/>
  <c r="R34" i="4" s="1"/>
  <c r="S34" i="4" s="1"/>
  <c r="J35" i="4"/>
  <c r="K35" i="4" s="1"/>
  <c r="L35" i="4" s="1"/>
  <c r="M35" i="4" s="1"/>
  <c r="N35" i="4" s="1"/>
  <c r="O35" i="4" s="1"/>
  <c r="P35" i="4" s="1"/>
  <c r="Q35" i="4" s="1"/>
  <c r="R35" i="4" s="1"/>
  <c r="S35" i="4" s="1"/>
  <c r="J36" i="4"/>
  <c r="K36" i="4" s="1"/>
  <c r="L36" i="4" s="1"/>
  <c r="M36" i="4" s="1"/>
  <c r="N36" i="4" s="1"/>
  <c r="O36" i="4" s="1"/>
  <c r="P36" i="4" s="1"/>
  <c r="Q36" i="4" s="1"/>
  <c r="R36" i="4" s="1"/>
  <c r="S36" i="4" s="1"/>
  <c r="J37" i="4"/>
  <c r="K37" i="4" s="1"/>
  <c r="L37" i="4" s="1"/>
  <c r="M37" i="4" s="1"/>
  <c r="N37" i="4" s="1"/>
  <c r="O37" i="4" s="1"/>
  <c r="P37" i="4" s="1"/>
  <c r="Q37" i="4" s="1"/>
  <c r="R37" i="4" s="1"/>
  <c r="S37" i="4" s="1"/>
  <c r="J38" i="4"/>
  <c r="K38" i="4" s="1"/>
  <c r="L38" i="4" s="1"/>
  <c r="M38" i="4" s="1"/>
  <c r="N38" i="4" s="1"/>
  <c r="O38" i="4" s="1"/>
  <c r="P38" i="4" s="1"/>
  <c r="Q38" i="4" s="1"/>
  <c r="R38" i="4" s="1"/>
  <c r="S38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J5" i="4"/>
  <c r="K5" i="4" s="1"/>
  <c r="L5" i="4" s="1"/>
  <c r="M5" i="4" s="1"/>
  <c r="N5" i="4" s="1"/>
  <c r="O5" i="4" s="1"/>
  <c r="P5" i="4" s="1"/>
  <c r="Q5" i="4" s="1"/>
  <c r="R5" i="4" s="1"/>
  <c r="S5" i="4" s="1"/>
  <c r="D3" i="4"/>
  <c r="D3" i="5"/>
</calcChain>
</file>

<file path=xl/comments1.xml><?xml version="1.0" encoding="utf-8"?>
<comments xmlns="http://schemas.openxmlformats.org/spreadsheetml/2006/main">
  <authors>
    <author>Yassine WAJIH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Capacité de traitement pas de production TSM (à diviser par le ratio)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Capacité de traitement pas de production TSM (à diviser par le ratio)</t>
        </r>
      </text>
    </comment>
  </commentList>
</comments>
</file>

<file path=xl/comments4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Ici capacité de production annuelle d'ACS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Sont considérées capacités existantes aussi les capacités de production actées / en cours de construction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5.xml><?xml version="1.0" encoding="utf-8"?>
<comments xmlns="http://schemas.openxmlformats.org/spreadsheetml/2006/main">
  <authors>
    <author>Yassine WAJIH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6.xml><?xml version="1.0" encoding="utf-8"?>
<comments xmlns="http://schemas.openxmlformats.org/spreadsheetml/2006/main">
  <authors>
    <author>Lhammoumi, Meryem</author>
  </authors>
  <commentList>
    <comment ref="K9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2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  <comment ref="K21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32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7.xml><?xml version="1.0" encoding="utf-8"?>
<comments xmlns="http://schemas.openxmlformats.org/spreadsheetml/2006/main">
  <authors>
    <author>Yassine WAJIH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8.xml><?xml version="1.0" encoding="utf-8"?>
<comments xmlns="http://schemas.openxmlformats.org/spreadsheetml/2006/main">
  <authors>
    <author>Yassine WAJIH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9.xml><?xml version="1.0" encoding="utf-8"?>
<comments xmlns="http://schemas.openxmlformats.org/spreadsheetml/2006/main">
  <authors>
    <author>Yassine WAJIH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10.xml><?xml version="1.0" encoding="utf-8"?>
<comments xmlns="http://schemas.openxmlformats.org/spreadsheetml/2006/main">
  <authors>
    <author>Yassine WAJIH</author>
  </authors>
  <commentList>
    <comment ref="H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<sst xmlns="http://schemas.openxmlformats.org/spreadsheetml/2006/main" count="2639" uniqueCount="379">
  <si>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</si>
  <si>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</si>
  <si>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</si>
  <si>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</si>
  <si>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</si>
  <si>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</si>
  <si>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</si>
  <si>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</si>
  <si>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</si>
  <si>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</si>
  <si>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</si>
  <si>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</si>
  <si>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</si>
  <si>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</si>
  <si>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</si>
  <si>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</si>
  <si>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</si>
  <si>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</si>
  <si>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</si>
  <si>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</si>
  <si>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</si>
  <si>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</si>
  <si>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</si>
  <si>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</si>
  <si>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</si>
  <si>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</si>
  <si>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</si>
  <si>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</si>
  <si>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</si>
  <si>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</si>
  <si>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</si>
  <si>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</si>
  <si>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</si>
  <si>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</si>
  <si>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</si>
  <si>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</si>
  <si>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</si>
  <si>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</si>
  <si>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</si>
  <si>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</si>
  <si>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</si>
  <si>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</si>
  <si>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</si>
  <si>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</si>
  <si>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</si>
  <si>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</si>
  <si>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</si>
  <si>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</si>
  <si>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</si>
  <si>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</si>
  <si>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Capacity[Mt/y]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</si>
  <si>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</si>
  <si>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</si>
  <si>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</si>
  <si>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</si>
  <si>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</si>
  <si>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</si>
  <si>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</si>
  <si>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</si>
  <si>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</si>
  <si>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</si>
  <si>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</si>
  <si>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</si>
  <si>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</si>
  <si>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</si>
  <si>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</si>
  <si>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</si>
  <si>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</si>
  <si>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</si>
  <si>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</si>
  <si>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</si>
  <si>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</si>
  <si>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</si>
  <si>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</si>
  <si>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</si>
  <si>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</si>
  <si>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</si>
  <si>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</si>
  <si>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</si>
  <si>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</si>
  <si>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</si>
  <si>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5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</si>
  <si>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</si>
  <si>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</si>
  <si>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</si>
  <si>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</si>
  <si>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</si>
  <si>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</si>
  <si>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</si>
  <si>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</si>
  <si>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</si>
  <si>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</si>
  <si>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</si>
  <si>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</si>
  <si>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</si>
  <si>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</si>
  <si>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</si>
  <si>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</si>
  <si>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</si>
  <si>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</si>
  <si>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</si>
  <si>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</si>
  <si>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</si>
  <si>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</si>
  <si>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</si>
  <si>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</si>
  <si>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</si>
  <si>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</si>
  <si>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</si>
  <si>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</si>
  <si>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</si>
  <si>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</si>
  <si>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</si>
  <si>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</si>
  <si>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</si>
  <si>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</si>
  <si>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</si>
  <si>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</si>
  <si>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</si>
  <si>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</si>
  <si>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</si>
  <si>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</si>
  <si>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</si>
  <si>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</si>
  <si>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</si>
  <si>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</si>
  <si>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</si>
  <si>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</si>
  <si>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</si>
  <si>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</si>
  <si>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</si>
  <si>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</si>
  <si>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</si>
  <si>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</si>
  <si>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</si>
  <si>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</si>
  <si>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</si>
  <si>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</si>
  <si>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</si>
  <si>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</si>
  <si>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29</t>
  </si>
  <si>
    <t>ACP 54</t>
  </si>
  <si>
    <t>Mt</t>
  </si>
  <si>
    <t>Products</t>
  </si>
  <si>
    <t>K10</t>
  </si>
  <si>
    <t>MSP</t>
  </si>
  <si>
    <t>ktP2O5</t>
  </si>
  <si>
    <t>StartingDate</t>
  </si>
  <si>
    <t>Extension</t>
  </si>
  <si>
    <t>CAPEX</t>
  </si>
  <si>
    <t>New</t>
  </si>
  <si>
    <t>Définie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</si>
  <si>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</si>
  <si>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</si>
  <si>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</si>
  <si>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</si>
  <si>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</si>
  <si>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</si>
  <si>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</si>
  <si>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</si>
  <si>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</si>
  <si>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</si>
  <si>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</si>
  <si>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</si>
  <si>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</si>
  <si>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SAP/Product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</si>
  <si>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</si>
  <si>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</si>
  <si>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</si>
  <si>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</si>
  <si>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</si>
  <si>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</si>
  <si>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</si>
  <si>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</si>
  <si>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</si>
  <si>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</si>
  <si>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</si>
  <si>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</si>
  <si>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</si>
  <si>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</si>
  <si>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</si>
  <si>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</si>
  <si>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</si>
  <si>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Capacity[kt]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</si>
  <si>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</si>
  <si>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</si>
  <si>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</si>
  <si>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</si>
  <si>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</si>
  <si>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</si>
  <si>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</si>
  <si>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</si>
  <si>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USD/m3</t>
  </si>
  <si>
    <t>USD/kwh</t>
  </si>
  <si>
    <t>HCl</t>
  </si>
  <si>
    <t xml:space="preserve">USD/ton </t>
  </si>
  <si>
    <t xml:space="preserve">USD/m3 </t>
  </si>
  <si>
    <t xml:space="preserve">USD/kwh </t>
  </si>
  <si>
    <t>Rock</t>
  </si>
  <si>
    <t>TSM/TP2O5</t>
  </si>
  <si>
    <t>tSM/tP2O5</t>
  </si>
  <si>
    <t>PAP dictionary</t>
  </si>
  <si>
    <t>PAP/Name</t>
  </si>
  <si>
    <t>PAP/Process</t>
  </si>
  <si>
    <t>PAP/Product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</si>
  <si>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</si>
  <si>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</si>
  <si>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</si>
  <si>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</si>
  <si>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</si>
  <si>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</si>
  <si>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</si>
  <si>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</si>
  <si>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</si>
  <si>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</si>
  <si>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</si>
  <si>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</si>
  <si>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</si>
  <si>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</si>
  <si>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</si>
  <si>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</si>
  <si>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</si>
  <si>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</si>
  <si>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</si>
  <si>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</si>
  <si>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</si>
  <si>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</si>
  <si>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</si>
  <si>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</si>
  <si>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</si>
  <si>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</si>
  <si>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</si>
  <si>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</si>
  <si>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</si>
  <si>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</si>
  <si>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</si>
  <si>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</si>
  <si>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</si>
  <si>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</si>
  <si>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</si>
  <si>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</si>
  <si>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</si>
  <si>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Capacity[ktP2O5]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</si>
  <si>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</si>
  <si>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</si>
  <si>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</si>
  <si>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</si>
  <si>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</si>
  <si>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</si>
  <si>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</si>
  <si>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</si>
  <si>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</si>
  <si>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</si>
  <si>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</si>
  <si>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</si>
  <si>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</si>
  <si>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</si>
  <si>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</si>
  <si>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Chemical granulation</t>
  </si>
  <si>
    <t>Steam granulation</t>
  </si>
  <si>
    <t>Infrastructure</t>
  </si>
  <si>
    <t>Bulk blending</t>
  </si>
  <si>
    <t>Transport</t>
  </si>
  <si>
    <t>NPS</t>
  </si>
  <si>
    <t>Centrale thermique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</si>
  <si>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</si>
  <si>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</si>
  <si>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</si>
  <si>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</si>
  <si>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</si>
  <si>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</si>
  <si>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</si>
  <si>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</si>
  <si>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</si>
  <si>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</si>
  <si>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</si>
  <si>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</si>
  <si>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</si>
  <si>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</si>
  <si>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</si>
  <si>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</si>
  <si>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</si>
  <si>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</si>
  <si>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</si>
  <si>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</si>
  <si>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</si>
  <si>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</si>
  <si>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</si>
  <si>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</si>
  <si>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</si>
  <si>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</si>
  <si>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Mines</t>
  </si>
  <si>
    <t>Logistics opex</t>
  </si>
  <si>
    <t>Logistics capex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</si>
  <si>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</si>
  <si>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</si>
  <si>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</si>
  <si>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</si>
  <si>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</si>
  <si>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</si>
  <si>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</si>
  <si>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</si>
  <si>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</si>
  <si>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</si>
  <si>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</si>
  <si>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</si>
  <si>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</si>
  <si>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</si>
  <si>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 xml:space="preserve"> </t>
  </si>
  <si>
    <t>Utilities/Moniker</t>
  </si>
  <si>
    <t>Mm3</t>
  </si>
  <si>
    <t>Utilities opex</t>
  </si>
  <si>
    <t>Utilities capex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</si>
  <si>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</si>
  <si>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</si>
  <si>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</si>
  <si>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</si>
  <si>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</si>
  <si>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</si>
  <si>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</si>
  <si>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</si>
  <si>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</si>
  <si>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</si>
  <si>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</si>
  <si>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</si>
  <si>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</si>
  <si>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</si>
  <si>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</si>
  <si>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</si>
  <si>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</si>
  <si>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</si>
  <si>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</si>
  <si>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</si>
  <si>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</si>
  <si>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Capacity[Mt]</t>
  </si>
  <si>
    <t>Port production</t>
  </si>
  <si>
    <t>Port opex</t>
  </si>
  <si>
    <t>$/t</t>
  </si>
  <si>
    <t>Port capex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</si>
  <si>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</si>
  <si>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</si>
  <si>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</si>
  <si>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</si>
  <si>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</si>
  <si>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</si>
  <si>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</si>
  <si>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</si>
  <si>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</si>
  <si>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</si>
  <si>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</si>
  <si>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</si>
  <si>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</si>
  <si>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</si>
  <si>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Youssoufia Benef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</si>
  <si>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</si>
  <si>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</si>
  <si>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</si>
  <si>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</si>
  <si>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</si>
  <si>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</si>
  <si>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</si>
  <si>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</si>
  <si>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</si>
  <si>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</si>
  <si>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LF + Séchage</t>
  </si>
  <si>
    <t>LF + Calcination</t>
  </si>
  <si>
    <t>Youssoufia New WP</t>
  </si>
  <si>
    <t>Humidity</t>
  </si>
  <si>
    <t>Dry</t>
  </si>
  <si>
    <t>Wet</t>
  </si>
  <si>
    <t/>
  </si>
  <si>
    <t>TBT LF</t>
  </si>
  <si>
    <t>BT LF</t>
  </si>
  <si>
    <t>MT LF</t>
  </si>
  <si>
    <t>mMAD</t>
  </si>
  <si>
    <t>Youssoufia WP+Drying</t>
  </si>
  <si>
    <t>Youssoufia WP+Calc</t>
  </si>
  <si>
    <t>PROCESS SITE EXISTANT</t>
  </si>
  <si>
    <t>Granulation/Capacities[kt]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</si>
</sst>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\ &quot;€&quot;;[Red]\-#,##0.00\ &quot;€&quot;"/>
    <numFmt numFmtId="165" formatCode="#,##0.0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  <fill>
      <patternFill patternType="solid">
        <fgColor rgb="FF99663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0" fontId="2" fillId="3" borderId="3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5" xfId="1" applyFon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center" vertical="center"/>
    </xf>
    <xf numFmtId="0" fontId="0" fillId="4" borderId="5" xfId="0" applyFill="1" applyBorder="1" applyProtection="1">
      <protection locked="0"/>
    </xf>
    <xf numFmtId="0" fontId="0" fillId="4" borderId="5" xfId="0" applyFill="1" applyBorder="1" applyProtection="1"/>
    <xf numFmtId="0" fontId="0" fillId="2" borderId="0" xfId="0" applyFill="1" applyProtection="1">
      <protection locked="0"/>
    </xf>
    <xf numFmtId="0" fontId="2" fillId="5" borderId="3" xfId="0" applyFont="1" applyFill="1" applyBorder="1" applyAlignment="1" applyProtection="1">
      <alignment horizontal="center" vertical="center" wrapText="1"/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3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9" fontId="0" fillId="7" borderId="6" xfId="1" applyFon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9" fontId="0" fillId="7" borderId="5" xfId="1" applyFont="1" applyFill="1" applyBorder="1" applyAlignment="1">
      <alignment horizontal="center" vertical="center"/>
    </xf>
    <xf numFmtId="4" fontId="0" fillId="7" borderId="7" xfId="0" applyNumberFormat="1" applyFill="1" applyBorder="1" applyAlignment="1">
      <alignment horizontal="center" vertical="center"/>
    </xf>
    <xf numFmtId="166" fontId="0" fillId="4" borderId="6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9" fontId="0" fillId="4" borderId="7" xfId="1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/>
    </xf>
    <xf numFmtId="3" fontId="0" fillId="4" borderId="7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3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3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164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3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3" xfId="0" applyFont="1" applyFill="1" applyBorder="1" applyAlignment="1" applyProtection="1">
      <alignment horizontal="center" vertical="center" wrapText="1"/>
      <protection locked="0"/>
    </xf>
    <xf numFmtId="0" fontId="7" fillId="4" borderId="6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/>
    </xf>
    <xf numFmtId="1" fontId="0" fillId="4" borderId="9" xfId="0" applyNumberFormat="1" applyFill="1" applyBorder="1" applyAlignment="1">
      <alignment horizontal="center" vertical="center"/>
    </xf>
    <xf numFmtId="2" fontId="0" fillId="4" borderId="9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1" fontId="0" fillId="4" borderId="12" xfId="0" applyNumberFormat="1" applyFill="1" applyBorder="1" applyAlignment="1">
      <alignment horizontal="center" vertical="center"/>
    </xf>
    <xf numFmtId="2" fontId="0" fillId="4" borderId="12" xfId="0" applyNumberFormat="1" applyFill="1" applyBorder="1" applyAlignment="1">
      <alignment horizontal="center" vertical="center"/>
    </xf>
    <xf numFmtId="0" fontId="2" fillId="10" borderId="3" xfId="0" quotePrefix="1" applyFont="1" applyFill="1" applyBorder="1" applyAlignment="1">
      <alignment horizontal="center" vertical="center" wrapText="1"/>
    </xf>
    <xf numFmtId="4" fontId="0" fillId="7" borderId="11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3" xfId="0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4" xfId="0" applyFont="1" applyFill="1" applyBorder="1" applyAlignment="1">
      <alignment horizontal="center" vertical="center" wrapText="1"/>
    </xf>
    <xf numFmtId="0" fontId="2" fillId="11" borderId="3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3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2" borderId="3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3" xfId="0" applyFont="1" applyFill="1" applyBorder="1" applyAlignment="1">
      <alignment horizontal="center" vertical="center" wrapText="1"/>
    </xf>
    <xf numFmtId="0" fontId="2" fillId="14" borderId="1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66" fontId="0" fillId="4" borderId="9" xfId="0" applyNumberFormat="1" applyFill="1" applyBorder="1" applyAlignment="1">
      <alignment horizontal="center" vertical="center"/>
    </xf>
    <xf numFmtId="166" fontId="0" fillId="4" borderId="7" xfId="0" applyNumberFormat="1" applyFill="1" applyBorder="1" applyAlignment="1">
      <alignment horizontal="center" vertical="center"/>
    </xf>
    <xf numFmtId="0" fontId="2" fillId="14" borderId="3" xfId="0" quotePrefix="1" applyFont="1" applyFill="1" applyBorder="1" applyAlignment="1">
      <alignment horizontal="center" vertical="center" wrapText="1"/>
    </xf>
    <xf numFmtId="166" fontId="0" fillId="4" borderId="5" xfId="0" applyNumberFormat="1" applyFill="1" applyBorder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0" fillId="15" borderId="0" xfId="0" applyFill="1"/>
    <xf numFmtId="0" fontId="2" fillId="15" borderId="3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15" borderId="3" xfId="0" quotePrefix="1" applyFont="1" applyFill="1" applyBorder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/>
      <protection locked="0"/>
    </xf>
    <xf numFmtId="0" fontId="3" fillId="16" borderId="0" xfId="0" applyFont="1" applyFill="1"/>
    <xf numFmtId="0" fontId="2" fillId="16" borderId="3" xfId="0" applyFont="1" applyFill="1" applyBorder="1" applyAlignment="1" applyProtection="1">
      <alignment horizontal="center" vertical="center" wrapText="1"/>
      <protection locked="0"/>
    </xf>
    <xf numFmtId="0" fontId="1" fillId="16" borderId="0" xfId="0" applyFont="1" applyFill="1" applyAlignment="1">
      <alignment horizontal="left" vertical="center"/>
    </xf>
    <xf numFmtId="0" fontId="0" fillId="16" borderId="0" xfId="0" applyFill="1"/>
    <xf numFmtId="0" fontId="2" fillId="16" borderId="1" xfId="0" applyFont="1" applyFill="1" applyBorder="1" applyAlignment="1">
      <alignment horizontal="center" vertical="center" wrapText="1"/>
    </xf>
    <xf numFmtId="0" fontId="2" fillId="16" borderId="4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2" fillId="16" borderId="3" xfId="0" quotePrefix="1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6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1" fontId="2" fillId="16" borderId="3" xfId="0" applyNumberFormat="1" applyFont="1" applyFill="1" applyBorder="1" applyAlignment="1">
      <alignment horizontal="center" vertical="center" wrapText="1"/>
    </xf>
    <xf numFmtId="0" fontId="2" fillId="11" borderId="3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165" fontId="0" fillId="7" borderId="6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96633"/>
      <color rgb="FF7F6000"/>
      <color rgb="FFFF3300"/>
      <color rgb="FF548235"/>
      <color rgb="FFCCCC00"/>
      <color rgb="FF000000"/>
      <color rgb="FF5B9BD5"/>
      <color rgb="FFA5A5A5"/>
      <color rgb="FFCC99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20244"/>
          <a:ext cx="1476830" cy="26053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72920" y="387823"/>
          <a:ext cx="1467940" cy="25377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350260" y="377964"/>
          <a:ext cx="1453970" cy="25476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919980" y="372744"/>
          <a:ext cx="1453970" cy="25528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482080" y="387823"/>
          <a:ext cx="1453970" cy="25377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0</xdr:col>
      <xdr:colOff>207010</xdr:colOff>
      <xdr:row>16</xdr:row>
      <xdr:rowOff>16983</xdr:rowOff>
    </xdr:from>
    <xdr:to>
      <xdr:col>4</xdr:col>
      <xdr:colOff>77290</xdr:colOff>
      <xdr:row>29</xdr:row>
      <xdr:rowOff>159543</xdr:rowOff>
    </xdr:to>
    <xdr:grpSp>
      <xdr:nvGrpSpPr>
        <xdr:cNvPr id="41" name="Groupe 40"/>
        <xdr:cNvGrpSpPr/>
      </xdr:nvGrpSpPr>
      <xdr:grpSpPr>
        <a:xfrm>
          <a:off x="207010" y="3096733"/>
          <a:ext cx="1476830" cy="25365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tics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Logitics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179070</xdr:colOff>
      <xdr:row>16</xdr:row>
      <xdr:rowOff>9363</xdr:rowOff>
    </xdr:from>
    <xdr:to>
      <xdr:col>6</xdr:col>
      <xdr:colOff>34110</xdr:colOff>
      <xdr:row>29</xdr:row>
      <xdr:rowOff>151923</xdr:rowOff>
    </xdr:to>
    <xdr:grpSp>
      <xdr:nvGrpSpPr>
        <xdr:cNvPr id="49" name="Groupe 48"/>
        <xdr:cNvGrpSpPr/>
      </xdr:nvGrpSpPr>
      <xdr:grpSpPr>
        <a:xfrm>
          <a:off x="1785620" y="3089113"/>
          <a:ext cx="1467940" cy="2536510"/>
          <a:chOff x="1748790" y="3430743"/>
          <a:chExt cx="1440000" cy="2520000"/>
        </a:xfrm>
      </xdr:grpSpPr>
      <xdr:grpSp>
        <xdr:nvGrpSpPr>
          <xdr:cNvPr id="50" name="Groupe 49"/>
          <xdr:cNvGrpSpPr/>
        </xdr:nvGrpSpPr>
        <xdr:grpSpPr>
          <a:xfrm>
            <a:off x="1748790" y="3430743"/>
            <a:ext cx="1440000" cy="2520000"/>
            <a:chOff x="12576810" y="1761963"/>
            <a:chExt cx="1440000" cy="2520000"/>
          </a:xfrm>
        </xdr:grpSpPr>
        <xdr:sp macro="[0]!Utilities" textlink="">
          <xdr:nvSpPr>
            <xdr:cNvPr id="55" name="Rectangle 54"/>
            <xdr:cNvSpPr/>
          </xdr:nvSpPr>
          <xdr:spPr>
            <a:xfrm>
              <a:off x="12576810" y="1761963"/>
              <a:ext cx="1440000" cy="2520000"/>
            </a:xfrm>
            <a:prstGeom prst="rect">
              <a:avLst/>
            </a:prstGeom>
            <a:solidFill>
              <a:srgbClr val="5B9BD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Utilities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Utilities">
          <xdr:nvPicPr>
            <xdr:cNvPr id="56" name="Image 55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43490" y="1788720"/>
              <a:ext cx="504000" cy="504000"/>
            </a:xfrm>
            <a:prstGeom prst="rect">
              <a:avLst/>
            </a:prstGeom>
          </xdr:spPr>
        </xdr:pic>
      </xdr:grpSp>
      <xdr:sp macro="[0]!Utilities" textlink="">
        <xdr:nvSpPr>
          <xdr:cNvPr id="51" name="Rectangle 50"/>
          <xdr:cNvSpPr/>
        </xdr:nvSpPr>
        <xdr:spPr>
          <a:xfrm>
            <a:off x="1832610" y="432228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Utilities" textlink="">
        <xdr:nvSpPr>
          <xdr:cNvPr id="53" name="Rectangle 52"/>
          <xdr:cNvSpPr/>
        </xdr:nvSpPr>
        <xdr:spPr>
          <a:xfrm>
            <a:off x="1832610" y="487854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Utilities" textlink="">
        <xdr:nvSpPr>
          <xdr:cNvPr id="54" name="Rectangle 53"/>
          <xdr:cNvSpPr/>
        </xdr:nvSpPr>
        <xdr:spPr>
          <a:xfrm>
            <a:off x="1832610" y="543480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621030</xdr:colOff>
      <xdr:row>30</xdr:row>
      <xdr:rowOff>116043</xdr:rowOff>
    </xdr:from>
    <xdr:to>
      <xdr:col>7</xdr:col>
      <xdr:colOff>43590</xdr:colOff>
      <xdr:row>37</xdr:row>
      <xdr:rowOff>95883</xdr:rowOff>
    </xdr:to>
    <xdr:grpSp>
      <xdr:nvGrpSpPr>
        <xdr:cNvPr id="57" name="Groupe 56"/>
        <xdr:cNvGrpSpPr/>
      </xdr:nvGrpSpPr>
      <xdr:grpSpPr>
        <a:xfrm>
          <a:off x="2227580" y="5773893"/>
          <a:ext cx="1841910" cy="1268890"/>
          <a:chOff x="3257550" y="3453603"/>
          <a:chExt cx="1800000" cy="1260000"/>
        </a:xfrm>
      </xdr:grpSpPr>
      <xdr:sp macro="[1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1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773430</xdr:colOff>
      <xdr:row>1</xdr:row>
      <xdr:rowOff>53340</xdr:rowOff>
    </xdr:from>
    <xdr:to>
      <xdr:col>13</xdr:col>
      <xdr:colOff>628470</xdr:colOff>
      <xdr:row>15</xdr:row>
      <xdr:rowOff>30003</xdr:rowOff>
    </xdr:to>
    <xdr:grpSp>
      <xdr:nvGrpSpPr>
        <xdr:cNvPr id="60" name="Groupe 59"/>
        <xdr:cNvGrpSpPr/>
      </xdr:nvGrpSpPr>
      <xdr:grpSpPr>
        <a:xfrm>
          <a:off x="8025130" y="370840"/>
          <a:ext cx="1467940" cy="2554763"/>
          <a:chOff x="3288030" y="3413760"/>
          <a:chExt cx="1440000" cy="2536983"/>
        </a:xfrm>
      </xdr:grpSpPr>
      <xdr:sp macro="[0]!Port" textlink="">
        <xdr:nvSpPr>
          <xdr:cNvPr id="61" name="Rectangle 60"/>
          <xdr:cNvSpPr/>
        </xdr:nvSpPr>
        <xdr:spPr>
          <a:xfrm>
            <a:off x="3288030" y="3430743"/>
            <a:ext cx="1440000" cy="2520000"/>
          </a:xfrm>
          <a:prstGeom prst="rect">
            <a:avLst/>
          </a:prstGeom>
          <a:solidFill>
            <a:schemeClr val="accent4">
              <a:lumMod val="50000"/>
              <a:alpha val="69804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Port</a:t>
            </a:r>
          </a:p>
        </xdr:txBody>
      </xdr:sp>
      <xdr:sp macro="[0]!PortOptions" textlink="">
        <xdr:nvSpPr>
          <xdr:cNvPr id="62" name="Rectangle 61"/>
          <xdr:cNvSpPr/>
        </xdr:nvSpPr>
        <xdr:spPr>
          <a:xfrm>
            <a:off x="3371850" y="423084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ortProduction" textlink="">
        <xdr:nvSpPr>
          <xdr:cNvPr id="63" name="Rectangle 62"/>
          <xdr:cNvSpPr/>
        </xdr:nvSpPr>
        <xdr:spPr>
          <a:xfrm>
            <a:off x="3371850" y="466518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ortOpex" textlink="">
        <xdr:nvSpPr>
          <xdr:cNvPr id="64" name="Rectangle 63"/>
          <xdr:cNvSpPr/>
        </xdr:nvSpPr>
        <xdr:spPr>
          <a:xfrm>
            <a:off x="3371850" y="509952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ortCapex" textlink="">
        <xdr:nvSpPr>
          <xdr:cNvPr id="65" name="Rectangle 64"/>
          <xdr:cNvSpPr/>
        </xdr:nvSpPr>
        <xdr:spPr>
          <a:xfrm>
            <a:off x="3371850" y="553386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  <xdr:pic macro="[1]!Port">
        <xdr:nvPicPr>
          <xdr:cNvPr id="66" name="Image 65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0940" y="341376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201930</xdr:colOff>
      <xdr:row>30</xdr:row>
      <xdr:rowOff>116043</xdr:rowOff>
    </xdr:from>
    <xdr:to>
      <xdr:col>4</xdr:col>
      <xdr:colOff>432210</xdr:colOff>
      <xdr:row>37</xdr:row>
      <xdr:rowOff>95883</xdr:rowOff>
    </xdr:to>
    <xdr:grpSp>
      <xdr:nvGrpSpPr>
        <xdr:cNvPr id="67" name="Groupe 66"/>
        <xdr:cNvGrpSpPr/>
      </xdr:nvGrpSpPr>
      <xdr:grpSpPr>
        <a:xfrm>
          <a:off x="201930" y="5773893"/>
          <a:ext cx="1836830" cy="1268890"/>
          <a:chOff x="514350" y="5731983"/>
          <a:chExt cx="1800000" cy="1260000"/>
        </a:xfrm>
      </xdr:grpSpPr>
      <xdr:sp macro="[1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1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1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1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6543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2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2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2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2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2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2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247650</xdr:colOff>
      <xdr:row>17</xdr:row>
      <xdr:rowOff>95250</xdr:rowOff>
    </xdr:from>
    <xdr:to>
      <xdr:col>5</xdr:col>
      <xdr:colOff>1384300</xdr:colOff>
      <xdr:row>24</xdr:row>
      <xdr:rowOff>57150</xdr:rowOff>
    </xdr:to>
    <xdr:sp macro="" textlink="">
      <xdr:nvSpPr>
        <xdr:cNvPr id="5" name="Rectangle 4"/>
        <xdr:cNvSpPr/>
      </xdr:nvSpPr>
      <xdr:spPr>
        <a:xfrm>
          <a:off x="501650" y="3606800"/>
          <a:ext cx="3829050" cy="1250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 of entities per year per location per process 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63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66700" y="0"/>
          <a:ext cx="15240" cy="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Canevas/Canevas_Wave2Simulation_ADAP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/Canevas_M-WP-P-Sfilled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ales plan"/>
      <sheetName val="Raw materials"/>
      <sheetName val="Common dict"/>
      <sheetName val="Unit conversion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Port &gt;&gt;&gt;"/>
      <sheetName val="Port options"/>
      <sheetName val="Port production"/>
      <sheetName val="Port opex"/>
      <sheetName val="Port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Electricity options"/>
      <sheetName val="Canevas_Wave2Simulation_ADAPTED"/>
    </sheetNames>
    <definedNames>
      <definedName name="Home"/>
      <definedName name="Port"/>
      <definedName name="RawMaterials"/>
      <definedName name="SalesPlan"/>
    </definedNames>
    <sheetDataSet>
      <sheetData sheetId="0" refreshError="1"/>
      <sheetData sheetId="1" refreshError="1"/>
      <sheetData sheetId="2" refreshError="1"/>
      <sheetData sheetId="3">
        <row r="5">
          <cell r="R5" t="str">
            <v>Mine Benguerir 1</v>
          </cell>
          <cell r="S5" t="str">
            <v>Laverie BG</v>
          </cell>
          <cell r="T5" t="str">
            <v>MPH1</v>
          </cell>
          <cell r="U5" t="str">
            <v>Granul1</v>
          </cell>
          <cell r="V5" t="str">
            <v>Port Casablanca</v>
          </cell>
          <cell r="W5" t="str">
            <v>Benguerir</v>
          </cell>
        </row>
        <row r="6">
          <cell r="R6" t="str">
            <v>Mine Benguerir 2</v>
          </cell>
          <cell r="S6" t="str">
            <v>Laverie Youssoufia</v>
          </cell>
          <cell r="T6" t="str">
            <v>MPH2</v>
          </cell>
          <cell r="U6" t="str">
            <v>Granul2</v>
          </cell>
          <cell r="V6" t="str">
            <v>Port Meskala</v>
          </cell>
          <cell r="W6" t="str">
            <v>Bouchane</v>
          </cell>
        </row>
        <row r="7">
          <cell r="R7" t="str">
            <v>Mine Benguerir 3</v>
          </cell>
          <cell r="S7" t="str">
            <v>Laverie Mzinda</v>
          </cell>
          <cell r="T7" t="str">
            <v>MPH3</v>
          </cell>
          <cell r="U7" t="str">
            <v>Granul3</v>
          </cell>
          <cell r="V7" t="str">
            <v>Port Jorf</v>
          </cell>
          <cell r="W7" t="str">
            <v>Mzinda</v>
          </cell>
        </row>
        <row r="8">
          <cell r="R8" t="str">
            <v>Mine Bouchane</v>
          </cell>
          <cell r="S8" t="str">
            <v>Laverie Nzalat</v>
          </cell>
          <cell r="T8" t="str">
            <v>MPH4</v>
          </cell>
          <cell r="U8" t="str">
            <v>Granul4</v>
          </cell>
          <cell r="V8" t="str">
            <v>Port Safi</v>
          </cell>
          <cell r="W8" t="str">
            <v>Nzalat</v>
          </cell>
        </row>
        <row r="9">
          <cell r="R9" t="str">
            <v>Mine Mzinda</v>
          </cell>
          <cell r="S9" t="str">
            <v>Laverie Tassaout</v>
          </cell>
          <cell r="T9" t="str">
            <v>MPH5</v>
          </cell>
          <cell r="U9" t="str">
            <v>Granul5</v>
          </cell>
          <cell r="V9" t="str">
            <v>Port SPH</v>
          </cell>
          <cell r="W9" t="str">
            <v>Tassaout</v>
          </cell>
        </row>
        <row r="10">
          <cell r="R10" t="str">
            <v>Mine Tassaout</v>
          </cell>
          <cell r="S10" t="str">
            <v>Laverie Louta</v>
          </cell>
          <cell r="T10" t="str">
            <v>MPH6</v>
          </cell>
          <cell r="U10" t="str">
            <v>Granul6</v>
          </cell>
          <cell r="V10" t="str">
            <v/>
          </cell>
          <cell r="W10" t="str">
            <v>Louta</v>
          </cell>
        </row>
        <row r="11">
          <cell r="R11" t="str">
            <v>Mine Meskala</v>
          </cell>
          <cell r="S11" t="str">
            <v>Laverie Meskala</v>
          </cell>
          <cell r="T11" t="str">
            <v>MPH7</v>
          </cell>
          <cell r="U11" t="str">
            <v>Granul7</v>
          </cell>
          <cell r="V11" t="str">
            <v/>
          </cell>
          <cell r="W11" t="str">
            <v>Jorf</v>
          </cell>
        </row>
        <row r="12">
          <cell r="R12" t="str">
            <v>Mine Louta</v>
          </cell>
          <cell r="S12" t="str">
            <v/>
          </cell>
          <cell r="T12" t="str">
            <v>MPH8</v>
          </cell>
          <cell r="U12" t="str">
            <v>Granul8</v>
          </cell>
          <cell r="V12" t="str">
            <v/>
          </cell>
          <cell r="W12" t="str">
            <v>SPH</v>
          </cell>
        </row>
        <row r="13">
          <cell r="R13" t="str">
            <v>Mine Nzalat</v>
          </cell>
          <cell r="S13" t="str">
            <v/>
          </cell>
          <cell r="T13" t="str">
            <v>SPH1</v>
          </cell>
          <cell r="U13" t="str">
            <v>MP1</v>
          </cell>
          <cell r="V13" t="str">
            <v/>
          </cell>
          <cell r="W13" t="str">
            <v>Safi</v>
          </cell>
        </row>
        <row r="14">
          <cell r="R14" t="str">
            <v/>
          </cell>
          <cell r="S14" t="str">
            <v/>
          </cell>
          <cell r="T14" t="str">
            <v>SPH2</v>
          </cell>
          <cell r="U14" t="str">
            <v>MP2</v>
          </cell>
          <cell r="V14" t="str">
            <v/>
          </cell>
          <cell r="W14" t="str">
            <v>Essouira</v>
          </cell>
        </row>
        <row r="15">
          <cell r="R15" t="str">
            <v/>
          </cell>
          <cell r="S15" t="str">
            <v/>
          </cell>
          <cell r="T15" t="str">
            <v>SPH3</v>
          </cell>
          <cell r="U15" t="str">
            <v/>
          </cell>
          <cell r="V15" t="str">
            <v/>
          </cell>
          <cell r="W15" t="str">
            <v>Casablanca</v>
          </cell>
        </row>
        <row r="16">
          <cell r="R16" t="str">
            <v/>
          </cell>
          <cell r="S16" t="str">
            <v/>
          </cell>
          <cell r="T16" t="str">
            <v>SPH4</v>
          </cell>
          <cell r="U16" t="str">
            <v/>
          </cell>
          <cell r="V16" t="str">
            <v/>
          </cell>
          <cell r="W16" t="str">
            <v>Youssoufia</v>
          </cell>
        </row>
        <row r="17">
          <cell r="R17" t="str">
            <v/>
          </cell>
          <cell r="S17" t="str">
            <v/>
          </cell>
          <cell r="T17" t="str">
            <v>SPH5</v>
          </cell>
          <cell r="U17" t="str">
            <v/>
          </cell>
          <cell r="V17" t="str">
            <v/>
          </cell>
        </row>
        <row r="18">
          <cell r="R18" t="str">
            <v/>
          </cell>
          <cell r="S18" t="str">
            <v/>
          </cell>
          <cell r="T18" t="str">
            <v>MP1</v>
          </cell>
          <cell r="U18" t="str">
            <v/>
          </cell>
          <cell r="V18" t="str">
            <v/>
          </cell>
        </row>
        <row r="19">
          <cell r="R19" t="str">
            <v/>
          </cell>
          <cell r="S19" t="str">
            <v/>
          </cell>
          <cell r="T19" t="str">
            <v>MP2</v>
          </cell>
          <cell r="U19" t="str">
            <v/>
          </cell>
          <cell r="V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5">
          <cell r="G5">
            <v>750</v>
          </cell>
        </row>
        <row r="6">
          <cell r="G6">
            <v>750</v>
          </cell>
        </row>
        <row r="7">
          <cell r="G7">
            <v>750</v>
          </cell>
        </row>
        <row r="8">
          <cell r="G8">
            <v>750</v>
          </cell>
        </row>
        <row r="9">
          <cell r="G9">
            <v>1000</v>
          </cell>
        </row>
        <row r="10">
          <cell r="G10">
            <v>1000</v>
          </cell>
        </row>
        <row r="11">
          <cell r="G11">
            <v>1000</v>
          </cell>
        </row>
        <row r="12">
          <cell r="G12">
            <v>1000</v>
          </cell>
        </row>
        <row r="13">
          <cell r="G13">
            <v>1000</v>
          </cell>
        </row>
        <row r="14">
          <cell r="G14">
            <v>1000</v>
          </cell>
        </row>
        <row r="15">
          <cell r="G15">
            <v>1000</v>
          </cell>
        </row>
        <row r="16">
          <cell r="G16">
            <v>1000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>
        <row r="5">
          <cell r="G5">
            <v>5</v>
          </cell>
        </row>
        <row r="6">
          <cell r="G6">
            <v>5</v>
          </cell>
        </row>
        <row r="7">
          <cell r="G7">
            <v>2.5</v>
          </cell>
        </row>
        <row r="8">
          <cell r="G8">
            <v>5</v>
          </cell>
        </row>
        <row r="9">
          <cell r="G9">
            <v>5</v>
          </cell>
        </row>
        <row r="10">
          <cell r="G10">
            <v>2.5</v>
          </cell>
        </row>
        <row r="11">
          <cell r="G11">
            <v>5</v>
          </cell>
        </row>
        <row r="12">
          <cell r="G12">
            <v>5</v>
          </cell>
        </row>
        <row r="13">
          <cell r="G13">
            <v>5</v>
          </cell>
        </row>
        <row r="14">
          <cell r="G14">
            <v>5</v>
          </cell>
        </row>
      </sheetData>
      <sheetData sheetId="32" refreshError="1"/>
      <sheetData sheetId="33" refreshError="1"/>
      <sheetData sheetId="34" refreshError="1"/>
      <sheetData sheetId="35"/>
      <sheetData sheetId="36">
        <row r="5">
          <cell r="I5">
            <v>5</v>
          </cell>
        </row>
        <row r="6">
          <cell r="I6">
            <v>5</v>
          </cell>
        </row>
        <row r="7">
          <cell r="I7">
            <v>5</v>
          </cell>
        </row>
        <row r="8">
          <cell r="I8">
            <v>5</v>
          </cell>
        </row>
        <row r="9">
          <cell r="I9">
            <v>5</v>
          </cell>
        </row>
        <row r="10">
          <cell r="I10">
            <v>5</v>
          </cell>
        </row>
        <row r="11">
          <cell r="I11">
            <v>1500</v>
          </cell>
        </row>
      </sheetData>
      <sheetData sheetId="37" refreshError="1"/>
      <sheetData sheetId="38" refreshError="1"/>
      <sheetData sheetId="39">
        <row r="5">
          <cell r="D5" t="str">
            <v>Al Massira</v>
          </cell>
        </row>
        <row r="6">
          <cell r="D6" t="str">
            <v>STEP BG 1</v>
          </cell>
        </row>
        <row r="7">
          <cell r="D7" t="str">
            <v>STEP BG 2</v>
          </cell>
        </row>
        <row r="8">
          <cell r="D8" t="str">
            <v>STEP Yfia</v>
          </cell>
        </row>
        <row r="9">
          <cell r="D9" t="str">
            <v>STEP KELAA</v>
          </cell>
        </row>
        <row r="10">
          <cell r="D10" t="str">
            <v>STEP Mkch</v>
          </cell>
        </row>
        <row r="11">
          <cell r="D11" t="str">
            <v>Desalination Safi</v>
          </cell>
        </row>
      </sheetData>
      <sheetData sheetId="40">
        <row r="5">
          <cell r="E5" t="str">
            <v>Benguerir</v>
          </cell>
          <cell r="F5">
            <v>18</v>
          </cell>
        </row>
        <row r="6">
          <cell r="E6" t="str">
            <v>Youssoufia</v>
          </cell>
          <cell r="F6">
            <v>12</v>
          </cell>
        </row>
        <row r="7">
          <cell r="E7" t="str">
            <v>Mzinda</v>
          </cell>
          <cell r="F7">
            <v>12</v>
          </cell>
        </row>
        <row r="8">
          <cell r="E8" t="str">
            <v>Tassaout</v>
          </cell>
          <cell r="F8">
            <v>5</v>
          </cell>
        </row>
        <row r="9">
          <cell r="E9" t="str">
            <v>Benguerir</v>
          </cell>
          <cell r="F9">
            <v>2.6</v>
          </cell>
        </row>
        <row r="10">
          <cell r="E10" t="str">
            <v>Benguerir</v>
          </cell>
          <cell r="F10">
            <v>1</v>
          </cell>
        </row>
        <row r="11">
          <cell r="E11" t="str">
            <v>Youssoufia</v>
          </cell>
          <cell r="F11">
            <v>2.5</v>
          </cell>
        </row>
        <row r="12">
          <cell r="E12" t="str">
            <v>Tassaout</v>
          </cell>
          <cell r="F12">
            <v>3</v>
          </cell>
        </row>
        <row r="13">
          <cell r="E13" t="str">
            <v>Benguerir</v>
          </cell>
          <cell r="F13">
            <v>14</v>
          </cell>
        </row>
        <row r="14">
          <cell r="E14" t="str">
            <v>Mzinda</v>
          </cell>
          <cell r="F14">
            <v>14</v>
          </cell>
        </row>
        <row r="15">
          <cell r="E15" t="str">
            <v>Mzinda</v>
          </cell>
          <cell r="F15">
            <v>10</v>
          </cell>
        </row>
        <row r="16">
          <cell r="E16" t="str">
            <v>Youssoufia</v>
          </cell>
          <cell r="F16">
            <v>10</v>
          </cell>
        </row>
      </sheetData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les plan"/>
      <sheetName val="MINING &gt;&gt;&gt;"/>
      <sheetName val="MINING options"/>
      <sheetName val="MINING production"/>
      <sheetName val="MINING opex"/>
      <sheetName val="MINING capex"/>
      <sheetName val="WP &gt;&gt;&gt;"/>
      <sheetName val="WP options"/>
      <sheetName val="WP production"/>
      <sheetName val="WP opex"/>
      <sheetName val="WP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Raw materials"/>
      <sheetName val="Canevas_M-WP-P-Sfilled_V3"/>
    </sheetNames>
    <definedNames>
      <definedName name="Hom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9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9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10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L26"/>
  <sheetViews>
    <sheetView workbookViewId="0">
      <selection activeCell="I27" sqref="I27"/>
    </sheetView>
  </sheetViews>
  <sheetFormatPr defaultColWidth="11.54296875" defaultRowHeight="14.5" x14ac:dyDescent="0.35"/>
  <cols>
    <col min="1" max="3" width="3.81640625" style="1" customWidth="1"/>
    <col min="4" max="15" width="11.54296875" style="1"/>
    <col min="16" max="16" width="12.453125" style="1" bestFit="1" customWidth="1"/>
    <col min="17" max="16384" width="11.54296875" style="1"/>
  </cols>
  <sheetData>
    <row r="1" spans="2:2" s="25" customFormat="1" ht="25" customHeight="1" x14ac:dyDescent="0.35">
      <c r="B1" s="24" t="s">
        <v>93</v>
      </c>
    </row>
    <row r="26" spans="12:12" x14ac:dyDescent="0.35">
      <c r="L26" s="7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workbookViewId="0">
      <selection activeCell="G15" sqref="G15"/>
    </sheetView>
  </sheetViews>
  <sheetFormatPr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188</v>
      </c>
    </row>
    <row r="3" spans="2:17" ht="15" thickBot="1" x14ac:dyDescent="0.4">
      <c r="D3" s="38" t="str">
        <f>JESA_UploadTable("sales_plan",D4:Q50)</f>
        <v>sales_plan Saved! @08:24:19</v>
      </c>
      <c r="E3" s="38"/>
    </row>
    <row r="4" spans="2:17" ht="30" customHeight="1" thickBot="1" x14ac:dyDescent="0.4">
      <c r="D4" s="71" t="s">
        <v>166</v>
      </c>
      <c r="E4" s="71" t="s">
        <v>24</v>
      </c>
      <c r="F4" s="71" t="s">
        <v>17</v>
      </c>
      <c r="G4" s="93" t="s">
        <v>37</v>
      </c>
      <c r="H4" s="93" t="s">
        <v>38</v>
      </c>
      <c r="I4" s="93" t="s">
        <v>39</v>
      </c>
      <c r="J4" s="93" t="s">
        <v>40</v>
      </c>
      <c r="K4" s="93" t="s">
        <v>41</v>
      </c>
      <c r="L4" s="93" t="s">
        <v>42</v>
      </c>
      <c r="M4" s="93" t="s">
        <v>43</v>
      </c>
      <c r="N4" s="93" t="s">
        <v>44</v>
      </c>
      <c r="O4" s="93" t="s">
        <v>45</v>
      </c>
      <c r="P4" s="93" t="s">
        <v>46</v>
      </c>
      <c r="Q4" s="93" t="s">
        <v>47</v>
      </c>
    </row>
    <row r="5" spans="2:17" x14ac:dyDescent="0.35">
      <c r="D5" s="8" t="s">
        <v>198</v>
      </c>
      <c r="E5" s="8" t="s">
        <v>35</v>
      </c>
      <c r="F5" s="8" t="s">
        <v>189</v>
      </c>
      <c r="G5" s="17">
        <v>0</v>
      </c>
      <c r="H5" s="17">
        <f t="shared" ref="H5:Q5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250</v>
      </c>
      <c r="E6" s="9" t="s">
        <v>140</v>
      </c>
      <c r="F6" s="9" t="s">
        <v>142</v>
      </c>
      <c r="G6" s="18">
        <v>0</v>
      </c>
      <c r="H6" s="18">
        <f t="shared" ref="H6:Q6" si="1">IF(G6="","",G6)</f>
        <v>0</v>
      </c>
      <c r="I6" s="18">
        <f t="shared" si="1"/>
        <v>0</v>
      </c>
      <c r="J6" s="18">
        <f t="shared" si="1"/>
        <v>0</v>
      </c>
      <c r="K6" s="18">
        <v>500</v>
      </c>
      <c r="L6" s="18">
        <f t="shared" si="1"/>
        <v>500</v>
      </c>
      <c r="M6" s="18">
        <f t="shared" si="1"/>
        <v>500</v>
      </c>
      <c r="N6" s="18">
        <f t="shared" si="1"/>
        <v>500</v>
      </c>
      <c r="O6" s="18">
        <f t="shared" si="1"/>
        <v>500</v>
      </c>
      <c r="P6" s="18">
        <f t="shared" si="1"/>
        <v>500</v>
      </c>
      <c r="Q6" s="18">
        <f t="shared" si="1"/>
        <v>500</v>
      </c>
    </row>
    <row r="7" spans="2:17" x14ac:dyDescent="0.35">
      <c r="D7" s="9" t="s">
        <v>251</v>
      </c>
      <c r="E7" s="9" t="s">
        <v>83</v>
      </c>
      <c r="F7" s="9" t="s">
        <v>142</v>
      </c>
      <c r="G7" s="18">
        <v>0</v>
      </c>
      <c r="H7" s="18">
        <f t="shared" ref="H7:Q22" si="2">IF(G7="","",G7)</f>
        <v>0</v>
      </c>
      <c r="I7" s="18">
        <f t="shared" si="2"/>
        <v>0</v>
      </c>
      <c r="J7" s="18">
        <f t="shared" si="2"/>
        <v>0</v>
      </c>
      <c r="K7" s="18">
        <v>1</v>
      </c>
      <c r="L7" s="18">
        <f t="shared" si="2"/>
        <v>1</v>
      </c>
      <c r="M7" s="18">
        <f t="shared" si="2"/>
        <v>1</v>
      </c>
      <c r="N7" s="18">
        <f t="shared" si="2"/>
        <v>1</v>
      </c>
      <c r="O7" s="18">
        <f t="shared" si="2"/>
        <v>1</v>
      </c>
      <c r="P7" s="18">
        <f t="shared" si="2"/>
        <v>1</v>
      </c>
      <c r="Q7" s="18">
        <f t="shared" si="2"/>
        <v>1</v>
      </c>
    </row>
    <row r="8" spans="2:17" x14ac:dyDescent="0.35">
      <c r="D8" s="9" t="s">
        <v>251</v>
      </c>
      <c r="E8" s="9" t="s">
        <v>84</v>
      </c>
      <c r="F8" s="9" t="s">
        <v>142</v>
      </c>
      <c r="G8" s="18">
        <v>0</v>
      </c>
      <c r="H8" s="18">
        <f t="shared" si="2"/>
        <v>0</v>
      </c>
      <c r="I8" s="18">
        <f t="shared" si="2"/>
        <v>0</v>
      </c>
      <c r="J8" s="18">
        <f t="shared" si="2"/>
        <v>0</v>
      </c>
      <c r="K8" s="18">
        <v>2</v>
      </c>
      <c r="L8" s="18">
        <f t="shared" si="2"/>
        <v>2</v>
      </c>
      <c r="M8" s="18">
        <f t="shared" si="2"/>
        <v>2</v>
      </c>
      <c r="N8" s="18">
        <f t="shared" si="2"/>
        <v>2</v>
      </c>
      <c r="O8" s="18">
        <f t="shared" si="2"/>
        <v>2</v>
      </c>
      <c r="P8" s="18">
        <f t="shared" si="2"/>
        <v>2</v>
      </c>
      <c r="Q8" s="18">
        <f t="shared" si="2"/>
        <v>2</v>
      </c>
    </row>
    <row r="9" spans="2:17" x14ac:dyDescent="0.35">
      <c r="D9" s="9"/>
      <c r="E9" s="9"/>
      <c r="F9" s="9"/>
      <c r="G9" s="18"/>
      <c r="H9" s="18" t="str">
        <f t="shared" si="2"/>
        <v/>
      </c>
      <c r="I9" s="18" t="str">
        <f t="shared" si="2"/>
        <v/>
      </c>
      <c r="J9" s="18" t="str">
        <f t="shared" si="2"/>
        <v/>
      </c>
      <c r="K9" s="18" t="str">
        <f t="shared" si="2"/>
        <v/>
      </c>
      <c r="L9" s="18" t="str">
        <f t="shared" si="2"/>
        <v/>
      </c>
      <c r="M9" s="18" t="str">
        <f t="shared" si="2"/>
        <v/>
      </c>
      <c r="N9" s="18" t="str">
        <f t="shared" si="2"/>
        <v/>
      </c>
      <c r="O9" s="18" t="str">
        <f t="shared" si="2"/>
        <v/>
      </c>
      <c r="P9" s="18" t="str">
        <f t="shared" si="2"/>
        <v/>
      </c>
      <c r="Q9" s="18" t="str">
        <f t="shared" si="2"/>
        <v/>
      </c>
    </row>
    <row r="10" spans="2:17" x14ac:dyDescent="0.35">
      <c r="D10" s="9"/>
      <c r="E10" s="9"/>
      <c r="F10" s="9"/>
      <c r="G10" s="18"/>
      <c r="H10" s="18" t="str">
        <f t="shared" si="2"/>
        <v/>
      </c>
      <c r="I10" s="18" t="str">
        <f t="shared" si="2"/>
        <v/>
      </c>
      <c r="J10" s="18" t="str">
        <f t="shared" si="2"/>
        <v/>
      </c>
      <c r="K10" s="18" t="str">
        <f t="shared" si="2"/>
        <v/>
      </c>
      <c r="L10" s="18" t="str">
        <f t="shared" si="2"/>
        <v/>
      </c>
      <c r="M10" s="18" t="str">
        <f t="shared" si="2"/>
        <v/>
      </c>
      <c r="N10" s="18" t="str">
        <f t="shared" si="2"/>
        <v/>
      </c>
      <c r="O10" s="18" t="str">
        <f t="shared" si="2"/>
        <v/>
      </c>
      <c r="P10" s="18" t="str">
        <f t="shared" si="2"/>
        <v/>
      </c>
      <c r="Q10" s="18" t="str">
        <f t="shared" si="2"/>
        <v/>
      </c>
    </row>
    <row r="11" spans="2:17" x14ac:dyDescent="0.35">
      <c r="D11" s="9"/>
      <c r="E11" s="9"/>
      <c r="F11" s="9"/>
      <c r="G11" s="18"/>
      <c r="H11" s="18" t="str">
        <f t="shared" si="2"/>
        <v/>
      </c>
      <c r="I11" s="18" t="str">
        <f t="shared" si="2"/>
        <v/>
      </c>
      <c r="J11" s="18" t="str">
        <f t="shared" si="2"/>
        <v/>
      </c>
      <c r="K11" s="18" t="str">
        <f t="shared" si="2"/>
        <v/>
      </c>
      <c r="L11" s="18" t="str">
        <f t="shared" si="2"/>
        <v/>
      </c>
      <c r="M11" s="18" t="str">
        <f t="shared" si="2"/>
        <v/>
      </c>
      <c r="N11" s="18" t="str">
        <f t="shared" si="2"/>
        <v/>
      </c>
      <c r="O11" s="18" t="str">
        <f t="shared" si="2"/>
        <v/>
      </c>
      <c r="P11" s="18" t="str">
        <f t="shared" si="2"/>
        <v/>
      </c>
      <c r="Q11" s="18" t="str">
        <f t="shared" si="2"/>
        <v/>
      </c>
    </row>
    <row r="12" spans="2:17" x14ac:dyDescent="0.35">
      <c r="D12" s="9"/>
      <c r="E12" s="9"/>
      <c r="F12" s="9"/>
      <c r="G12" s="18"/>
      <c r="H12" s="18" t="str">
        <f t="shared" si="2"/>
        <v/>
      </c>
      <c r="I12" s="18" t="str">
        <f t="shared" si="2"/>
        <v/>
      </c>
      <c r="J12" s="18" t="str">
        <f t="shared" si="2"/>
        <v/>
      </c>
      <c r="K12" s="18" t="str">
        <f t="shared" si="2"/>
        <v/>
      </c>
      <c r="L12" s="18" t="str">
        <f t="shared" si="2"/>
        <v/>
      </c>
      <c r="M12" s="18" t="str">
        <f t="shared" si="2"/>
        <v/>
      </c>
      <c r="N12" s="18" t="str">
        <f t="shared" si="2"/>
        <v/>
      </c>
      <c r="O12" s="18" t="str">
        <f t="shared" si="2"/>
        <v/>
      </c>
      <c r="P12" s="18" t="str">
        <f t="shared" si="2"/>
        <v/>
      </c>
      <c r="Q12" s="18" t="str">
        <f t="shared" si="2"/>
        <v/>
      </c>
    </row>
    <row r="13" spans="2:17" x14ac:dyDescent="0.35">
      <c r="D13" s="9"/>
      <c r="E13" s="9"/>
      <c r="F13" s="9"/>
      <c r="G13" s="18"/>
      <c r="H13" s="18" t="str">
        <f t="shared" si="2"/>
        <v/>
      </c>
      <c r="I13" s="18" t="str">
        <f t="shared" si="2"/>
        <v/>
      </c>
      <c r="J13" s="18" t="str">
        <f t="shared" si="2"/>
        <v/>
      </c>
      <c r="K13" s="18" t="str">
        <f t="shared" si="2"/>
        <v/>
      </c>
      <c r="L13" s="18" t="str">
        <f t="shared" si="2"/>
        <v/>
      </c>
      <c r="M13" s="18" t="str">
        <f t="shared" si="2"/>
        <v/>
      </c>
      <c r="N13" s="18" t="str">
        <f t="shared" si="2"/>
        <v/>
      </c>
      <c r="O13" s="18" t="str">
        <f t="shared" si="2"/>
        <v/>
      </c>
      <c r="P13" s="18" t="str">
        <f t="shared" si="2"/>
        <v/>
      </c>
      <c r="Q13" s="18" t="str">
        <f t="shared" si="2"/>
        <v/>
      </c>
    </row>
    <row r="14" spans="2:17" x14ac:dyDescent="0.35">
      <c r="D14" s="9"/>
      <c r="E14" s="9"/>
      <c r="F14" s="9"/>
      <c r="G14" s="18"/>
      <c r="H14" s="18" t="str">
        <f t="shared" si="2"/>
        <v/>
      </c>
      <c r="I14" s="18" t="str">
        <f t="shared" si="2"/>
        <v/>
      </c>
      <c r="J14" s="18" t="str">
        <f t="shared" si="2"/>
        <v/>
      </c>
      <c r="K14" s="18" t="str">
        <f t="shared" si="2"/>
        <v/>
      </c>
      <c r="L14" s="18" t="str">
        <f t="shared" si="2"/>
        <v/>
      </c>
      <c r="M14" s="18" t="str">
        <f t="shared" si="2"/>
        <v/>
      </c>
      <c r="N14" s="18" t="str">
        <f t="shared" si="2"/>
        <v/>
      </c>
      <c r="O14" s="18" t="str">
        <f t="shared" si="2"/>
        <v/>
      </c>
      <c r="P14" s="18" t="str">
        <f t="shared" si="2"/>
        <v/>
      </c>
      <c r="Q14" s="18" t="str">
        <f t="shared" si="2"/>
        <v/>
      </c>
    </row>
    <row r="15" spans="2:17" x14ac:dyDescent="0.35">
      <c r="D15" s="9"/>
      <c r="E15" s="9"/>
      <c r="F15" s="9"/>
      <c r="G15" s="18"/>
      <c r="H15" s="18" t="str">
        <f t="shared" si="2"/>
        <v/>
      </c>
      <c r="I15" s="18" t="str">
        <f t="shared" si="2"/>
        <v/>
      </c>
      <c r="J15" s="18" t="str">
        <f t="shared" si="2"/>
        <v/>
      </c>
      <c r="K15" s="18" t="str">
        <f t="shared" si="2"/>
        <v/>
      </c>
      <c r="L15" s="18" t="str">
        <f t="shared" si="2"/>
        <v/>
      </c>
      <c r="M15" s="18" t="str">
        <f t="shared" si="2"/>
        <v/>
      </c>
      <c r="N15" s="18" t="str">
        <f t="shared" si="2"/>
        <v/>
      </c>
      <c r="O15" s="18" t="str">
        <f t="shared" si="2"/>
        <v/>
      </c>
      <c r="P15" s="18" t="str">
        <f t="shared" si="2"/>
        <v/>
      </c>
      <c r="Q15" s="18" t="str">
        <f t="shared" si="2"/>
        <v/>
      </c>
    </row>
    <row r="16" spans="2:17" x14ac:dyDescent="0.35">
      <c r="D16" s="9"/>
      <c r="E16" s="9"/>
      <c r="F16" s="9"/>
      <c r="G16" s="18"/>
      <c r="H16" s="18" t="str">
        <f t="shared" si="2"/>
        <v/>
      </c>
      <c r="I16" s="18" t="str">
        <f t="shared" si="2"/>
        <v/>
      </c>
      <c r="J16" s="18" t="str">
        <f t="shared" si="2"/>
        <v/>
      </c>
      <c r="K16" s="18" t="str">
        <f t="shared" si="2"/>
        <v/>
      </c>
      <c r="L16" s="18" t="str">
        <f t="shared" si="2"/>
        <v/>
      </c>
      <c r="M16" s="18" t="str">
        <f t="shared" si="2"/>
        <v/>
      </c>
      <c r="N16" s="18" t="str">
        <f t="shared" si="2"/>
        <v/>
      </c>
      <c r="O16" s="18" t="str">
        <f t="shared" si="2"/>
        <v/>
      </c>
      <c r="P16" s="18" t="str">
        <f t="shared" si="2"/>
        <v/>
      </c>
      <c r="Q16" s="18" t="str">
        <f t="shared" si="2"/>
        <v/>
      </c>
    </row>
    <row r="17" spans="4:17" x14ac:dyDescent="0.35">
      <c r="D17" s="9"/>
      <c r="E17" s="9"/>
      <c r="F17" s="9"/>
      <c r="G17" s="18"/>
      <c r="H17" s="18" t="str">
        <f t="shared" si="2"/>
        <v/>
      </c>
      <c r="I17" s="18" t="str">
        <f t="shared" si="2"/>
        <v/>
      </c>
      <c r="J17" s="18" t="str">
        <f t="shared" si="2"/>
        <v/>
      </c>
      <c r="K17" s="18" t="str">
        <f t="shared" si="2"/>
        <v/>
      </c>
      <c r="L17" s="18" t="str">
        <f t="shared" si="2"/>
        <v/>
      </c>
      <c r="M17" s="18" t="str">
        <f t="shared" si="2"/>
        <v/>
      </c>
      <c r="N17" s="18" t="str">
        <f t="shared" si="2"/>
        <v/>
      </c>
      <c r="O17" s="18" t="str">
        <f t="shared" si="2"/>
        <v/>
      </c>
      <c r="P17" s="18" t="str">
        <f t="shared" si="2"/>
        <v/>
      </c>
      <c r="Q17" s="18" t="str">
        <f t="shared" si="2"/>
        <v/>
      </c>
    </row>
    <row r="18" spans="4:17" x14ac:dyDescent="0.35">
      <c r="D18" s="9"/>
      <c r="E18" s="9"/>
      <c r="F18" s="9"/>
      <c r="G18" s="18"/>
      <c r="H18" s="18" t="str">
        <f t="shared" si="2"/>
        <v/>
      </c>
      <c r="I18" s="18" t="str">
        <f t="shared" si="2"/>
        <v/>
      </c>
      <c r="J18" s="18" t="str">
        <f t="shared" si="2"/>
        <v/>
      </c>
      <c r="K18" s="18" t="str">
        <f t="shared" si="2"/>
        <v/>
      </c>
      <c r="L18" s="18" t="str">
        <f t="shared" si="2"/>
        <v/>
      </c>
      <c r="M18" s="18" t="str">
        <f t="shared" si="2"/>
        <v/>
      </c>
      <c r="N18" s="18" t="str">
        <f t="shared" si="2"/>
        <v/>
      </c>
      <c r="O18" s="18" t="str">
        <f t="shared" si="2"/>
        <v/>
      </c>
      <c r="P18" s="18" t="str">
        <f t="shared" si="2"/>
        <v/>
      </c>
      <c r="Q18" s="18" t="str">
        <f t="shared" si="2"/>
        <v/>
      </c>
    </row>
    <row r="19" spans="4:17" x14ac:dyDescent="0.35">
      <c r="D19" s="9"/>
      <c r="E19" s="9"/>
      <c r="F19" s="9"/>
      <c r="G19" s="18"/>
      <c r="H19" s="18" t="str">
        <f t="shared" si="2"/>
        <v/>
      </c>
      <c r="I19" s="18" t="str">
        <f t="shared" si="2"/>
        <v/>
      </c>
      <c r="J19" s="18" t="str">
        <f t="shared" si="2"/>
        <v/>
      </c>
      <c r="K19" s="18" t="str">
        <f t="shared" si="2"/>
        <v/>
      </c>
      <c r="L19" s="18" t="str">
        <f t="shared" si="2"/>
        <v/>
      </c>
      <c r="M19" s="18" t="str">
        <f t="shared" si="2"/>
        <v/>
      </c>
      <c r="N19" s="18" t="str">
        <f t="shared" si="2"/>
        <v/>
      </c>
      <c r="O19" s="18" t="str">
        <f t="shared" si="2"/>
        <v/>
      </c>
      <c r="P19" s="18" t="str">
        <f t="shared" si="2"/>
        <v/>
      </c>
      <c r="Q19" s="18" t="str">
        <f t="shared" si="2"/>
        <v/>
      </c>
    </row>
    <row r="20" spans="4:17" x14ac:dyDescent="0.35">
      <c r="D20" s="9"/>
      <c r="E20" s="9"/>
      <c r="F20" s="9"/>
      <c r="G20" s="18"/>
      <c r="H20" s="18" t="str">
        <f t="shared" si="2"/>
        <v/>
      </c>
      <c r="I20" s="18" t="str">
        <f t="shared" si="2"/>
        <v/>
      </c>
      <c r="J20" s="18" t="str">
        <f t="shared" si="2"/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</row>
    <row r="21" spans="4:17" x14ac:dyDescent="0.35">
      <c r="D21" s="9"/>
      <c r="E21" s="9"/>
      <c r="F21" s="9"/>
      <c r="G21" s="18"/>
      <c r="H21" s="18" t="str">
        <f t="shared" si="2"/>
        <v/>
      </c>
      <c r="I21" s="18" t="str">
        <f t="shared" si="2"/>
        <v/>
      </c>
      <c r="J21" s="18" t="str">
        <f t="shared" si="2"/>
        <v/>
      </c>
      <c r="K21" s="18" t="str">
        <f t="shared" si="2"/>
        <v/>
      </c>
      <c r="L21" s="18" t="str">
        <f t="shared" si="2"/>
        <v/>
      </c>
      <c r="M21" s="18" t="str">
        <f t="shared" si="2"/>
        <v/>
      </c>
      <c r="N21" s="18" t="str">
        <f t="shared" si="2"/>
        <v/>
      </c>
      <c r="O21" s="18" t="str">
        <f t="shared" si="2"/>
        <v/>
      </c>
      <c r="P21" s="18" t="str">
        <f t="shared" si="2"/>
        <v/>
      </c>
      <c r="Q21" s="18" t="str">
        <f t="shared" si="2"/>
        <v/>
      </c>
    </row>
    <row r="22" spans="4:17" x14ac:dyDescent="0.35">
      <c r="D22" s="9"/>
      <c r="E22" s="9"/>
      <c r="F22" s="9"/>
      <c r="G22" s="18"/>
      <c r="H22" s="18" t="str">
        <f t="shared" si="2"/>
        <v/>
      </c>
      <c r="I22" s="18" t="str">
        <f t="shared" si="2"/>
        <v/>
      </c>
      <c r="J22" s="18" t="str">
        <f t="shared" si="2"/>
        <v/>
      </c>
      <c r="K22" s="18" t="str">
        <f t="shared" si="2"/>
        <v/>
      </c>
      <c r="L22" s="18" t="str">
        <f t="shared" si="2"/>
        <v/>
      </c>
      <c r="M22" s="18" t="str">
        <f t="shared" si="2"/>
        <v/>
      </c>
      <c r="N22" s="18" t="str">
        <f t="shared" si="2"/>
        <v/>
      </c>
      <c r="O22" s="18" t="str">
        <f t="shared" si="2"/>
        <v/>
      </c>
      <c r="P22" s="18" t="str">
        <f t="shared" si="2"/>
        <v/>
      </c>
      <c r="Q22" s="18" t="str">
        <f t="shared" si="2"/>
        <v/>
      </c>
    </row>
    <row r="23" spans="4:17" x14ac:dyDescent="0.35">
      <c r="D23" s="9"/>
      <c r="E23" s="9"/>
      <c r="F23" s="9"/>
      <c r="G23" s="18"/>
      <c r="H23" s="18" t="str">
        <f t="shared" ref="H23:Q38" si="3">IF(G23="","",G23)</f>
        <v/>
      </c>
      <c r="I23" s="18" t="str">
        <f t="shared" si="3"/>
        <v/>
      </c>
      <c r="J23" s="18" t="str">
        <f t="shared" si="3"/>
        <v/>
      </c>
      <c r="K23" s="18" t="str">
        <f t="shared" si="3"/>
        <v/>
      </c>
      <c r="L23" s="18" t="str">
        <f t="shared" si="3"/>
        <v/>
      </c>
      <c r="M23" s="18" t="str">
        <f t="shared" si="3"/>
        <v/>
      </c>
      <c r="N23" s="18" t="str">
        <f t="shared" si="3"/>
        <v/>
      </c>
      <c r="O23" s="18" t="str">
        <f t="shared" si="3"/>
        <v/>
      </c>
      <c r="P23" s="18" t="str">
        <f t="shared" si="3"/>
        <v/>
      </c>
      <c r="Q23" s="18" t="str">
        <f t="shared" si="3"/>
        <v/>
      </c>
    </row>
    <row r="24" spans="4:17" x14ac:dyDescent="0.35">
      <c r="D24" s="9"/>
      <c r="E24" s="9"/>
      <c r="F24" s="9"/>
      <c r="G24" s="18"/>
      <c r="H24" s="18" t="str">
        <f t="shared" si="3"/>
        <v/>
      </c>
      <c r="I24" s="18" t="str">
        <f t="shared" si="3"/>
        <v/>
      </c>
      <c r="J24" s="18" t="str">
        <f t="shared" si="3"/>
        <v/>
      </c>
      <c r="K24" s="18" t="str">
        <f t="shared" si="3"/>
        <v/>
      </c>
      <c r="L24" s="18" t="str">
        <f t="shared" si="3"/>
        <v/>
      </c>
      <c r="M24" s="18" t="str">
        <f t="shared" si="3"/>
        <v/>
      </c>
      <c r="N24" s="18" t="str">
        <f t="shared" si="3"/>
        <v/>
      </c>
      <c r="O24" s="18" t="str">
        <f t="shared" si="3"/>
        <v/>
      </c>
      <c r="P24" s="18" t="str">
        <f t="shared" si="3"/>
        <v/>
      </c>
      <c r="Q24" s="18" t="str">
        <f t="shared" si="3"/>
        <v/>
      </c>
    </row>
    <row r="25" spans="4:17" x14ac:dyDescent="0.35">
      <c r="D25" s="9"/>
      <c r="E25" s="9"/>
      <c r="F25" s="9"/>
      <c r="G25" s="18"/>
      <c r="H25" s="18" t="str">
        <f t="shared" si="3"/>
        <v/>
      </c>
      <c r="I25" s="18" t="str">
        <f t="shared" si="3"/>
        <v/>
      </c>
      <c r="J25" s="18" t="str">
        <f t="shared" si="3"/>
        <v/>
      </c>
      <c r="K25" s="18" t="str">
        <f t="shared" si="3"/>
        <v/>
      </c>
      <c r="L25" s="18" t="str">
        <f t="shared" si="3"/>
        <v/>
      </c>
      <c r="M25" s="18" t="str">
        <f t="shared" si="3"/>
        <v/>
      </c>
      <c r="N25" s="18" t="str">
        <f t="shared" si="3"/>
        <v/>
      </c>
      <c r="O25" s="18" t="str">
        <f t="shared" si="3"/>
        <v/>
      </c>
      <c r="P25" s="18" t="str">
        <f t="shared" si="3"/>
        <v/>
      </c>
      <c r="Q25" s="18" t="str">
        <f t="shared" si="3"/>
        <v/>
      </c>
    </row>
    <row r="26" spans="4:17" x14ac:dyDescent="0.35">
      <c r="D26" s="9"/>
      <c r="E26" s="9"/>
      <c r="F26" s="9"/>
      <c r="G26" s="18"/>
      <c r="H26" s="18" t="str">
        <f t="shared" si="3"/>
        <v/>
      </c>
      <c r="I26" s="18" t="str">
        <f t="shared" si="3"/>
        <v/>
      </c>
      <c r="J26" s="18" t="str">
        <f t="shared" si="3"/>
        <v/>
      </c>
      <c r="K26" s="18" t="str">
        <f t="shared" si="3"/>
        <v/>
      </c>
      <c r="L26" s="18" t="str">
        <f t="shared" si="3"/>
        <v/>
      </c>
      <c r="M26" s="18" t="str">
        <f t="shared" si="3"/>
        <v/>
      </c>
      <c r="N26" s="18" t="str">
        <f t="shared" si="3"/>
        <v/>
      </c>
      <c r="O26" s="18" t="str">
        <f t="shared" si="3"/>
        <v/>
      </c>
      <c r="P26" s="18" t="str">
        <f t="shared" si="3"/>
        <v/>
      </c>
      <c r="Q26" s="18" t="str">
        <f t="shared" si="3"/>
        <v/>
      </c>
    </row>
    <row r="27" spans="4:17" x14ac:dyDescent="0.35">
      <c r="D27" s="9"/>
      <c r="E27" s="9"/>
      <c r="F27" s="9"/>
      <c r="G27" s="18"/>
      <c r="H27" s="18" t="str">
        <f t="shared" si="3"/>
        <v/>
      </c>
      <c r="I27" s="18" t="str">
        <f t="shared" si="3"/>
        <v/>
      </c>
      <c r="J27" s="18" t="str">
        <f t="shared" si="3"/>
        <v/>
      </c>
      <c r="K27" s="18" t="str">
        <f t="shared" si="3"/>
        <v/>
      </c>
      <c r="L27" s="18" t="str">
        <f t="shared" si="3"/>
        <v/>
      </c>
      <c r="M27" s="18" t="str">
        <f t="shared" si="3"/>
        <v/>
      </c>
      <c r="N27" s="18" t="str">
        <f t="shared" si="3"/>
        <v/>
      </c>
      <c r="O27" s="18" t="str">
        <f t="shared" si="3"/>
        <v/>
      </c>
      <c r="P27" s="18" t="str">
        <f t="shared" si="3"/>
        <v/>
      </c>
      <c r="Q27" s="18" t="str">
        <f t="shared" si="3"/>
        <v/>
      </c>
    </row>
    <row r="28" spans="4:17" x14ac:dyDescent="0.35">
      <c r="D28" s="9"/>
      <c r="E28" s="9"/>
      <c r="F28" s="9"/>
      <c r="G28" s="18"/>
      <c r="H28" s="18" t="str">
        <f t="shared" si="3"/>
        <v/>
      </c>
      <c r="I28" s="18" t="str">
        <f t="shared" si="3"/>
        <v/>
      </c>
      <c r="J28" s="18" t="str">
        <f t="shared" si="3"/>
        <v/>
      </c>
      <c r="K28" s="18" t="str">
        <f t="shared" si="3"/>
        <v/>
      </c>
      <c r="L28" s="18" t="str">
        <f t="shared" si="3"/>
        <v/>
      </c>
      <c r="M28" s="18" t="str">
        <f t="shared" si="3"/>
        <v/>
      </c>
      <c r="N28" s="18" t="str">
        <f t="shared" si="3"/>
        <v/>
      </c>
      <c r="O28" s="18" t="str">
        <f t="shared" si="3"/>
        <v/>
      </c>
      <c r="P28" s="18" t="str">
        <f t="shared" si="3"/>
        <v/>
      </c>
      <c r="Q28" s="18" t="str">
        <f t="shared" si="3"/>
        <v/>
      </c>
    </row>
    <row r="29" spans="4:17" x14ac:dyDescent="0.35">
      <c r="D29" s="9"/>
      <c r="E29" s="9"/>
      <c r="F29" s="9"/>
      <c r="G29" s="18"/>
      <c r="H29" s="18" t="str">
        <f t="shared" si="3"/>
        <v/>
      </c>
      <c r="I29" s="18" t="str">
        <f t="shared" si="3"/>
        <v/>
      </c>
      <c r="J29" s="18" t="str">
        <f t="shared" si="3"/>
        <v/>
      </c>
      <c r="K29" s="18" t="str">
        <f t="shared" si="3"/>
        <v/>
      </c>
      <c r="L29" s="18" t="str">
        <f t="shared" si="3"/>
        <v/>
      </c>
      <c r="M29" s="18" t="str">
        <f t="shared" si="3"/>
        <v/>
      </c>
      <c r="N29" s="18" t="str">
        <f t="shared" si="3"/>
        <v/>
      </c>
      <c r="O29" s="18" t="str">
        <f t="shared" si="3"/>
        <v/>
      </c>
      <c r="P29" s="18" t="str">
        <f t="shared" si="3"/>
        <v/>
      </c>
      <c r="Q29" s="18" t="str">
        <f t="shared" si="3"/>
        <v/>
      </c>
    </row>
    <row r="30" spans="4:17" x14ac:dyDescent="0.35">
      <c r="D30" s="9"/>
      <c r="E30" s="9"/>
      <c r="F30" s="9"/>
      <c r="G30" s="18"/>
      <c r="H30" s="18" t="str">
        <f t="shared" si="3"/>
        <v/>
      </c>
      <c r="I30" s="18" t="str">
        <f t="shared" si="3"/>
        <v/>
      </c>
      <c r="J30" s="18" t="str">
        <f t="shared" si="3"/>
        <v/>
      </c>
      <c r="K30" s="18" t="str">
        <f t="shared" si="3"/>
        <v/>
      </c>
      <c r="L30" s="18" t="str">
        <f t="shared" si="3"/>
        <v/>
      </c>
      <c r="M30" s="18" t="str">
        <f t="shared" si="3"/>
        <v/>
      </c>
      <c r="N30" s="18" t="str">
        <f t="shared" si="3"/>
        <v/>
      </c>
      <c r="O30" s="18" t="str">
        <f t="shared" si="3"/>
        <v/>
      </c>
      <c r="P30" s="18" t="str">
        <f t="shared" si="3"/>
        <v/>
      </c>
      <c r="Q30" s="18" t="str">
        <f t="shared" si="3"/>
        <v/>
      </c>
    </row>
    <row r="31" spans="4:17" x14ac:dyDescent="0.35">
      <c r="D31" s="9"/>
      <c r="E31" s="9"/>
      <c r="F31" s="9"/>
      <c r="G31" s="18"/>
      <c r="H31" s="18" t="str">
        <f t="shared" si="3"/>
        <v/>
      </c>
      <c r="I31" s="18" t="str">
        <f t="shared" si="3"/>
        <v/>
      </c>
      <c r="J31" s="18" t="str">
        <f t="shared" si="3"/>
        <v/>
      </c>
      <c r="K31" s="18" t="str">
        <f t="shared" si="3"/>
        <v/>
      </c>
      <c r="L31" s="18" t="str">
        <f t="shared" si="3"/>
        <v/>
      </c>
      <c r="M31" s="18" t="str">
        <f t="shared" si="3"/>
        <v/>
      </c>
      <c r="N31" s="18" t="str">
        <f t="shared" si="3"/>
        <v/>
      </c>
      <c r="O31" s="18" t="str">
        <f t="shared" si="3"/>
        <v/>
      </c>
      <c r="P31" s="18" t="str">
        <f t="shared" si="3"/>
        <v/>
      </c>
      <c r="Q31" s="18" t="str">
        <f t="shared" si="3"/>
        <v/>
      </c>
    </row>
    <row r="32" spans="4:17" x14ac:dyDescent="0.35">
      <c r="D32" s="9"/>
      <c r="E32" s="9"/>
      <c r="F32" s="9"/>
      <c r="G32" s="18"/>
      <c r="H32" s="18" t="str">
        <f t="shared" si="3"/>
        <v/>
      </c>
      <c r="I32" s="18" t="str">
        <f t="shared" si="3"/>
        <v/>
      </c>
      <c r="J32" s="18" t="str">
        <f t="shared" si="3"/>
        <v/>
      </c>
      <c r="K32" s="18" t="str">
        <f t="shared" si="3"/>
        <v/>
      </c>
      <c r="L32" s="18" t="str">
        <f t="shared" si="3"/>
        <v/>
      </c>
      <c r="M32" s="18" t="str">
        <f t="shared" si="3"/>
        <v/>
      </c>
      <c r="N32" s="18" t="str">
        <f t="shared" si="3"/>
        <v/>
      </c>
      <c r="O32" s="18" t="str">
        <f t="shared" si="3"/>
        <v/>
      </c>
      <c r="P32" s="18" t="str">
        <f t="shared" si="3"/>
        <v/>
      </c>
      <c r="Q32" s="18" t="str">
        <f t="shared" si="3"/>
        <v/>
      </c>
    </row>
    <row r="33" spans="4:17" x14ac:dyDescent="0.35">
      <c r="D33" s="9"/>
      <c r="E33" s="9"/>
      <c r="F33" s="9"/>
      <c r="G33" s="18"/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L33" s="18" t="str">
        <f t="shared" si="3"/>
        <v/>
      </c>
      <c r="M33" s="18" t="str">
        <f t="shared" si="3"/>
        <v/>
      </c>
      <c r="N33" s="18" t="str">
        <f t="shared" si="3"/>
        <v/>
      </c>
      <c r="O33" s="18" t="str">
        <f t="shared" si="3"/>
        <v/>
      </c>
      <c r="P33" s="18" t="str">
        <f t="shared" si="3"/>
        <v/>
      </c>
      <c r="Q33" s="18" t="str">
        <f t="shared" si="3"/>
        <v/>
      </c>
    </row>
    <row r="34" spans="4:17" x14ac:dyDescent="0.35">
      <c r="D34" s="9"/>
      <c r="E34" s="9"/>
      <c r="F34" s="9"/>
      <c r="G34" s="18"/>
      <c r="H34" s="18" t="str">
        <f t="shared" si="3"/>
        <v/>
      </c>
      <c r="I34" s="18" t="str">
        <f t="shared" si="3"/>
        <v/>
      </c>
      <c r="J34" s="18" t="str">
        <f t="shared" si="3"/>
        <v/>
      </c>
      <c r="K34" s="18" t="str">
        <f t="shared" si="3"/>
        <v/>
      </c>
      <c r="L34" s="18" t="str">
        <f t="shared" si="3"/>
        <v/>
      </c>
      <c r="M34" s="18" t="str">
        <f t="shared" si="3"/>
        <v/>
      </c>
      <c r="N34" s="18" t="str">
        <f t="shared" si="3"/>
        <v/>
      </c>
      <c r="O34" s="18" t="str">
        <f t="shared" si="3"/>
        <v/>
      </c>
      <c r="P34" s="18" t="str">
        <f t="shared" si="3"/>
        <v/>
      </c>
      <c r="Q34" s="18" t="str">
        <f t="shared" si="3"/>
        <v/>
      </c>
    </row>
    <row r="35" spans="4:17" x14ac:dyDescent="0.35">
      <c r="D35" s="9"/>
      <c r="E35" s="9"/>
      <c r="F35" s="9"/>
      <c r="G35" s="18"/>
      <c r="H35" s="18" t="str">
        <f t="shared" si="3"/>
        <v/>
      </c>
      <c r="I35" s="18" t="str">
        <f t="shared" si="3"/>
        <v/>
      </c>
      <c r="J35" s="18" t="str">
        <f t="shared" si="3"/>
        <v/>
      </c>
      <c r="K35" s="18" t="str">
        <f t="shared" si="3"/>
        <v/>
      </c>
      <c r="L35" s="18" t="str">
        <f t="shared" si="3"/>
        <v/>
      </c>
      <c r="M35" s="18" t="str">
        <f t="shared" si="3"/>
        <v/>
      </c>
      <c r="N35" s="18" t="str">
        <f t="shared" si="3"/>
        <v/>
      </c>
      <c r="O35" s="18" t="str">
        <f t="shared" si="3"/>
        <v/>
      </c>
      <c r="P35" s="18" t="str">
        <f t="shared" si="3"/>
        <v/>
      </c>
      <c r="Q35" s="18" t="str">
        <f t="shared" si="3"/>
        <v/>
      </c>
    </row>
    <row r="36" spans="4:17" x14ac:dyDescent="0.35">
      <c r="D36" s="9"/>
      <c r="E36" s="9"/>
      <c r="F36" s="9"/>
      <c r="G36" s="18"/>
      <c r="H36" s="18" t="str">
        <f t="shared" si="3"/>
        <v/>
      </c>
      <c r="I36" s="18" t="str">
        <f t="shared" si="3"/>
        <v/>
      </c>
      <c r="J36" s="18" t="str">
        <f t="shared" si="3"/>
        <v/>
      </c>
      <c r="K36" s="18" t="str">
        <f t="shared" si="3"/>
        <v/>
      </c>
      <c r="L36" s="18" t="str">
        <f t="shared" si="3"/>
        <v/>
      </c>
      <c r="M36" s="18" t="str">
        <f t="shared" si="3"/>
        <v/>
      </c>
      <c r="N36" s="18" t="str">
        <f t="shared" si="3"/>
        <v/>
      </c>
      <c r="O36" s="18" t="str">
        <f t="shared" si="3"/>
        <v/>
      </c>
      <c r="P36" s="18" t="str">
        <f t="shared" si="3"/>
        <v/>
      </c>
      <c r="Q36" s="18" t="str">
        <f t="shared" si="3"/>
        <v/>
      </c>
    </row>
    <row r="37" spans="4:17" x14ac:dyDescent="0.35">
      <c r="D37" s="9"/>
      <c r="E37" s="9"/>
      <c r="F37" s="9"/>
      <c r="G37" s="18"/>
      <c r="H37" s="18" t="str">
        <f t="shared" si="3"/>
        <v/>
      </c>
      <c r="I37" s="18" t="str">
        <f t="shared" si="3"/>
        <v/>
      </c>
      <c r="J37" s="18" t="str">
        <f t="shared" si="3"/>
        <v/>
      </c>
      <c r="K37" s="18" t="str">
        <f t="shared" si="3"/>
        <v/>
      </c>
      <c r="L37" s="18" t="str">
        <f t="shared" si="3"/>
        <v/>
      </c>
      <c r="M37" s="18" t="str">
        <f t="shared" si="3"/>
        <v/>
      </c>
      <c r="N37" s="18" t="str">
        <f t="shared" si="3"/>
        <v/>
      </c>
      <c r="O37" s="18" t="str">
        <f t="shared" si="3"/>
        <v/>
      </c>
      <c r="P37" s="18" t="str">
        <f t="shared" si="3"/>
        <v/>
      </c>
      <c r="Q37" s="18" t="str">
        <f t="shared" si="3"/>
        <v/>
      </c>
    </row>
    <row r="38" spans="4:17" x14ac:dyDescent="0.35">
      <c r="D38" s="9"/>
      <c r="E38" s="9"/>
      <c r="F38" s="9"/>
      <c r="G38" s="18"/>
      <c r="H38" s="18" t="str">
        <f t="shared" si="3"/>
        <v/>
      </c>
      <c r="I38" s="18" t="str">
        <f t="shared" si="3"/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</row>
    <row r="39" spans="4:17" x14ac:dyDescent="0.35">
      <c r="D39" s="9"/>
      <c r="E39" s="9"/>
      <c r="F39" s="9"/>
      <c r="G39" s="18"/>
      <c r="H39" s="18" t="str">
        <f t="shared" ref="H39:Q50" si="4">IF(G39="","",G39)</f>
        <v/>
      </c>
      <c r="I39" s="18" t="str">
        <f t="shared" si="4"/>
        <v/>
      </c>
      <c r="J39" s="18" t="str">
        <f t="shared" si="4"/>
        <v/>
      </c>
      <c r="K39" s="18" t="str">
        <f t="shared" si="4"/>
        <v/>
      </c>
      <c r="L39" s="18" t="str">
        <f t="shared" si="4"/>
        <v/>
      </c>
      <c r="M39" s="18" t="str">
        <f t="shared" si="4"/>
        <v/>
      </c>
      <c r="N39" s="18" t="str">
        <f t="shared" si="4"/>
        <v/>
      </c>
      <c r="O39" s="18" t="str">
        <f t="shared" si="4"/>
        <v/>
      </c>
      <c r="P39" s="18" t="str">
        <f t="shared" si="4"/>
        <v/>
      </c>
      <c r="Q39" s="18" t="str">
        <f t="shared" si="4"/>
        <v/>
      </c>
    </row>
    <row r="40" spans="4:17" x14ac:dyDescent="0.35">
      <c r="D40" s="9"/>
      <c r="E40" s="9"/>
      <c r="F40" s="9"/>
      <c r="G40" s="18"/>
      <c r="H40" s="18" t="str">
        <f t="shared" si="4"/>
        <v/>
      </c>
      <c r="I40" s="18" t="str">
        <f t="shared" si="4"/>
        <v/>
      </c>
      <c r="J40" s="18" t="str">
        <f t="shared" si="4"/>
        <v/>
      </c>
      <c r="K40" s="18" t="str">
        <f t="shared" si="4"/>
        <v/>
      </c>
      <c r="L40" s="18" t="str">
        <f t="shared" si="4"/>
        <v/>
      </c>
      <c r="M40" s="18" t="str">
        <f t="shared" si="4"/>
        <v/>
      </c>
      <c r="N40" s="18" t="str">
        <f t="shared" si="4"/>
        <v/>
      </c>
      <c r="O40" s="18" t="str">
        <f t="shared" si="4"/>
        <v/>
      </c>
      <c r="P40" s="18" t="str">
        <f t="shared" si="4"/>
        <v/>
      </c>
      <c r="Q40" s="18" t="str">
        <f t="shared" si="4"/>
        <v/>
      </c>
    </row>
    <row r="41" spans="4:17" x14ac:dyDescent="0.35">
      <c r="D41" s="9"/>
      <c r="E41" s="9"/>
      <c r="F41" s="9"/>
      <c r="G41" s="18"/>
      <c r="H41" s="18" t="str">
        <f t="shared" si="4"/>
        <v/>
      </c>
      <c r="I41" s="18" t="str">
        <f t="shared" si="4"/>
        <v/>
      </c>
      <c r="J41" s="18" t="str">
        <f t="shared" si="4"/>
        <v/>
      </c>
      <c r="K41" s="18" t="str">
        <f t="shared" si="4"/>
        <v/>
      </c>
      <c r="L41" s="18" t="str">
        <f t="shared" si="4"/>
        <v/>
      </c>
      <c r="M41" s="18" t="str">
        <f t="shared" si="4"/>
        <v/>
      </c>
      <c r="N41" s="18" t="str">
        <f t="shared" si="4"/>
        <v/>
      </c>
      <c r="O41" s="18" t="str">
        <f t="shared" si="4"/>
        <v/>
      </c>
      <c r="P41" s="18" t="str">
        <f t="shared" si="4"/>
        <v/>
      </c>
      <c r="Q41" s="18" t="str">
        <f t="shared" si="4"/>
        <v/>
      </c>
    </row>
    <row r="42" spans="4:17" x14ac:dyDescent="0.35">
      <c r="D42" s="9"/>
      <c r="E42" s="9"/>
      <c r="F42" s="9"/>
      <c r="G42" s="18"/>
      <c r="H42" s="18" t="str">
        <f t="shared" si="4"/>
        <v/>
      </c>
      <c r="I42" s="18" t="str">
        <f t="shared" si="4"/>
        <v/>
      </c>
      <c r="J42" s="18" t="str">
        <f t="shared" si="4"/>
        <v/>
      </c>
      <c r="K42" s="18" t="str">
        <f t="shared" si="4"/>
        <v/>
      </c>
      <c r="L42" s="18" t="str">
        <f t="shared" si="4"/>
        <v/>
      </c>
      <c r="M42" s="18" t="str">
        <f t="shared" si="4"/>
        <v/>
      </c>
      <c r="N42" s="18" t="str">
        <f t="shared" si="4"/>
        <v/>
      </c>
      <c r="O42" s="18" t="str">
        <f t="shared" si="4"/>
        <v/>
      </c>
      <c r="P42" s="18" t="str">
        <f t="shared" si="4"/>
        <v/>
      </c>
      <c r="Q42" s="18" t="str">
        <f t="shared" si="4"/>
        <v/>
      </c>
    </row>
    <row r="43" spans="4:17" x14ac:dyDescent="0.35">
      <c r="D43" s="9"/>
      <c r="E43" s="9"/>
      <c r="F43" s="9"/>
      <c r="G43" s="18"/>
      <c r="H43" s="18" t="str">
        <f t="shared" si="4"/>
        <v/>
      </c>
      <c r="I43" s="18" t="str">
        <f t="shared" si="4"/>
        <v/>
      </c>
      <c r="J43" s="18" t="str">
        <f t="shared" si="4"/>
        <v/>
      </c>
      <c r="K43" s="18" t="str">
        <f t="shared" si="4"/>
        <v/>
      </c>
      <c r="L43" s="18" t="str">
        <f t="shared" si="4"/>
        <v/>
      </c>
      <c r="M43" s="18" t="str">
        <f t="shared" si="4"/>
        <v/>
      </c>
      <c r="N43" s="18" t="str">
        <f t="shared" si="4"/>
        <v/>
      </c>
      <c r="O43" s="18" t="str">
        <f t="shared" si="4"/>
        <v/>
      </c>
      <c r="P43" s="18" t="str">
        <f t="shared" si="4"/>
        <v/>
      </c>
      <c r="Q43" s="18" t="str">
        <f t="shared" si="4"/>
        <v/>
      </c>
    </row>
    <row r="44" spans="4:17" x14ac:dyDescent="0.35">
      <c r="D44" s="9"/>
      <c r="E44" s="9"/>
      <c r="F44" s="9"/>
      <c r="G44" s="18"/>
      <c r="H44" s="18" t="str">
        <f t="shared" si="4"/>
        <v/>
      </c>
      <c r="I44" s="18" t="str">
        <f t="shared" si="4"/>
        <v/>
      </c>
      <c r="J44" s="18" t="str">
        <f t="shared" si="4"/>
        <v/>
      </c>
      <c r="K44" s="18" t="str">
        <f t="shared" si="4"/>
        <v/>
      </c>
      <c r="L44" s="18" t="str">
        <f t="shared" si="4"/>
        <v/>
      </c>
      <c r="M44" s="18" t="str">
        <f t="shared" si="4"/>
        <v/>
      </c>
      <c r="N44" s="18" t="str">
        <f t="shared" si="4"/>
        <v/>
      </c>
      <c r="O44" s="18" t="str">
        <f t="shared" si="4"/>
        <v/>
      </c>
      <c r="P44" s="18" t="str">
        <f t="shared" si="4"/>
        <v/>
      </c>
      <c r="Q44" s="18" t="str">
        <f t="shared" si="4"/>
        <v/>
      </c>
    </row>
    <row r="45" spans="4:17" x14ac:dyDescent="0.35">
      <c r="D45" s="9"/>
      <c r="E45" s="9"/>
      <c r="F45" s="9"/>
      <c r="G45" s="18"/>
      <c r="H45" s="18" t="str">
        <f t="shared" si="4"/>
        <v/>
      </c>
      <c r="I45" s="18" t="str">
        <f t="shared" si="4"/>
        <v/>
      </c>
      <c r="J45" s="18" t="str">
        <f t="shared" si="4"/>
        <v/>
      </c>
      <c r="K45" s="18" t="str">
        <f t="shared" si="4"/>
        <v/>
      </c>
      <c r="L45" s="18" t="str">
        <f t="shared" si="4"/>
        <v/>
      </c>
      <c r="M45" s="18" t="str">
        <f t="shared" si="4"/>
        <v/>
      </c>
      <c r="N45" s="18" t="str">
        <f t="shared" si="4"/>
        <v/>
      </c>
      <c r="O45" s="18" t="str">
        <f t="shared" si="4"/>
        <v/>
      </c>
      <c r="P45" s="18" t="str">
        <f t="shared" si="4"/>
        <v/>
      </c>
      <c r="Q45" s="18" t="str">
        <f t="shared" si="4"/>
        <v/>
      </c>
    </row>
    <row r="46" spans="4:17" x14ac:dyDescent="0.35">
      <c r="D46" s="9"/>
      <c r="E46" s="9"/>
      <c r="F46" s="9"/>
      <c r="G46" s="18"/>
      <c r="H46" s="18" t="str">
        <f t="shared" si="4"/>
        <v/>
      </c>
      <c r="I46" s="18" t="str">
        <f t="shared" si="4"/>
        <v/>
      </c>
      <c r="J46" s="18" t="str">
        <f t="shared" si="4"/>
        <v/>
      </c>
      <c r="K46" s="18" t="str">
        <f t="shared" si="4"/>
        <v/>
      </c>
      <c r="L46" s="18" t="str">
        <f t="shared" si="4"/>
        <v/>
      </c>
      <c r="M46" s="18" t="str">
        <f t="shared" si="4"/>
        <v/>
      </c>
      <c r="N46" s="18" t="str">
        <f t="shared" si="4"/>
        <v/>
      </c>
      <c r="O46" s="18" t="str">
        <f t="shared" si="4"/>
        <v/>
      </c>
      <c r="P46" s="18" t="str">
        <f t="shared" si="4"/>
        <v/>
      </c>
      <c r="Q46" s="18" t="str">
        <f t="shared" si="4"/>
        <v/>
      </c>
    </row>
    <row r="47" spans="4:17" x14ac:dyDescent="0.35">
      <c r="D47" s="9"/>
      <c r="E47" s="9"/>
      <c r="F47" s="9"/>
      <c r="G47" s="18"/>
      <c r="H47" s="18" t="str">
        <f t="shared" si="4"/>
        <v/>
      </c>
      <c r="I47" s="18" t="str">
        <f t="shared" si="4"/>
        <v/>
      </c>
      <c r="J47" s="18" t="str">
        <f t="shared" si="4"/>
        <v/>
      </c>
      <c r="K47" s="18" t="str">
        <f t="shared" si="4"/>
        <v/>
      </c>
      <c r="L47" s="18" t="str">
        <f t="shared" si="4"/>
        <v/>
      </c>
      <c r="M47" s="18" t="str">
        <f t="shared" si="4"/>
        <v/>
      </c>
      <c r="N47" s="18" t="str">
        <f t="shared" si="4"/>
        <v/>
      </c>
      <c r="O47" s="18" t="str">
        <f t="shared" si="4"/>
        <v/>
      </c>
      <c r="P47" s="18" t="str">
        <f t="shared" si="4"/>
        <v/>
      </c>
      <c r="Q47" s="18" t="str">
        <f t="shared" si="4"/>
        <v/>
      </c>
    </row>
    <row r="48" spans="4:17" x14ac:dyDescent="0.35">
      <c r="D48" s="9"/>
      <c r="E48" s="9"/>
      <c r="F48" s="9"/>
      <c r="G48" s="18"/>
      <c r="H48" s="18" t="str">
        <f t="shared" si="4"/>
        <v/>
      </c>
      <c r="I48" s="18" t="str">
        <f t="shared" si="4"/>
        <v/>
      </c>
      <c r="J48" s="18" t="str">
        <f t="shared" si="4"/>
        <v/>
      </c>
      <c r="K48" s="18" t="str">
        <f t="shared" si="4"/>
        <v/>
      </c>
      <c r="L48" s="18" t="str">
        <f t="shared" si="4"/>
        <v/>
      </c>
      <c r="M48" s="18" t="str">
        <f t="shared" si="4"/>
        <v/>
      </c>
      <c r="N48" s="18" t="str">
        <f t="shared" si="4"/>
        <v/>
      </c>
      <c r="O48" s="18" t="str">
        <f t="shared" si="4"/>
        <v/>
      </c>
      <c r="P48" s="18" t="str">
        <f t="shared" si="4"/>
        <v/>
      </c>
      <c r="Q48" s="18" t="str">
        <f t="shared" si="4"/>
        <v/>
      </c>
    </row>
    <row r="49" spans="4:17" x14ac:dyDescent="0.35">
      <c r="D49" s="9"/>
      <c r="E49" s="9"/>
      <c r="F49" s="9"/>
      <c r="G49" s="18"/>
      <c r="H49" s="18" t="str">
        <f t="shared" si="4"/>
        <v/>
      </c>
      <c r="I49" s="18" t="str">
        <f t="shared" si="4"/>
        <v/>
      </c>
      <c r="J49" s="18" t="str">
        <f t="shared" si="4"/>
        <v/>
      </c>
      <c r="K49" s="18" t="str">
        <f t="shared" si="4"/>
        <v/>
      </c>
      <c r="L49" s="18" t="str">
        <f t="shared" si="4"/>
        <v/>
      </c>
      <c r="M49" s="18" t="str">
        <f t="shared" si="4"/>
        <v/>
      </c>
      <c r="N49" s="18" t="str">
        <f t="shared" si="4"/>
        <v/>
      </c>
      <c r="O49" s="18" t="str">
        <f t="shared" si="4"/>
        <v/>
      </c>
      <c r="P49" s="18" t="str">
        <f t="shared" si="4"/>
        <v/>
      </c>
      <c r="Q49" s="18" t="str">
        <f t="shared" si="4"/>
        <v/>
      </c>
    </row>
    <row r="50" spans="4:17" ht="15" thickBot="1" x14ac:dyDescent="0.4">
      <c r="D50" s="10"/>
      <c r="E50" s="10"/>
      <c r="F50" s="10"/>
      <c r="G50" s="53"/>
      <c r="H50" s="53" t="str">
        <f t="shared" si="4"/>
        <v/>
      </c>
      <c r="I50" s="53" t="str">
        <f t="shared" si="4"/>
        <v/>
      </c>
      <c r="J50" s="53" t="str">
        <f t="shared" si="4"/>
        <v/>
      </c>
      <c r="K50" s="53" t="str">
        <f t="shared" si="4"/>
        <v/>
      </c>
      <c r="L50" s="53" t="str">
        <f t="shared" si="4"/>
        <v/>
      </c>
      <c r="M50" s="53" t="str">
        <f t="shared" si="4"/>
        <v/>
      </c>
      <c r="N50" s="53" t="str">
        <f t="shared" si="4"/>
        <v/>
      </c>
      <c r="O50" s="53" t="str">
        <f t="shared" si="4"/>
        <v/>
      </c>
      <c r="P50" s="53" t="str">
        <f t="shared" si="4"/>
        <v/>
      </c>
      <c r="Q50" s="53" t="str">
        <f t="shared" si="4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tabSelected="1" workbookViewId="0">
      <selection activeCell="D8" sqref="D8:Q8"/>
    </sheetView>
  </sheetViews>
  <sheetFormatPr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248</v>
      </c>
    </row>
    <row r="3" spans="2:17" ht="15" thickBot="1" x14ac:dyDescent="0.4">
      <c r="D3" s="38" t="str">
        <f>JESA_UploadTable("sales_plan",D4:Q50)</f>
        <v>sales_plan Saved! @08:55:06</v>
      </c>
      <c r="E3" s="38"/>
    </row>
    <row r="4" spans="2:17" ht="30" customHeight="1" thickBot="1" x14ac:dyDescent="0.4">
      <c r="D4" s="71" t="s">
        <v>166</v>
      </c>
      <c r="E4" s="71" t="s">
        <v>24</v>
      </c>
      <c r="F4" s="71" t="s">
        <v>17</v>
      </c>
      <c r="G4" s="93" t="s">
        <v>37</v>
      </c>
      <c r="H4" s="93" t="s">
        <v>38</v>
      </c>
      <c r="I4" s="93" t="s">
        <v>39</v>
      </c>
      <c r="J4" s="93" t="s">
        <v>40</v>
      </c>
      <c r="K4" s="93" t="s">
        <v>41</v>
      </c>
      <c r="L4" s="93" t="s">
        <v>42</v>
      </c>
      <c r="M4" s="93" t="s">
        <v>43</v>
      </c>
      <c r="N4" s="93" t="s">
        <v>44</v>
      </c>
      <c r="O4" s="93" t="s">
        <v>45</v>
      </c>
      <c r="P4" s="93" t="s">
        <v>46</v>
      </c>
      <c r="Q4" s="93" t="s">
        <v>47</v>
      </c>
    </row>
    <row r="5" spans="2:17" x14ac:dyDescent="0.35">
      <c r="D5" s="8" t="s">
        <v>198</v>
      </c>
      <c r="E5" s="8" t="s">
        <v>35</v>
      </c>
      <c r="F5" s="8" t="s">
        <v>189</v>
      </c>
      <c r="G5" s="17">
        <v>0</v>
      </c>
      <c r="H5" s="17">
        <f t="shared" ref="H5:H6" si="0">IF(G5="","",G5)</f>
        <v>0</v>
      </c>
      <c r="I5" s="17">
        <f t="shared" ref="I5:I6" si="1">IF(H5="","",H5)</f>
        <v>0</v>
      </c>
      <c r="J5" s="17">
        <f t="shared" ref="J5:J6" si="2">IF(I5="","",I5)</f>
        <v>0</v>
      </c>
      <c r="K5" s="17">
        <f t="shared" ref="K5:K6" si="3">IF(J5="","",J5)</f>
        <v>0</v>
      </c>
      <c r="L5" s="17">
        <f t="shared" ref="L5:L6" si="4">IF(K5="","",K5)</f>
        <v>0</v>
      </c>
      <c r="M5" s="17">
        <f t="shared" ref="M5:M6" si="5">IF(L5="","",L5)</f>
        <v>0</v>
      </c>
      <c r="N5" s="17">
        <f t="shared" ref="N5:N6" si="6">IF(M5="","",M5)</f>
        <v>0</v>
      </c>
      <c r="O5" s="17">
        <f t="shared" ref="O5:O6" si="7">IF(N5="","",N5)</f>
        <v>0</v>
      </c>
      <c r="P5" s="17">
        <f t="shared" ref="P5:P6" si="8">IF(O5="","",O5)</f>
        <v>0</v>
      </c>
      <c r="Q5" s="17">
        <f t="shared" ref="Q5:Q6" si="9">IF(P5="","",P5)</f>
        <v>0</v>
      </c>
    </row>
    <row r="6" spans="2:17" x14ac:dyDescent="0.35">
      <c r="D6" s="9" t="s">
        <v>250</v>
      </c>
      <c r="E6" s="9" t="s">
        <v>144</v>
      </c>
      <c r="F6" s="9" t="s">
        <v>142</v>
      </c>
      <c r="G6" s="18">
        <v>1</v>
      </c>
      <c r="H6" s="18">
        <f t="shared" si="0"/>
        <v>1</v>
      </c>
      <c r="I6" s="18">
        <f t="shared" si="1"/>
        <v>1</v>
      </c>
      <c r="J6" s="18">
        <f t="shared" si="2"/>
        <v>1</v>
      </c>
      <c r="K6" s="18">
        <f t="shared" si="3"/>
        <v>1</v>
      </c>
      <c r="L6" s="18">
        <f t="shared" si="4"/>
        <v>1</v>
      </c>
      <c r="M6" s="18">
        <f t="shared" si="5"/>
        <v>1</v>
      </c>
      <c r="N6" s="18">
        <f t="shared" si="6"/>
        <v>1</v>
      </c>
      <c r="O6" s="18">
        <f t="shared" si="7"/>
        <v>1</v>
      </c>
      <c r="P6" s="18">
        <f t="shared" si="8"/>
        <v>1</v>
      </c>
      <c r="Q6" s="18">
        <f t="shared" si="9"/>
        <v>1</v>
      </c>
    </row>
    <row r="7" spans="2:17" x14ac:dyDescent="0.35">
      <c r="D7" s="9" t="s">
        <v>251</v>
      </c>
      <c r="E7" s="9" t="s">
        <v>144</v>
      </c>
      <c r="F7" s="9" t="s">
        <v>142</v>
      </c>
      <c r="G7" s="18">
        <v>1</v>
      </c>
      <c r="H7" s="18">
        <f t="shared" ref="H7:Q22" si="10">IF(G7="","",G7)</f>
        <v>1</v>
      </c>
      <c r="I7" s="18">
        <f t="shared" si="10"/>
        <v>1</v>
      </c>
      <c r="J7" s="18">
        <f t="shared" si="10"/>
        <v>1</v>
      </c>
      <c r="K7" s="18">
        <f t="shared" si="10"/>
        <v>1</v>
      </c>
      <c r="L7" s="18">
        <f t="shared" si="10"/>
        <v>1</v>
      </c>
      <c r="M7" s="18">
        <f t="shared" si="10"/>
        <v>1</v>
      </c>
      <c r="N7" s="18">
        <f t="shared" si="10"/>
        <v>1</v>
      </c>
      <c r="O7" s="18">
        <f t="shared" si="10"/>
        <v>1</v>
      </c>
      <c r="P7" s="18">
        <f t="shared" si="10"/>
        <v>1</v>
      </c>
      <c r="Q7" s="18">
        <f t="shared" si="10"/>
        <v>1</v>
      </c>
    </row>
    <row r="8" spans="2:17" x14ac:dyDescent="0.35">
      <c r="D8" s="9"/>
      <c r="E8" s="9"/>
      <c r="F8" s="9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</row>
    <row r="9" spans="2:17" x14ac:dyDescent="0.35">
      <c r="D9" s="9"/>
      <c r="E9" s="9"/>
      <c r="F9" s="9"/>
      <c r="G9" s="18"/>
      <c r="H9" s="18" t="str">
        <f t="shared" si="10"/>
        <v/>
      </c>
      <c r="I9" s="18" t="str">
        <f t="shared" si="10"/>
        <v/>
      </c>
      <c r="J9" s="18" t="str">
        <f t="shared" si="10"/>
        <v/>
      </c>
      <c r="K9" s="18" t="str">
        <f t="shared" si="10"/>
        <v/>
      </c>
      <c r="L9" s="18" t="str">
        <f t="shared" si="10"/>
        <v/>
      </c>
      <c r="M9" s="18" t="str">
        <f t="shared" si="10"/>
        <v/>
      </c>
      <c r="N9" s="18" t="str">
        <f t="shared" si="10"/>
        <v/>
      </c>
      <c r="O9" s="18" t="str">
        <f t="shared" si="10"/>
        <v/>
      </c>
      <c r="P9" s="18" t="str">
        <f t="shared" si="10"/>
        <v/>
      </c>
      <c r="Q9" s="18" t="str">
        <f t="shared" si="10"/>
        <v/>
      </c>
    </row>
    <row r="10" spans="2:17" x14ac:dyDescent="0.35">
      <c r="D10" s="9"/>
      <c r="E10" s="9"/>
      <c r="F10" s="9"/>
      <c r="G10" s="18"/>
      <c r="H10" s="18" t="str">
        <f t="shared" si="10"/>
        <v/>
      </c>
      <c r="I10" s="18" t="str">
        <f t="shared" si="10"/>
        <v/>
      </c>
      <c r="J10" s="18" t="str">
        <f t="shared" si="10"/>
        <v/>
      </c>
      <c r="K10" s="18" t="str">
        <f t="shared" si="10"/>
        <v/>
      </c>
      <c r="L10" s="18" t="str">
        <f t="shared" si="10"/>
        <v/>
      </c>
      <c r="M10" s="18" t="str">
        <f t="shared" si="10"/>
        <v/>
      </c>
      <c r="N10" s="18" t="str">
        <f t="shared" si="10"/>
        <v/>
      </c>
      <c r="O10" s="18" t="str">
        <f t="shared" si="10"/>
        <v/>
      </c>
      <c r="P10" s="18" t="str">
        <f t="shared" si="10"/>
        <v/>
      </c>
      <c r="Q10" s="18" t="str">
        <f t="shared" si="10"/>
        <v/>
      </c>
    </row>
    <row r="11" spans="2:17" x14ac:dyDescent="0.35">
      <c r="D11" s="9"/>
      <c r="E11" s="9"/>
      <c r="F11" s="9"/>
      <c r="G11" s="18"/>
      <c r="H11" s="18" t="str">
        <f t="shared" si="10"/>
        <v/>
      </c>
      <c r="I11" s="18" t="str">
        <f t="shared" si="10"/>
        <v/>
      </c>
      <c r="J11" s="18" t="str">
        <f t="shared" si="10"/>
        <v/>
      </c>
      <c r="K11" s="18" t="str">
        <f t="shared" si="10"/>
        <v/>
      </c>
      <c r="L11" s="18" t="str">
        <f t="shared" si="10"/>
        <v/>
      </c>
      <c r="M11" s="18" t="str">
        <f t="shared" si="10"/>
        <v/>
      </c>
      <c r="N11" s="18" t="str">
        <f t="shared" si="10"/>
        <v/>
      </c>
      <c r="O11" s="18" t="str">
        <f t="shared" si="10"/>
        <v/>
      </c>
      <c r="P11" s="18" t="str">
        <f t="shared" si="10"/>
        <v/>
      </c>
      <c r="Q11" s="18" t="str">
        <f t="shared" si="10"/>
        <v/>
      </c>
    </row>
    <row r="12" spans="2:17" x14ac:dyDescent="0.35">
      <c r="D12" s="9"/>
      <c r="E12" s="9"/>
      <c r="F12" s="9"/>
      <c r="G12" s="18"/>
      <c r="H12" s="18" t="str">
        <f t="shared" si="10"/>
        <v/>
      </c>
      <c r="I12" s="18" t="str">
        <f t="shared" si="10"/>
        <v/>
      </c>
      <c r="J12" s="18" t="str">
        <f t="shared" si="10"/>
        <v/>
      </c>
      <c r="K12" s="18" t="str">
        <f t="shared" si="10"/>
        <v/>
      </c>
      <c r="L12" s="18" t="str">
        <f t="shared" si="10"/>
        <v/>
      </c>
      <c r="M12" s="18" t="str">
        <f t="shared" si="10"/>
        <v/>
      </c>
      <c r="N12" s="18" t="str">
        <f t="shared" si="10"/>
        <v/>
      </c>
      <c r="O12" s="18" t="str">
        <f t="shared" si="10"/>
        <v/>
      </c>
      <c r="P12" s="18" t="str">
        <f t="shared" si="10"/>
        <v/>
      </c>
      <c r="Q12" s="18" t="str">
        <f t="shared" si="10"/>
        <v/>
      </c>
    </row>
    <row r="13" spans="2:17" x14ac:dyDescent="0.35">
      <c r="D13" s="9"/>
      <c r="E13" s="9"/>
      <c r="F13" s="9"/>
      <c r="G13" s="18"/>
      <c r="H13" s="18" t="str">
        <f t="shared" si="10"/>
        <v/>
      </c>
      <c r="I13" s="18" t="str">
        <f t="shared" si="10"/>
        <v/>
      </c>
      <c r="J13" s="18" t="str">
        <f t="shared" si="10"/>
        <v/>
      </c>
      <c r="K13" s="18" t="str">
        <f t="shared" si="10"/>
        <v/>
      </c>
      <c r="L13" s="18" t="str">
        <f t="shared" si="10"/>
        <v/>
      </c>
      <c r="M13" s="18" t="str">
        <f t="shared" si="10"/>
        <v/>
      </c>
      <c r="N13" s="18" t="str">
        <f t="shared" si="10"/>
        <v/>
      </c>
      <c r="O13" s="18" t="str">
        <f t="shared" si="10"/>
        <v/>
      </c>
      <c r="P13" s="18" t="str">
        <f t="shared" si="10"/>
        <v/>
      </c>
      <c r="Q13" s="18" t="str">
        <f t="shared" si="10"/>
        <v/>
      </c>
    </row>
    <row r="14" spans="2:17" x14ac:dyDescent="0.35">
      <c r="D14" s="9"/>
      <c r="E14" s="9"/>
      <c r="F14" s="9"/>
      <c r="G14" s="18"/>
      <c r="H14" s="18" t="str">
        <f t="shared" si="10"/>
        <v/>
      </c>
      <c r="I14" s="18" t="str">
        <f t="shared" si="10"/>
        <v/>
      </c>
      <c r="J14" s="18" t="str">
        <f t="shared" si="10"/>
        <v/>
      </c>
      <c r="K14" s="18" t="str">
        <f t="shared" si="10"/>
        <v/>
      </c>
      <c r="L14" s="18" t="str">
        <f t="shared" si="10"/>
        <v/>
      </c>
      <c r="M14" s="18" t="str">
        <f t="shared" si="10"/>
        <v/>
      </c>
      <c r="N14" s="18" t="str">
        <f t="shared" si="10"/>
        <v/>
      </c>
      <c r="O14" s="18" t="str">
        <f t="shared" si="10"/>
        <v/>
      </c>
      <c r="P14" s="18" t="str">
        <f t="shared" si="10"/>
        <v/>
      </c>
      <c r="Q14" s="18" t="str">
        <f t="shared" si="10"/>
        <v/>
      </c>
    </row>
    <row r="15" spans="2:17" x14ac:dyDescent="0.35">
      <c r="D15" s="9"/>
      <c r="E15" s="9"/>
      <c r="F15" s="9"/>
      <c r="G15" s="18"/>
      <c r="H15" s="18" t="str">
        <f t="shared" si="10"/>
        <v/>
      </c>
      <c r="I15" s="18" t="str">
        <f t="shared" si="10"/>
        <v/>
      </c>
      <c r="J15" s="18" t="str">
        <f t="shared" si="10"/>
        <v/>
      </c>
      <c r="K15" s="18" t="str">
        <f t="shared" si="10"/>
        <v/>
      </c>
      <c r="L15" s="18" t="str">
        <f t="shared" si="10"/>
        <v/>
      </c>
      <c r="M15" s="18" t="str">
        <f t="shared" si="10"/>
        <v/>
      </c>
      <c r="N15" s="18" t="str">
        <f t="shared" si="10"/>
        <v/>
      </c>
      <c r="O15" s="18" t="str">
        <f t="shared" si="10"/>
        <v/>
      </c>
      <c r="P15" s="18" t="str">
        <f t="shared" si="10"/>
        <v/>
      </c>
      <c r="Q15" s="18" t="str">
        <f t="shared" si="10"/>
        <v/>
      </c>
    </row>
    <row r="16" spans="2:17" x14ac:dyDescent="0.35">
      <c r="D16" s="9"/>
      <c r="E16" s="9"/>
      <c r="F16" s="9"/>
      <c r="G16" s="18"/>
      <c r="H16" s="18" t="str">
        <f t="shared" si="10"/>
        <v/>
      </c>
      <c r="I16" s="18" t="str">
        <f t="shared" si="10"/>
        <v/>
      </c>
      <c r="J16" s="18" t="str">
        <f t="shared" si="10"/>
        <v/>
      </c>
      <c r="K16" s="18" t="str">
        <f t="shared" si="10"/>
        <v/>
      </c>
      <c r="L16" s="18" t="str">
        <f t="shared" si="10"/>
        <v/>
      </c>
      <c r="M16" s="18" t="str">
        <f t="shared" si="10"/>
        <v/>
      </c>
      <c r="N16" s="18" t="str">
        <f t="shared" si="10"/>
        <v/>
      </c>
      <c r="O16" s="18" t="str">
        <f t="shared" si="10"/>
        <v/>
      </c>
      <c r="P16" s="18" t="str">
        <f t="shared" si="10"/>
        <v/>
      </c>
      <c r="Q16" s="18" t="str">
        <f t="shared" si="10"/>
        <v/>
      </c>
    </row>
    <row r="17" spans="4:17" x14ac:dyDescent="0.35">
      <c r="D17" s="9"/>
      <c r="E17" s="9"/>
      <c r="F17" s="9"/>
      <c r="G17" s="18"/>
      <c r="H17" s="18" t="str">
        <f t="shared" si="10"/>
        <v/>
      </c>
      <c r="I17" s="18" t="str">
        <f t="shared" si="10"/>
        <v/>
      </c>
      <c r="J17" s="18" t="str">
        <f t="shared" si="10"/>
        <v/>
      </c>
      <c r="K17" s="18" t="str">
        <f t="shared" si="10"/>
        <v/>
      </c>
      <c r="L17" s="18" t="str">
        <f t="shared" si="10"/>
        <v/>
      </c>
      <c r="M17" s="18" t="str">
        <f t="shared" si="10"/>
        <v/>
      </c>
      <c r="N17" s="18" t="str">
        <f t="shared" si="10"/>
        <v/>
      </c>
      <c r="O17" s="18" t="str">
        <f t="shared" si="10"/>
        <v/>
      </c>
      <c r="P17" s="18" t="str">
        <f t="shared" si="10"/>
        <v/>
      </c>
      <c r="Q17" s="18" t="str">
        <f t="shared" si="10"/>
        <v/>
      </c>
    </row>
    <row r="18" spans="4:17" x14ac:dyDescent="0.35">
      <c r="D18" s="9"/>
      <c r="E18" s="9"/>
      <c r="F18" s="9"/>
      <c r="G18" s="18"/>
      <c r="H18" s="18" t="str">
        <f t="shared" si="10"/>
        <v/>
      </c>
      <c r="I18" s="18" t="str">
        <f t="shared" si="10"/>
        <v/>
      </c>
      <c r="J18" s="18" t="str">
        <f t="shared" si="10"/>
        <v/>
      </c>
      <c r="K18" s="18" t="str">
        <f t="shared" si="10"/>
        <v/>
      </c>
      <c r="L18" s="18" t="str">
        <f t="shared" si="10"/>
        <v/>
      </c>
      <c r="M18" s="18" t="str">
        <f t="shared" si="10"/>
        <v/>
      </c>
      <c r="N18" s="18" t="str">
        <f t="shared" si="10"/>
        <v/>
      </c>
      <c r="O18" s="18" t="str">
        <f t="shared" si="10"/>
        <v/>
      </c>
      <c r="P18" s="18" t="str">
        <f t="shared" si="10"/>
        <v/>
      </c>
      <c r="Q18" s="18" t="str">
        <f t="shared" si="10"/>
        <v/>
      </c>
    </row>
    <row r="19" spans="4:17" x14ac:dyDescent="0.35">
      <c r="D19" s="9"/>
      <c r="E19" s="9"/>
      <c r="F19" s="9"/>
      <c r="G19" s="18"/>
      <c r="H19" s="18" t="str">
        <f t="shared" si="10"/>
        <v/>
      </c>
      <c r="I19" s="18" t="str">
        <f t="shared" si="10"/>
        <v/>
      </c>
      <c r="J19" s="18" t="str">
        <f t="shared" si="10"/>
        <v/>
      </c>
      <c r="K19" s="18" t="str">
        <f t="shared" si="10"/>
        <v/>
      </c>
      <c r="L19" s="18" t="str">
        <f t="shared" si="10"/>
        <v/>
      </c>
      <c r="M19" s="18" t="str">
        <f t="shared" si="10"/>
        <v/>
      </c>
      <c r="N19" s="18" t="str">
        <f t="shared" si="10"/>
        <v/>
      </c>
      <c r="O19" s="18" t="str">
        <f t="shared" si="10"/>
        <v/>
      </c>
      <c r="P19" s="18" t="str">
        <f t="shared" si="10"/>
        <v/>
      </c>
      <c r="Q19" s="18" t="str">
        <f t="shared" si="10"/>
        <v/>
      </c>
    </row>
    <row r="20" spans="4:17" x14ac:dyDescent="0.35">
      <c r="D20" s="9"/>
      <c r="E20" s="9"/>
      <c r="F20" s="9"/>
      <c r="G20" s="18"/>
      <c r="H20" s="18" t="str">
        <f t="shared" si="10"/>
        <v/>
      </c>
      <c r="I20" s="18" t="str">
        <f t="shared" si="10"/>
        <v/>
      </c>
      <c r="J20" s="18" t="str">
        <f t="shared" si="10"/>
        <v/>
      </c>
      <c r="K20" s="18" t="str">
        <f t="shared" si="10"/>
        <v/>
      </c>
      <c r="L20" s="18" t="str">
        <f t="shared" si="10"/>
        <v/>
      </c>
      <c r="M20" s="18" t="str">
        <f t="shared" si="10"/>
        <v/>
      </c>
      <c r="N20" s="18" t="str">
        <f t="shared" si="10"/>
        <v/>
      </c>
      <c r="O20" s="18" t="str">
        <f t="shared" si="10"/>
        <v/>
      </c>
      <c r="P20" s="18" t="str">
        <f t="shared" si="10"/>
        <v/>
      </c>
      <c r="Q20" s="18" t="str">
        <f t="shared" si="10"/>
        <v/>
      </c>
    </row>
    <row r="21" spans="4:17" x14ac:dyDescent="0.35">
      <c r="D21" s="9"/>
      <c r="E21" s="9"/>
      <c r="F21" s="9"/>
      <c r="G21" s="18"/>
      <c r="H21" s="18" t="str">
        <f t="shared" si="10"/>
        <v/>
      </c>
      <c r="I21" s="18" t="str">
        <f t="shared" si="10"/>
        <v/>
      </c>
      <c r="J21" s="18" t="str">
        <f t="shared" si="10"/>
        <v/>
      </c>
      <c r="K21" s="18" t="str">
        <f t="shared" si="10"/>
        <v/>
      </c>
      <c r="L21" s="18" t="str">
        <f t="shared" si="10"/>
        <v/>
      </c>
      <c r="M21" s="18" t="str">
        <f t="shared" si="10"/>
        <v/>
      </c>
      <c r="N21" s="18" t="str">
        <f t="shared" si="10"/>
        <v/>
      </c>
      <c r="O21" s="18" t="str">
        <f t="shared" si="10"/>
        <v/>
      </c>
      <c r="P21" s="18" t="str">
        <f t="shared" si="10"/>
        <v/>
      </c>
      <c r="Q21" s="18" t="str">
        <f t="shared" si="10"/>
        <v/>
      </c>
    </row>
    <row r="22" spans="4:17" x14ac:dyDescent="0.35">
      <c r="D22" s="9"/>
      <c r="E22" s="9"/>
      <c r="F22" s="9"/>
      <c r="G22" s="18"/>
      <c r="H22" s="18" t="str">
        <f t="shared" si="10"/>
        <v/>
      </c>
      <c r="I22" s="18" t="str">
        <f t="shared" si="10"/>
        <v/>
      </c>
      <c r="J22" s="18" t="str">
        <f t="shared" si="10"/>
        <v/>
      </c>
      <c r="K22" s="18" t="str">
        <f t="shared" si="10"/>
        <v/>
      </c>
      <c r="L22" s="18" t="str">
        <f t="shared" si="10"/>
        <v/>
      </c>
      <c r="M22" s="18" t="str">
        <f t="shared" si="10"/>
        <v/>
      </c>
      <c r="N22" s="18" t="str">
        <f t="shared" si="10"/>
        <v/>
      </c>
      <c r="O22" s="18" t="str">
        <f t="shared" si="10"/>
        <v/>
      </c>
      <c r="P22" s="18" t="str">
        <f t="shared" si="10"/>
        <v/>
      </c>
      <c r="Q22" s="18" t="str">
        <f t="shared" si="10"/>
        <v/>
      </c>
    </row>
    <row r="23" spans="4:17" x14ac:dyDescent="0.35">
      <c r="D23" s="9"/>
      <c r="E23" s="9"/>
      <c r="F23" s="9"/>
      <c r="G23" s="18"/>
      <c r="H23" s="18" t="str">
        <f t="shared" ref="H23:Q38" si="11">IF(G23="","",G23)</f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35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35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35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35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35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35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35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35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35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35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35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35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35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35">
      <c r="D37" s="9"/>
      <c r="E37" s="9"/>
      <c r="F37" s="9"/>
      <c r="G37" s="18"/>
      <c r="H37" s="18" t="str">
        <f t="shared" si="11"/>
        <v/>
      </c>
      <c r="I37" s="18" t="str">
        <f t="shared" si="11"/>
        <v/>
      </c>
      <c r="J37" s="18" t="str">
        <f t="shared" si="11"/>
        <v/>
      </c>
      <c r="K37" s="18" t="str">
        <f t="shared" si="11"/>
        <v/>
      </c>
      <c r="L37" s="18" t="str">
        <f t="shared" si="11"/>
        <v/>
      </c>
      <c r="M37" s="18" t="str">
        <f t="shared" si="11"/>
        <v/>
      </c>
      <c r="N37" s="18" t="str">
        <f t="shared" si="11"/>
        <v/>
      </c>
      <c r="O37" s="18" t="str">
        <f t="shared" si="11"/>
        <v/>
      </c>
      <c r="P37" s="18" t="str">
        <f t="shared" si="11"/>
        <v/>
      </c>
      <c r="Q37" s="18" t="str">
        <f t="shared" si="11"/>
        <v/>
      </c>
    </row>
    <row r="38" spans="4:17" x14ac:dyDescent="0.35">
      <c r="D38" s="9"/>
      <c r="E38" s="9"/>
      <c r="F38" s="9"/>
      <c r="G38" s="18"/>
      <c r="H38" s="18" t="str">
        <f t="shared" si="11"/>
        <v/>
      </c>
      <c r="I38" s="18" t="str">
        <f t="shared" si="11"/>
        <v/>
      </c>
      <c r="J38" s="18" t="str">
        <f t="shared" si="11"/>
        <v/>
      </c>
      <c r="K38" s="18" t="str">
        <f t="shared" si="11"/>
        <v/>
      </c>
      <c r="L38" s="18" t="str">
        <f t="shared" si="11"/>
        <v/>
      </c>
      <c r="M38" s="18" t="str">
        <f t="shared" si="11"/>
        <v/>
      </c>
      <c r="N38" s="18" t="str">
        <f t="shared" si="11"/>
        <v/>
      </c>
      <c r="O38" s="18" t="str">
        <f t="shared" si="11"/>
        <v/>
      </c>
      <c r="P38" s="18" t="str">
        <f t="shared" si="11"/>
        <v/>
      </c>
      <c r="Q38" s="18" t="str">
        <f t="shared" si="11"/>
        <v/>
      </c>
    </row>
    <row r="39" spans="4:17" x14ac:dyDescent="0.35">
      <c r="D39" s="9"/>
      <c r="E39" s="9"/>
      <c r="F39" s="9"/>
      <c r="G39" s="18"/>
      <c r="H39" s="18" t="str">
        <f t="shared" ref="H39:Q50" si="12">IF(G39="","",G39)</f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35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35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35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35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35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35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35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35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35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35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" thickBot="1" x14ac:dyDescent="0.4">
      <c r="D50" s="10"/>
      <c r="E50" s="10"/>
      <c r="F50" s="10"/>
      <c r="G50" s="53"/>
      <c r="H50" s="53" t="str">
        <f t="shared" si="12"/>
        <v/>
      </c>
      <c r="I50" s="53" t="str">
        <f t="shared" si="12"/>
        <v/>
      </c>
      <c r="J50" s="53" t="str">
        <f t="shared" si="12"/>
        <v/>
      </c>
      <c r="K50" s="53" t="str">
        <f t="shared" si="12"/>
        <v/>
      </c>
      <c r="L50" s="53" t="str">
        <f t="shared" si="12"/>
        <v/>
      </c>
      <c r="M50" s="53" t="str">
        <f t="shared" si="12"/>
        <v/>
      </c>
      <c r="N50" s="53" t="str">
        <f t="shared" si="12"/>
        <v/>
      </c>
      <c r="O50" s="53" t="str">
        <f t="shared" si="12"/>
        <v/>
      </c>
      <c r="P50" s="53" t="str">
        <f t="shared" si="12"/>
        <v/>
      </c>
      <c r="Q50" s="53" t="str">
        <f t="shared" si="1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E8" sqref="E8"/>
    </sheetView>
  </sheetViews>
  <sheetFormatPr defaultColWidth="11.54296875" defaultRowHeight="14.5" x14ac:dyDescent="0.35"/>
  <cols>
    <col min="1" max="3" width="3.81640625" style="5" customWidth="1"/>
    <col min="4" max="5" width="17.08984375" style="5" bestFit="1" customWidth="1"/>
    <col min="6" max="6" width="15.81640625" style="5" customWidth="1"/>
    <col min="7" max="17" width="8.81640625" style="5" customWidth="1"/>
    <col min="18" max="16384" width="11.54296875" style="5"/>
  </cols>
  <sheetData>
    <row r="1" spans="2:17" s="25" customFormat="1" ht="25" customHeight="1" x14ac:dyDescent="0.35">
      <c r="B1" s="24" t="s">
        <v>249</v>
      </c>
    </row>
    <row r="3" spans="2:17" ht="15" thickBot="1" x14ac:dyDescent="0.4">
      <c r="D3" s="38" t="str">
        <f>JESA_UploadTable("sales_plan",D4:Q50)</f>
        <v>sales_plan Saved! @08:43:42</v>
      </c>
      <c r="E3" s="38"/>
    </row>
    <row r="4" spans="2:17" ht="30" customHeight="1" thickBot="1" x14ac:dyDescent="0.4">
      <c r="D4" s="71" t="s">
        <v>166</v>
      </c>
      <c r="E4" s="71" t="s">
        <v>24</v>
      </c>
      <c r="F4" s="71" t="s">
        <v>17</v>
      </c>
      <c r="G4" s="93" t="s">
        <v>37</v>
      </c>
      <c r="H4" s="93" t="s">
        <v>38</v>
      </c>
      <c r="I4" s="93" t="s">
        <v>39</v>
      </c>
      <c r="J4" s="93" t="s">
        <v>40</v>
      </c>
      <c r="K4" s="93" t="s">
        <v>41</v>
      </c>
      <c r="L4" s="93" t="s">
        <v>42</v>
      </c>
      <c r="M4" s="93" t="s">
        <v>43</v>
      </c>
      <c r="N4" s="93" t="s">
        <v>44</v>
      </c>
      <c r="O4" s="93" t="s">
        <v>45</v>
      </c>
      <c r="P4" s="93" t="s">
        <v>46</v>
      </c>
      <c r="Q4" s="93" t="s">
        <v>47</v>
      </c>
    </row>
    <row r="5" spans="2:17" x14ac:dyDescent="0.35">
      <c r="D5" s="8" t="s">
        <v>198</v>
      </c>
      <c r="E5" s="8" t="s">
        <v>35</v>
      </c>
      <c r="F5" s="8" t="s">
        <v>189</v>
      </c>
      <c r="G5" s="17">
        <v>0</v>
      </c>
      <c r="H5" s="17">
        <f t="shared" ref="H5:Q20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5">
      <c r="D6" s="9" t="s">
        <v>250</v>
      </c>
      <c r="E6" s="9" t="s">
        <v>144</v>
      </c>
      <c r="F6" s="9" t="s">
        <v>142</v>
      </c>
      <c r="G6" s="18">
        <v>1</v>
      </c>
      <c r="H6" s="18">
        <f t="shared" si="0"/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</row>
    <row r="7" spans="2:17" x14ac:dyDescent="0.35">
      <c r="D7" s="9" t="s">
        <v>251</v>
      </c>
      <c r="E7" s="9" t="s">
        <v>144</v>
      </c>
      <c r="F7" s="9" t="s">
        <v>142</v>
      </c>
      <c r="G7" s="18">
        <v>1</v>
      </c>
      <c r="H7" s="18">
        <f t="shared" ref="H7:H8" si="1">IF(G7="","",G7)</f>
        <v>1</v>
      </c>
      <c r="I7" s="18">
        <f t="shared" ref="I7:I8" si="2">IF(H7="","",H7)</f>
        <v>1</v>
      </c>
      <c r="J7" s="18">
        <f t="shared" ref="J7:J8" si="3">IF(I7="","",I7)</f>
        <v>1</v>
      </c>
      <c r="K7" s="18">
        <f t="shared" ref="K7:K8" si="4">IF(J7="","",J7)</f>
        <v>1</v>
      </c>
      <c r="L7" s="18">
        <f t="shared" ref="L7:L8" si="5">IF(K7="","",K7)</f>
        <v>1</v>
      </c>
      <c r="M7" s="18">
        <f t="shared" ref="M7:M8" si="6">IF(L7="","",L7)</f>
        <v>1</v>
      </c>
      <c r="N7" s="18">
        <f t="shared" ref="N7:N8" si="7">IF(M7="","",M7)</f>
        <v>1</v>
      </c>
      <c r="O7" s="18">
        <f t="shared" ref="O7:O8" si="8">IF(N7="","",N7)</f>
        <v>1</v>
      </c>
      <c r="P7" s="18">
        <f t="shared" ref="P7:P8" si="9">IF(O7="","",O7)</f>
        <v>1</v>
      </c>
      <c r="Q7" s="18">
        <f t="shared" ref="Q7:Q8" si="10">IF(P7="","",P7)</f>
        <v>1</v>
      </c>
    </row>
    <row r="8" spans="2:17" x14ac:dyDescent="0.35">
      <c r="D8" s="9" t="s">
        <v>251</v>
      </c>
      <c r="E8" s="9" t="s">
        <v>141</v>
      </c>
      <c r="F8" s="9" t="s">
        <v>146</v>
      </c>
      <c r="G8" s="18">
        <v>1</v>
      </c>
      <c r="H8" s="18">
        <f t="shared" si="1"/>
        <v>1</v>
      </c>
      <c r="I8" s="18">
        <f t="shared" si="2"/>
        <v>1</v>
      </c>
      <c r="J8" s="18">
        <f t="shared" si="3"/>
        <v>1</v>
      </c>
      <c r="K8" s="18">
        <f t="shared" si="4"/>
        <v>1</v>
      </c>
      <c r="L8" s="18">
        <f t="shared" si="5"/>
        <v>1</v>
      </c>
      <c r="M8" s="18">
        <f t="shared" si="6"/>
        <v>1</v>
      </c>
      <c r="N8" s="18">
        <f t="shared" si="7"/>
        <v>1</v>
      </c>
      <c r="O8" s="18">
        <f t="shared" si="8"/>
        <v>1</v>
      </c>
      <c r="P8" s="18">
        <f t="shared" si="9"/>
        <v>1</v>
      </c>
      <c r="Q8" s="18">
        <f t="shared" si="10"/>
        <v>1</v>
      </c>
    </row>
    <row r="9" spans="2:17" x14ac:dyDescent="0.35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5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5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5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5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5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5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5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5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5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5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5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5">
      <c r="D21" s="9"/>
      <c r="E21" s="9"/>
      <c r="F21" s="9"/>
      <c r="G21" s="18"/>
      <c r="H21" s="18" t="str">
        <f t="shared" ref="H21:Q36" si="11">IF(G21="","",G21)</f>
        <v/>
      </c>
      <c r="I21" s="18" t="str">
        <f t="shared" si="11"/>
        <v/>
      </c>
      <c r="J21" s="18" t="str">
        <f t="shared" si="11"/>
        <v/>
      </c>
      <c r="K21" s="18" t="str">
        <f t="shared" si="11"/>
        <v/>
      </c>
      <c r="L21" s="18" t="str">
        <f t="shared" si="11"/>
        <v/>
      </c>
      <c r="M21" s="18" t="str">
        <f t="shared" si="11"/>
        <v/>
      </c>
      <c r="N21" s="18" t="str">
        <f t="shared" si="11"/>
        <v/>
      </c>
      <c r="O21" s="18" t="str">
        <f t="shared" si="11"/>
        <v/>
      </c>
      <c r="P21" s="18" t="str">
        <f t="shared" si="11"/>
        <v/>
      </c>
      <c r="Q21" s="18" t="str">
        <f t="shared" si="11"/>
        <v/>
      </c>
    </row>
    <row r="22" spans="4:17" x14ac:dyDescent="0.35">
      <c r="D22" s="9"/>
      <c r="E22" s="9"/>
      <c r="F22" s="9"/>
      <c r="G22" s="18"/>
      <c r="H22" s="18" t="str">
        <f t="shared" si="11"/>
        <v/>
      </c>
      <c r="I22" s="18" t="str">
        <f t="shared" si="11"/>
        <v/>
      </c>
      <c r="J22" s="18" t="str">
        <f t="shared" si="11"/>
        <v/>
      </c>
      <c r="K22" s="18" t="str">
        <f t="shared" si="11"/>
        <v/>
      </c>
      <c r="L22" s="18" t="str">
        <f t="shared" si="11"/>
        <v/>
      </c>
      <c r="M22" s="18" t="str">
        <f t="shared" si="11"/>
        <v/>
      </c>
      <c r="N22" s="18" t="str">
        <f t="shared" si="11"/>
        <v/>
      </c>
      <c r="O22" s="18" t="str">
        <f t="shared" si="11"/>
        <v/>
      </c>
      <c r="P22" s="18" t="str">
        <f t="shared" si="11"/>
        <v/>
      </c>
      <c r="Q22" s="18" t="str">
        <f t="shared" si="11"/>
        <v/>
      </c>
    </row>
    <row r="23" spans="4:17" x14ac:dyDescent="0.35">
      <c r="D23" s="9"/>
      <c r="E23" s="9"/>
      <c r="F23" s="9"/>
      <c r="G23" s="18"/>
      <c r="H23" s="18" t="str">
        <f t="shared" si="11"/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35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35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35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35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35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35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35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35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35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35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35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35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35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35">
      <c r="D37" s="9"/>
      <c r="E37" s="9"/>
      <c r="F37" s="9"/>
      <c r="G37" s="18"/>
      <c r="H37" s="18" t="str">
        <f t="shared" ref="H37:Q50" si="12">IF(G37="","",G37)</f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  <c r="L37" s="18" t="str">
        <f t="shared" si="12"/>
        <v/>
      </c>
      <c r="M37" s="18" t="str">
        <f t="shared" si="12"/>
        <v/>
      </c>
      <c r="N37" s="18" t="str">
        <f t="shared" si="12"/>
        <v/>
      </c>
      <c r="O37" s="18" t="str">
        <f t="shared" si="12"/>
        <v/>
      </c>
      <c r="P37" s="18" t="str">
        <f t="shared" si="12"/>
        <v/>
      </c>
      <c r="Q37" s="18" t="str">
        <f t="shared" si="12"/>
        <v/>
      </c>
    </row>
    <row r="38" spans="4:17" x14ac:dyDescent="0.35">
      <c r="D38" s="9"/>
      <c r="E38" s="9"/>
      <c r="F38" s="9"/>
      <c r="G38" s="18"/>
      <c r="H38" s="18" t="str">
        <f t="shared" si="12"/>
        <v/>
      </c>
      <c r="I38" s="18" t="str">
        <f t="shared" si="12"/>
        <v/>
      </c>
      <c r="J38" s="18" t="str">
        <f t="shared" si="12"/>
        <v/>
      </c>
      <c r="K38" s="18" t="str">
        <f t="shared" si="12"/>
        <v/>
      </c>
      <c r="L38" s="18" t="str">
        <f t="shared" si="12"/>
        <v/>
      </c>
      <c r="M38" s="18" t="str">
        <f t="shared" si="12"/>
        <v/>
      </c>
      <c r="N38" s="18" t="str">
        <f t="shared" si="12"/>
        <v/>
      </c>
      <c r="O38" s="18" t="str">
        <f t="shared" si="12"/>
        <v/>
      </c>
      <c r="P38" s="18" t="str">
        <f t="shared" si="12"/>
        <v/>
      </c>
      <c r="Q38" s="18" t="str">
        <f t="shared" si="12"/>
        <v/>
      </c>
    </row>
    <row r="39" spans="4:17" x14ac:dyDescent="0.35">
      <c r="D39" s="9"/>
      <c r="E39" s="9"/>
      <c r="F39" s="9"/>
      <c r="G39" s="18"/>
      <c r="H39" s="18" t="str">
        <f t="shared" si="12"/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35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35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35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35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35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35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35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35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35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35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" thickBot="1" x14ac:dyDescent="0.4">
      <c r="D50" s="10"/>
      <c r="E50" s="10"/>
      <c r="F50" s="10"/>
      <c r="G50" s="53"/>
      <c r="H50" s="53" t="str">
        <f t="shared" si="12"/>
        <v/>
      </c>
      <c r="I50" s="53" t="str">
        <f t="shared" si="12"/>
        <v/>
      </c>
      <c r="J50" s="53" t="str">
        <f t="shared" si="12"/>
        <v/>
      </c>
      <c r="K50" s="53" t="str">
        <f t="shared" si="12"/>
        <v/>
      </c>
      <c r="L50" s="53" t="str">
        <f t="shared" si="12"/>
        <v/>
      </c>
      <c r="M50" s="53" t="str">
        <f t="shared" si="12"/>
        <v/>
      </c>
      <c r="N50" s="53" t="str">
        <f t="shared" si="12"/>
        <v/>
      </c>
      <c r="O50" s="53" t="str">
        <f t="shared" si="12"/>
        <v/>
      </c>
      <c r="P50" s="53" t="str">
        <f t="shared" si="12"/>
        <v/>
      </c>
      <c r="Q50" s="53" t="str">
        <f t="shared" si="12"/>
        <v/>
      </c>
    </row>
    <row r="51" spans="4:17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workbookViewId="0"/>
  </sheetViews>
  <sheetFormatPr defaultColWidth="11.54296875" defaultRowHeight="14.5" x14ac:dyDescent="0.35"/>
  <cols>
    <col min="1" max="3" width="3.81640625" style="5" customWidth="1"/>
    <col min="4" max="4" width="17.08984375" style="5" bestFit="1" customWidth="1"/>
    <col min="5" max="5" width="15.81640625" style="5" customWidth="1"/>
    <col min="6" max="16" width="8.81640625" style="5" customWidth="1"/>
    <col min="17" max="16384" width="11.54296875" style="5"/>
  </cols>
  <sheetData>
    <row r="1" spans="2:16" s="73" customFormat="1" ht="25" customHeight="1" x14ac:dyDescent="0.35">
      <c r="B1" s="72" t="s">
        <v>190</v>
      </c>
    </row>
    <row r="3" spans="2:16" ht="15" thickBot="1" x14ac:dyDescent="0.4">
      <c r="D3" s="38" t="str">
        <f>JESA_UploadTable("raw_materials",D4:P50)</f>
        <v>raw_materials Saved! @08:24:19</v>
      </c>
    </row>
    <row r="4" spans="2:16" ht="30" customHeight="1" thickBot="1" x14ac:dyDescent="0.4">
      <c r="D4" s="74" t="s">
        <v>12</v>
      </c>
      <c r="E4" s="74" t="s">
        <v>17</v>
      </c>
      <c r="F4" s="75" t="s">
        <v>37</v>
      </c>
      <c r="G4" s="75" t="s">
        <v>38</v>
      </c>
      <c r="H4" s="75" t="s">
        <v>39</v>
      </c>
      <c r="I4" s="75" t="s">
        <v>40</v>
      </c>
      <c r="J4" s="75" t="s">
        <v>41</v>
      </c>
      <c r="K4" s="75" t="s">
        <v>42</v>
      </c>
      <c r="L4" s="75" t="s">
        <v>43</v>
      </c>
      <c r="M4" s="75" t="s">
        <v>44</v>
      </c>
      <c r="N4" s="75" t="s">
        <v>45</v>
      </c>
      <c r="O4" s="75" t="s">
        <v>46</v>
      </c>
      <c r="P4" s="75" t="s">
        <v>47</v>
      </c>
    </row>
    <row r="5" spans="2:16" x14ac:dyDescent="0.35">
      <c r="D5" s="9" t="s">
        <v>191</v>
      </c>
      <c r="E5" s="8" t="s">
        <v>192</v>
      </c>
      <c r="F5" s="17">
        <v>3</v>
      </c>
      <c r="G5" s="17">
        <v>3</v>
      </c>
      <c r="H5" s="17">
        <v>3</v>
      </c>
      <c r="I5" s="17">
        <v>3</v>
      </c>
      <c r="J5" s="17">
        <v>3</v>
      </c>
      <c r="K5" s="17">
        <v>3</v>
      </c>
      <c r="L5" s="17">
        <v>3</v>
      </c>
      <c r="M5" s="17">
        <v>3</v>
      </c>
      <c r="N5" s="17">
        <v>3</v>
      </c>
      <c r="O5" s="17">
        <v>3</v>
      </c>
      <c r="P5" s="17">
        <v>3</v>
      </c>
    </row>
    <row r="6" spans="2:16" x14ac:dyDescent="0.35">
      <c r="D6" s="9" t="s">
        <v>29</v>
      </c>
      <c r="E6" s="9" t="s">
        <v>193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</row>
    <row r="7" spans="2:16" x14ac:dyDescent="0.35">
      <c r="D7" s="9" t="s">
        <v>194</v>
      </c>
      <c r="E7" s="9" t="s">
        <v>195</v>
      </c>
      <c r="F7" s="18">
        <v>4</v>
      </c>
      <c r="G7" s="18">
        <v>4</v>
      </c>
      <c r="H7" s="18">
        <v>4</v>
      </c>
      <c r="I7" s="18">
        <v>4</v>
      </c>
      <c r="J7" s="18">
        <v>4</v>
      </c>
      <c r="K7" s="18">
        <v>4</v>
      </c>
      <c r="L7" s="18">
        <v>4</v>
      </c>
      <c r="M7" s="18">
        <v>4</v>
      </c>
      <c r="N7" s="18">
        <v>4</v>
      </c>
      <c r="O7" s="18">
        <v>4</v>
      </c>
      <c r="P7" s="18">
        <v>4</v>
      </c>
    </row>
    <row r="8" spans="2:16" x14ac:dyDescent="0.35">
      <c r="D8" s="9" t="s">
        <v>13</v>
      </c>
      <c r="E8" s="9" t="s">
        <v>196</v>
      </c>
      <c r="F8" s="18">
        <v>0.1</v>
      </c>
      <c r="G8" s="18">
        <v>0.2</v>
      </c>
      <c r="H8" s="18">
        <v>0.3</v>
      </c>
      <c r="I8" s="18">
        <v>0.4</v>
      </c>
      <c r="J8" s="18">
        <v>0.5</v>
      </c>
      <c r="K8" s="18">
        <v>0.6</v>
      </c>
      <c r="L8" s="18">
        <v>0.7</v>
      </c>
      <c r="M8" s="18">
        <v>0.8</v>
      </c>
      <c r="N8" s="18">
        <v>0.9</v>
      </c>
      <c r="O8" s="18">
        <v>1</v>
      </c>
      <c r="P8" s="18">
        <v>1.1000000000000001</v>
      </c>
    </row>
    <row r="9" spans="2:16" x14ac:dyDescent="0.35">
      <c r="D9" s="9" t="s">
        <v>15</v>
      </c>
      <c r="E9" s="9" t="s">
        <v>197</v>
      </c>
      <c r="F9" s="18">
        <v>1</v>
      </c>
      <c r="G9" s="18">
        <v>2</v>
      </c>
      <c r="H9" s="18">
        <v>3</v>
      </c>
      <c r="I9" s="18">
        <v>4</v>
      </c>
      <c r="J9" s="18">
        <v>5</v>
      </c>
      <c r="K9" s="18">
        <v>6</v>
      </c>
      <c r="L9" s="18">
        <v>7</v>
      </c>
      <c r="M9" s="18">
        <v>8</v>
      </c>
      <c r="N9" s="18">
        <v>9</v>
      </c>
      <c r="O9" s="18">
        <v>10</v>
      </c>
      <c r="P9" s="18">
        <v>11</v>
      </c>
    </row>
    <row r="10" spans="2:16" x14ac:dyDescent="0.35">
      <c r="D10" s="9" t="s">
        <v>35</v>
      </c>
      <c r="E10" s="9" t="s">
        <v>195</v>
      </c>
      <c r="F10" s="18">
        <v>10</v>
      </c>
      <c r="G10" s="18">
        <v>11</v>
      </c>
      <c r="H10" s="18">
        <v>12</v>
      </c>
      <c r="I10" s="18">
        <v>13</v>
      </c>
      <c r="J10" s="18">
        <v>14</v>
      </c>
      <c r="K10" s="18">
        <v>15</v>
      </c>
      <c r="L10" s="18">
        <v>16</v>
      </c>
      <c r="M10" s="18">
        <v>17</v>
      </c>
      <c r="N10" s="18">
        <v>18</v>
      </c>
      <c r="O10" s="18">
        <v>19</v>
      </c>
      <c r="P10" s="18">
        <v>20</v>
      </c>
    </row>
    <row r="11" spans="2:16" x14ac:dyDescent="0.35">
      <c r="D11" s="9" t="s">
        <v>198</v>
      </c>
      <c r="E11" s="9" t="s">
        <v>195</v>
      </c>
      <c r="F11" s="18">
        <v>10</v>
      </c>
      <c r="G11" s="18">
        <v>11</v>
      </c>
      <c r="H11" s="18">
        <v>12</v>
      </c>
      <c r="I11" s="18">
        <v>13</v>
      </c>
      <c r="J11" s="18">
        <v>14</v>
      </c>
      <c r="K11" s="18">
        <v>15</v>
      </c>
      <c r="L11" s="18">
        <v>16</v>
      </c>
      <c r="M11" s="18">
        <v>17</v>
      </c>
      <c r="N11" s="18">
        <v>18</v>
      </c>
      <c r="O11" s="18">
        <v>19</v>
      </c>
      <c r="P11" s="18">
        <v>20</v>
      </c>
    </row>
    <row r="12" spans="2:16" x14ac:dyDescent="0.3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5">
      <c r="D46" s="9"/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5">
      <c r="D47" s="9"/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5">
      <c r="D48" s="9"/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4:16" x14ac:dyDescent="0.35">
      <c r="D49" s="9"/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4:16" x14ac:dyDescent="0.35">
      <c r="D50" s="9"/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4:16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"USD/ton,USD/m3,USD/kwh,USD/FTE"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F24" sqref="F24"/>
    </sheetView>
  </sheetViews>
  <sheetFormatPr defaultColWidth="11.54296875" defaultRowHeight="14.5" x14ac:dyDescent="0.35"/>
  <cols>
    <col min="1" max="3" width="3.90625" style="1" customWidth="1"/>
    <col min="4" max="4" width="20.90625" style="1" customWidth="1"/>
    <col min="5" max="5" width="1.90625" style="1" customWidth="1"/>
    <col min="6" max="6" width="20.90625" style="1" customWidth="1"/>
    <col min="7" max="7" width="1.90625" style="1" customWidth="1"/>
    <col min="8" max="8" width="20.90625" style="1" customWidth="1"/>
    <col min="9" max="9" width="1.90625" style="1" customWidth="1"/>
    <col min="10" max="10" width="20.90625" style="1" customWidth="1"/>
    <col min="11" max="11" width="1.90625" style="1" customWidth="1"/>
    <col min="12" max="12" width="20.90625" style="1" customWidth="1"/>
    <col min="13" max="13" width="1.90625" style="1" customWidth="1"/>
    <col min="14" max="14" width="20.90625" style="1" customWidth="1"/>
    <col min="15" max="15" width="1.90625" style="1" customWidth="1"/>
    <col min="16" max="16" width="20.90625" style="1" customWidth="1"/>
    <col min="17" max="16384" width="11.54296875" style="1"/>
  </cols>
  <sheetData>
    <row r="1" spans="1:16" s="23" customFormat="1" ht="24.9" customHeight="1" x14ac:dyDescent="0.35">
      <c r="B1" s="22" t="s">
        <v>53</v>
      </c>
    </row>
    <row r="2" spans="1:16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4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4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69</v>
      </c>
      <c r="K4" s="31"/>
      <c r="L4" s="32" t="s">
        <v>99</v>
      </c>
      <c r="M4" s="31"/>
      <c r="N4" s="32" t="s">
        <v>103</v>
      </c>
      <c r="O4" s="31"/>
      <c r="P4" s="32" t="s">
        <v>143</v>
      </c>
    </row>
    <row r="5" spans="1:16" ht="15" thickBot="1" x14ac:dyDescent="0.4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56</v>
      </c>
      <c r="I5" s="31"/>
      <c r="J5" s="29" t="s">
        <v>70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57</v>
      </c>
      <c r="I6" s="31"/>
      <c r="J6" s="33" t="s">
        <v>82</v>
      </c>
      <c r="K6" s="31"/>
      <c r="L6" s="33" t="s">
        <v>100</v>
      </c>
      <c r="M6" s="31"/>
      <c r="N6" s="33" t="s">
        <v>1</v>
      </c>
      <c r="O6" s="31"/>
      <c r="P6" s="33" t="s">
        <v>144</v>
      </c>
    </row>
    <row r="7" spans="1:16" x14ac:dyDescent="0.3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58</v>
      </c>
      <c r="I7" s="31"/>
      <c r="J7" s="33"/>
      <c r="K7" s="31"/>
      <c r="L7" s="33" t="s">
        <v>101</v>
      </c>
      <c r="M7" s="31"/>
      <c r="N7" s="33" t="s">
        <v>3</v>
      </c>
      <c r="O7" s="31"/>
      <c r="P7" s="33" t="s">
        <v>139</v>
      </c>
    </row>
    <row r="8" spans="1:16" x14ac:dyDescent="0.3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59</v>
      </c>
      <c r="I8" s="31"/>
      <c r="J8" s="33"/>
      <c r="K8" s="31"/>
      <c r="L8" s="33" t="s">
        <v>161</v>
      </c>
      <c r="M8" s="31"/>
      <c r="N8" s="33" t="s">
        <v>2</v>
      </c>
      <c r="O8" s="31"/>
      <c r="P8" s="33" t="s">
        <v>140</v>
      </c>
    </row>
    <row r="9" spans="1:16" x14ac:dyDescent="0.3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60</v>
      </c>
      <c r="I9" s="31"/>
      <c r="J9" s="33"/>
      <c r="K9" s="31"/>
      <c r="L9" s="33"/>
      <c r="M9" s="31"/>
      <c r="N9" s="33" t="s">
        <v>10</v>
      </c>
      <c r="O9" s="31"/>
      <c r="P9" s="33" t="s">
        <v>141</v>
      </c>
    </row>
    <row r="10" spans="1:16" x14ac:dyDescent="0.3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61</v>
      </c>
      <c r="I10" s="31"/>
      <c r="J10" s="33"/>
      <c r="K10" s="31"/>
      <c r="L10" s="33"/>
      <c r="M10" s="31"/>
      <c r="N10" s="33" t="s">
        <v>4</v>
      </c>
      <c r="O10" s="31"/>
      <c r="P10" s="33" t="s">
        <v>84</v>
      </c>
    </row>
    <row r="11" spans="1:16" x14ac:dyDescent="0.35">
      <c r="A11" s="31"/>
      <c r="B11" s="31"/>
      <c r="C11" s="31"/>
      <c r="D11" s="33" t="s">
        <v>54</v>
      </c>
      <c r="E11" s="31"/>
      <c r="F11" s="33" t="s">
        <v>34</v>
      </c>
      <c r="G11" s="31"/>
      <c r="H11" s="33" t="s">
        <v>62</v>
      </c>
      <c r="I11" s="31"/>
      <c r="J11" s="33"/>
      <c r="K11" s="31"/>
      <c r="L11" s="33"/>
      <c r="M11" s="31"/>
      <c r="N11" s="33" t="s">
        <v>6</v>
      </c>
      <c r="O11" s="31"/>
      <c r="P11" s="33" t="s">
        <v>83</v>
      </c>
    </row>
    <row r="12" spans="1:16" x14ac:dyDescent="0.3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63</v>
      </c>
      <c r="I12" s="31"/>
      <c r="J12" s="33"/>
      <c r="K12" s="31"/>
      <c r="L12" s="33"/>
      <c r="M12" s="31"/>
      <c r="N12" s="33" t="s">
        <v>5</v>
      </c>
      <c r="O12" s="31"/>
      <c r="P12" s="33" t="s">
        <v>86</v>
      </c>
    </row>
    <row r="13" spans="1:16" x14ac:dyDescent="0.3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64</v>
      </c>
      <c r="I13" s="31"/>
      <c r="J13" s="33"/>
      <c r="K13" s="31"/>
      <c r="L13" s="33"/>
      <c r="M13" s="31"/>
      <c r="N13" s="33" t="s">
        <v>104</v>
      </c>
      <c r="O13" s="31"/>
      <c r="P13" s="33" t="s">
        <v>145</v>
      </c>
    </row>
    <row r="14" spans="1:16" x14ac:dyDescent="0.3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65</v>
      </c>
      <c r="I14" s="31"/>
      <c r="J14" s="33"/>
      <c r="K14" s="31"/>
      <c r="L14" s="33"/>
      <c r="M14" s="31"/>
      <c r="N14" s="33" t="s">
        <v>105</v>
      </c>
      <c r="O14" s="31"/>
      <c r="P14" s="33" t="s">
        <v>87</v>
      </c>
    </row>
    <row r="15" spans="1:16" x14ac:dyDescent="0.35">
      <c r="A15" s="31"/>
      <c r="B15" s="31"/>
      <c r="C15" s="31"/>
      <c r="D15" s="33" t="s">
        <v>55</v>
      </c>
      <c r="E15" s="31"/>
      <c r="F15" s="33" t="s">
        <v>155</v>
      </c>
      <c r="G15" s="31"/>
      <c r="H15" s="33" t="s">
        <v>66</v>
      </c>
      <c r="I15" s="31"/>
      <c r="J15" s="33"/>
      <c r="K15" s="31"/>
      <c r="L15" s="33"/>
      <c r="M15" s="31"/>
      <c r="N15" s="33" t="s">
        <v>106</v>
      </c>
      <c r="O15" s="31"/>
      <c r="P15" s="33" t="s">
        <v>85</v>
      </c>
    </row>
    <row r="16" spans="1:16" x14ac:dyDescent="0.35">
      <c r="A16" s="31"/>
      <c r="B16" s="31"/>
      <c r="C16" s="31"/>
      <c r="D16" s="33" t="s">
        <v>92</v>
      </c>
      <c r="E16" s="31"/>
      <c r="F16" s="33" t="s">
        <v>156</v>
      </c>
      <c r="G16" s="31"/>
      <c r="H16" s="33" t="s">
        <v>51</v>
      </c>
      <c r="I16" s="31"/>
      <c r="J16" s="33"/>
      <c r="K16" s="31"/>
      <c r="L16" s="33"/>
      <c r="M16" s="31"/>
      <c r="N16" s="33" t="s">
        <v>107</v>
      </c>
      <c r="O16" s="31"/>
      <c r="P16" s="33"/>
    </row>
    <row r="17" spans="1:16" x14ac:dyDescent="0.35">
      <c r="A17" s="31"/>
      <c r="B17" s="31"/>
      <c r="C17" s="31"/>
      <c r="D17" s="33"/>
      <c r="E17" s="31"/>
      <c r="F17" s="33" t="s">
        <v>157</v>
      </c>
      <c r="G17" s="31"/>
      <c r="H17" s="33" t="s">
        <v>52</v>
      </c>
      <c r="I17" s="31"/>
      <c r="J17" s="33"/>
      <c r="K17" s="31"/>
      <c r="L17" s="33"/>
      <c r="M17" s="31"/>
      <c r="N17" s="33" t="s">
        <v>108</v>
      </c>
      <c r="O17" s="31"/>
      <c r="P17" s="33"/>
    </row>
    <row r="18" spans="1:16" x14ac:dyDescent="0.35">
      <c r="A18" s="31"/>
      <c r="B18" s="31"/>
      <c r="C18" s="31"/>
      <c r="D18" s="33"/>
      <c r="E18" s="31"/>
      <c r="F18" s="33" t="s">
        <v>158</v>
      </c>
      <c r="G18" s="31"/>
      <c r="H18" s="33" t="s">
        <v>67</v>
      </c>
      <c r="I18" s="31"/>
      <c r="J18" s="33"/>
      <c r="K18" s="31"/>
      <c r="L18" s="33"/>
      <c r="M18" s="31"/>
      <c r="N18" s="33" t="s">
        <v>109</v>
      </c>
      <c r="O18" s="31"/>
      <c r="P18" s="33"/>
    </row>
    <row r="19" spans="1:16" x14ac:dyDescent="0.35">
      <c r="A19" s="31"/>
      <c r="B19" s="31"/>
      <c r="C19" s="31"/>
      <c r="D19" s="33"/>
      <c r="E19" s="31"/>
      <c r="F19" s="33" t="s">
        <v>140</v>
      </c>
      <c r="G19" s="31"/>
      <c r="H19" s="33" t="s">
        <v>68</v>
      </c>
      <c r="I19" s="31"/>
      <c r="J19" s="33"/>
      <c r="K19" s="31"/>
      <c r="L19" s="33"/>
      <c r="M19" s="31"/>
      <c r="N19" s="33" t="s">
        <v>110</v>
      </c>
      <c r="O19" s="31"/>
      <c r="P19" s="33"/>
    </row>
    <row r="20" spans="1:16" x14ac:dyDescent="0.35">
      <c r="A20" s="31"/>
      <c r="B20" s="31"/>
      <c r="C20" s="31"/>
      <c r="D20" s="33"/>
      <c r="E20" s="31"/>
      <c r="F20" s="33" t="s">
        <v>141</v>
      </c>
      <c r="G20" s="31"/>
      <c r="H20" s="33" t="s">
        <v>89</v>
      </c>
      <c r="I20" s="31"/>
      <c r="J20" s="33"/>
      <c r="K20" s="31"/>
      <c r="L20" s="33"/>
      <c r="M20" s="31"/>
      <c r="N20" s="33" t="s">
        <v>111</v>
      </c>
      <c r="O20" s="31"/>
      <c r="P20" s="33"/>
    </row>
    <row r="21" spans="1:16" x14ac:dyDescent="0.35">
      <c r="A21" s="31"/>
      <c r="B21" s="31"/>
      <c r="C21" s="31"/>
      <c r="D21" s="33"/>
      <c r="E21" s="31"/>
      <c r="F21" s="33" t="s">
        <v>139</v>
      </c>
      <c r="G21" s="31"/>
      <c r="H21" s="33" t="s">
        <v>88</v>
      </c>
      <c r="I21" s="31"/>
      <c r="J21" s="33"/>
      <c r="K21" s="31"/>
      <c r="L21" s="33"/>
      <c r="M21" s="31"/>
      <c r="N21" s="33" t="s">
        <v>112</v>
      </c>
      <c r="O21" s="31"/>
      <c r="P21" s="33"/>
    </row>
    <row r="22" spans="1:16" x14ac:dyDescent="0.35">
      <c r="A22" s="31"/>
      <c r="B22" s="31"/>
      <c r="C22" s="31"/>
      <c r="D22" s="33"/>
      <c r="E22" s="31"/>
      <c r="F22" s="33" t="s">
        <v>344</v>
      </c>
      <c r="G22" s="31"/>
      <c r="H22" s="33" t="s">
        <v>90</v>
      </c>
      <c r="I22" s="31"/>
      <c r="J22" s="33"/>
      <c r="K22" s="31"/>
      <c r="L22" s="33"/>
      <c r="M22" s="31"/>
      <c r="N22" s="33" t="s">
        <v>113</v>
      </c>
      <c r="O22" s="31"/>
      <c r="P22" s="33"/>
    </row>
    <row r="23" spans="1:16" x14ac:dyDescent="0.35">
      <c r="A23" s="31"/>
      <c r="B23" s="31"/>
      <c r="C23" s="31"/>
      <c r="D23" s="33"/>
      <c r="E23" s="31"/>
      <c r="F23" s="33" t="s">
        <v>357</v>
      </c>
      <c r="G23" s="31"/>
      <c r="H23" s="33" t="s">
        <v>91</v>
      </c>
      <c r="I23" s="31"/>
      <c r="J23" s="33"/>
      <c r="K23" s="31"/>
      <c r="L23" s="33"/>
      <c r="M23" s="31"/>
      <c r="N23" s="33" t="s">
        <v>114</v>
      </c>
      <c r="O23" s="31"/>
      <c r="P23" s="33"/>
    </row>
    <row r="24" spans="1:16" x14ac:dyDescent="0.35">
      <c r="A24" s="31"/>
      <c r="B24" s="31"/>
      <c r="C24" s="31"/>
      <c r="D24" s="33"/>
      <c r="E24" s="31"/>
      <c r="F24" s="33"/>
      <c r="G24" s="31"/>
      <c r="H24" s="33" t="s">
        <v>135</v>
      </c>
      <c r="I24" s="31"/>
      <c r="J24" s="33"/>
      <c r="K24" s="31"/>
      <c r="L24" s="33"/>
      <c r="M24" s="31"/>
      <c r="N24" s="33" t="s">
        <v>115</v>
      </c>
      <c r="O24" s="31"/>
      <c r="P24" s="33"/>
    </row>
    <row r="25" spans="1:16" x14ac:dyDescent="0.35">
      <c r="A25" s="31"/>
      <c r="B25" s="31"/>
      <c r="C25" s="31"/>
      <c r="D25" s="33"/>
      <c r="E25" s="31"/>
      <c r="F25" s="33"/>
      <c r="G25" s="31"/>
      <c r="H25" s="33" t="s">
        <v>102</v>
      </c>
      <c r="I25" s="31"/>
      <c r="J25" s="33"/>
      <c r="K25" s="31"/>
      <c r="L25" s="33"/>
      <c r="M25" s="31"/>
      <c r="N25" s="33" t="s">
        <v>116</v>
      </c>
      <c r="O25" s="31"/>
      <c r="P25" s="33"/>
    </row>
    <row r="26" spans="1:16" x14ac:dyDescent="0.35">
      <c r="A26" s="31"/>
      <c r="B26" s="31"/>
      <c r="C26" s="31"/>
      <c r="D26" s="33"/>
      <c r="E26" s="31"/>
      <c r="F26" s="33"/>
      <c r="G26" s="31"/>
      <c r="H26" s="33" t="s">
        <v>131</v>
      </c>
      <c r="I26" s="31"/>
      <c r="J26" s="33"/>
      <c r="K26" s="31"/>
      <c r="L26" s="33"/>
      <c r="M26" s="31"/>
      <c r="N26" s="33" t="s">
        <v>117</v>
      </c>
      <c r="O26" s="31"/>
      <c r="P26" s="33"/>
    </row>
    <row r="27" spans="1:16" x14ac:dyDescent="0.35">
      <c r="A27" s="31"/>
      <c r="B27" s="31"/>
      <c r="C27" s="31"/>
      <c r="D27" s="33"/>
      <c r="E27" s="31"/>
      <c r="F27" s="33"/>
      <c r="G27" s="31"/>
      <c r="H27" s="33" t="s">
        <v>132</v>
      </c>
      <c r="I27" s="31"/>
      <c r="J27" s="33"/>
      <c r="K27" s="31"/>
      <c r="L27" s="33"/>
      <c r="M27" s="31"/>
      <c r="N27" s="33" t="s">
        <v>118</v>
      </c>
      <c r="O27" s="31"/>
      <c r="P27" s="33"/>
    </row>
    <row r="28" spans="1:16" x14ac:dyDescent="0.35">
      <c r="A28" s="31"/>
      <c r="B28" s="31"/>
      <c r="C28" s="31"/>
      <c r="D28" s="33"/>
      <c r="E28" s="31"/>
      <c r="F28" s="33"/>
      <c r="G28" s="31"/>
      <c r="H28" s="33" t="s">
        <v>133</v>
      </c>
      <c r="I28" s="31"/>
      <c r="J28" s="33"/>
      <c r="K28" s="31"/>
      <c r="L28" s="33"/>
      <c r="M28" s="31"/>
      <c r="N28" s="33" t="s">
        <v>119</v>
      </c>
      <c r="O28" s="31"/>
      <c r="P28" s="33"/>
    </row>
    <row r="29" spans="1:16" x14ac:dyDescent="0.35">
      <c r="A29" s="31"/>
      <c r="B29" s="31"/>
      <c r="C29" s="31"/>
      <c r="D29" s="33"/>
      <c r="E29" s="31"/>
      <c r="F29" s="33"/>
      <c r="G29" s="31"/>
      <c r="H29" s="33" t="s">
        <v>134</v>
      </c>
      <c r="I29" s="31"/>
      <c r="J29" s="33"/>
      <c r="K29" s="31"/>
      <c r="L29" s="33"/>
      <c r="M29" s="31"/>
      <c r="N29" s="33" t="s">
        <v>120</v>
      </c>
      <c r="O29" s="31"/>
      <c r="P29" s="33"/>
    </row>
    <row r="30" spans="1:16" x14ac:dyDescent="0.35">
      <c r="A30" s="31"/>
      <c r="B30" s="31"/>
      <c r="C30" s="31"/>
      <c r="D30" s="33"/>
      <c r="E30" s="31"/>
      <c r="F30" s="33"/>
      <c r="G30" s="31"/>
      <c r="H30" s="33" t="s">
        <v>138</v>
      </c>
      <c r="I30" s="31"/>
      <c r="J30" s="33"/>
      <c r="K30" s="31"/>
      <c r="L30" s="33"/>
      <c r="M30" s="31"/>
      <c r="N30" s="33" t="s">
        <v>121</v>
      </c>
      <c r="O30" s="31"/>
      <c r="P30" s="33"/>
    </row>
    <row r="31" spans="1:16" x14ac:dyDescent="0.35">
      <c r="A31" s="31"/>
      <c r="B31" s="31"/>
      <c r="C31" s="31"/>
      <c r="D31" s="33"/>
      <c r="E31" s="31"/>
      <c r="F31" s="33"/>
      <c r="G31" s="31"/>
      <c r="H31" s="33" t="s">
        <v>142</v>
      </c>
      <c r="I31" s="31"/>
      <c r="J31" s="33"/>
      <c r="K31" s="31"/>
      <c r="L31" s="33"/>
      <c r="M31" s="31"/>
      <c r="N31" s="33" t="s">
        <v>122</v>
      </c>
      <c r="O31" s="31"/>
      <c r="P31" s="33"/>
    </row>
    <row r="32" spans="1:16" x14ac:dyDescent="0.35">
      <c r="A32" s="31"/>
      <c r="B32" s="31"/>
      <c r="C32" s="31"/>
      <c r="D32" s="33"/>
      <c r="E32" s="31"/>
      <c r="F32" s="33"/>
      <c r="G32" s="31"/>
      <c r="H32" s="33" t="s">
        <v>146</v>
      </c>
      <c r="I32" s="31"/>
      <c r="J32" s="33"/>
      <c r="K32" s="31"/>
      <c r="L32" s="33"/>
      <c r="M32" s="31"/>
      <c r="N32" s="33" t="s">
        <v>123</v>
      </c>
      <c r="O32" s="31"/>
      <c r="P32" s="33"/>
    </row>
    <row r="33" spans="1:16" x14ac:dyDescent="0.35">
      <c r="A33" s="31"/>
      <c r="B33" s="31"/>
      <c r="C33" s="31"/>
      <c r="D33" s="33"/>
      <c r="E33" s="31"/>
      <c r="F33" s="33"/>
      <c r="G33" s="31"/>
      <c r="H33" s="33" t="s">
        <v>152</v>
      </c>
      <c r="I33" s="31"/>
      <c r="J33" s="33"/>
      <c r="K33" s="31"/>
      <c r="L33" s="33"/>
      <c r="M33" s="31"/>
      <c r="N33" s="33" t="s">
        <v>124</v>
      </c>
      <c r="O33" s="31"/>
      <c r="P33" s="33"/>
    </row>
    <row r="34" spans="1:16" x14ac:dyDescent="0.35">
      <c r="A34" s="31"/>
      <c r="B34" s="31"/>
      <c r="C34" s="31"/>
      <c r="D34" s="33"/>
      <c r="E34" s="31"/>
      <c r="F34" s="33"/>
      <c r="G34" s="31"/>
      <c r="H34" s="33" t="s">
        <v>159</v>
      </c>
      <c r="I34" s="31"/>
      <c r="J34" s="33"/>
      <c r="K34" s="31"/>
      <c r="L34" s="33"/>
      <c r="M34" s="31"/>
      <c r="N34" s="33" t="s">
        <v>125</v>
      </c>
      <c r="O34" s="31"/>
      <c r="P34" s="33"/>
    </row>
    <row r="35" spans="1:16" x14ac:dyDescent="0.35">
      <c r="A35" s="31"/>
      <c r="B35" s="31"/>
      <c r="C35" s="31"/>
      <c r="D35" s="33"/>
      <c r="E35" s="31"/>
      <c r="F35" s="33"/>
      <c r="G35" s="31"/>
      <c r="H35" s="33" t="s">
        <v>160</v>
      </c>
      <c r="I35" s="31"/>
      <c r="J35" s="33"/>
      <c r="K35" s="31"/>
      <c r="L35" s="33"/>
      <c r="M35" s="31"/>
      <c r="N35" s="33" t="s">
        <v>126</v>
      </c>
      <c r="O35" s="31"/>
      <c r="P35" s="33"/>
    </row>
    <row r="36" spans="1:16" x14ac:dyDescent="0.35">
      <c r="A36" s="31"/>
      <c r="B36" s="31"/>
      <c r="C36" s="31"/>
      <c r="D36" s="33"/>
      <c r="E36" s="31"/>
      <c r="F36" s="33"/>
      <c r="G36" s="31"/>
      <c r="H36" s="33" t="s">
        <v>200</v>
      </c>
      <c r="I36" s="31"/>
      <c r="J36" s="33"/>
      <c r="K36" s="31"/>
      <c r="L36" s="33"/>
      <c r="M36" s="31"/>
      <c r="N36" s="33" t="s">
        <v>127</v>
      </c>
      <c r="O36" s="31"/>
      <c r="P36" s="33"/>
    </row>
    <row r="37" spans="1:16" x14ac:dyDescent="0.35">
      <c r="A37" s="31"/>
      <c r="B37" s="31"/>
      <c r="C37" s="31"/>
      <c r="D37" s="33"/>
      <c r="E37" s="31"/>
      <c r="F37" s="33"/>
      <c r="G37" s="31"/>
      <c r="H37" s="33"/>
      <c r="I37" s="31"/>
      <c r="J37" s="33"/>
      <c r="K37" s="31"/>
      <c r="L37" s="33"/>
      <c r="M37" s="31"/>
      <c r="N37" s="33" t="s">
        <v>128</v>
      </c>
      <c r="O37" s="31"/>
      <c r="P37" s="33"/>
    </row>
    <row r="38" spans="1:16" x14ac:dyDescent="0.35">
      <c r="A38" s="31"/>
      <c r="B38" s="31"/>
      <c r="C38" s="31"/>
      <c r="D38" s="33"/>
      <c r="E38" s="31"/>
      <c r="F38" s="33"/>
      <c r="G38" s="31"/>
      <c r="H38" s="33"/>
      <c r="I38" s="31"/>
      <c r="J38" s="33"/>
      <c r="K38" s="31"/>
      <c r="L38" s="33"/>
      <c r="M38" s="31"/>
      <c r="N38" s="33" t="s">
        <v>129</v>
      </c>
      <c r="O38" s="31"/>
      <c r="P38" s="33"/>
    </row>
    <row r="39" spans="1:16" x14ac:dyDescent="0.35">
      <c r="A39" s="31"/>
      <c r="B39" s="31"/>
      <c r="C39" s="31"/>
      <c r="D39" s="33"/>
      <c r="E39" s="31"/>
      <c r="F39" s="33"/>
      <c r="G39" s="31"/>
      <c r="H39" s="33"/>
      <c r="I39" s="31"/>
      <c r="J39" s="33"/>
      <c r="K39" s="31"/>
      <c r="L39" s="33"/>
      <c r="M39" s="31"/>
      <c r="N39" s="33" t="s">
        <v>130</v>
      </c>
      <c r="O39" s="31"/>
      <c r="P39" s="33"/>
    </row>
    <row r="40" spans="1:16" ht="15" thickBot="1" x14ac:dyDescent="0.4">
      <c r="A40" s="31"/>
      <c r="B40" s="31"/>
      <c r="C40" s="31"/>
      <c r="D40" s="34" t="s">
        <v>94</v>
      </c>
      <c r="E40" s="31"/>
      <c r="F40" s="34" t="s">
        <v>94</v>
      </c>
      <c r="G40" s="31"/>
      <c r="H40" s="34" t="s">
        <v>94</v>
      </c>
      <c r="I40" s="31"/>
      <c r="J40" s="34" t="s">
        <v>94</v>
      </c>
      <c r="K40" s="31"/>
      <c r="L40" s="34" t="s">
        <v>94</v>
      </c>
      <c r="M40" s="31"/>
      <c r="N40" s="34" t="s">
        <v>94</v>
      </c>
      <c r="O40" s="31"/>
      <c r="P40" s="34" t="s">
        <v>94</v>
      </c>
    </row>
  </sheetData>
  <sheetProtection sheet="1" objects="1" scenario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M8" sqref="M8"/>
    </sheetView>
  </sheetViews>
  <sheetFormatPr defaultColWidth="11.54296875" defaultRowHeight="14.5" x14ac:dyDescent="0.35"/>
  <cols>
    <col min="1" max="3" width="3.90625" style="31" customWidth="1"/>
    <col min="4" max="4" width="20.90625" style="31" customWidth="1"/>
    <col min="5" max="5" width="1.90625" style="31" customWidth="1"/>
    <col min="6" max="6" width="20.90625" style="31" customWidth="1"/>
    <col min="7" max="7" width="1.90625" style="31" customWidth="1"/>
    <col min="8" max="8" width="20.90625" style="31" customWidth="1"/>
    <col min="9" max="9" width="1.90625" style="31" customWidth="1"/>
    <col min="10" max="10" width="20.90625" style="31" customWidth="1"/>
    <col min="11" max="11" width="1.90625" style="31" customWidth="1"/>
    <col min="12" max="16384" width="11.54296875" style="31"/>
  </cols>
  <sheetData>
    <row r="1" spans="2:10" s="36" customFormat="1" ht="24.9" customHeight="1" x14ac:dyDescent="0.35">
      <c r="B1" s="35" t="s">
        <v>7</v>
      </c>
    </row>
    <row r="3" spans="2:10" ht="15" thickBot="1" x14ac:dyDescent="0.4">
      <c r="D3" s="31" t="str">
        <f>JESA_UploadTable(D4,D4:D40)</f>
        <v>mine.name Saved! @08:24:14</v>
      </c>
      <c r="F3" s="31" t="str">
        <f>JESA_UploadTable(F4,F4:F40)</f>
        <v>mine.extraction Saved! @08:24:14</v>
      </c>
      <c r="H3" s="31" t="str">
        <f>JESA_UploadTable(H4,H4:H40)</f>
        <v>mine.quality Saved! @08:24:20</v>
      </c>
      <c r="J3" s="31" t="str">
        <f>JESA_UploadTable(J4,J4:J40)</f>
        <v>mine.capex Saved! @08:24:20</v>
      </c>
    </row>
    <row r="4" spans="2:10" ht="30" customHeight="1" thickBot="1" x14ac:dyDescent="0.4">
      <c r="D4" s="37" t="s">
        <v>95</v>
      </c>
      <c r="F4" s="37" t="s">
        <v>96</v>
      </c>
      <c r="H4" s="37" t="s">
        <v>97</v>
      </c>
      <c r="J4" s="37" t="s">
        <v>98</v>
      </c>
    </row>
    <row r="5" spans="2:10" x14ac:dyDescent="0.35">
      <c r="D5" s="29" t="s">
        <v>9</v>
      </c>
      <c r="F5" s="29" t="s">
        <v>151</v>
      </c>
      <c r="H5" s="29" t="s">
        <v>18</v>
      </c>
      <c r="J5" s="30" t="s">
        <v>22</v>
      </c>
    </row>
    <row r="6" spans="2:10" x14ac:dyDescent="0.35">
      <c r="D6" s="33" t="s">
        <v>2</v>
      </c>
      <c r="F6" s="33"/>
      <c r="H6" s="33" t="s">
        <v>19</v>
      </c>
      <c r="J6" s="33"/>
    </row>
    <row r="7" spans="2:10" x14ac:dyDescent="0.35">
      <c r="D7" s="33" t="s">
        <v>3</v>
      </c>
      <c r="F7" s="33"/>
      <c r="H7" s="33" t="s">
        <v>20</v>
      </c>
      <c r="J7" s="33"/>
    </row>
    <row r="8" spans="2:10" x14ac:dyDescent="0.35">
      <c r="D8" s="33" t="s">
        <v>4</v>
      </c>
      <c r="F8" s="33"/>
      <c r="H8" s="33"/>
      <c r="J8" s="33"/>
    </row>
    <row r="9" spans="2:10" x14ac:dyDescent="0.35">
      <c r="D9" s="33" t="s">
        <v>10</v>
      </c>
      <c r="F9" s="33"/>
      <c r="H9" s="33"/>
      <c r="J9" s="33"/>
    </row>
    <row r="10" spans="2:10" x14ac:dyDescent="0.35">
      <c r="D10" s="33" t="s">
        <v>6</v>
      </c>
      <c r="F10" s="33"/>
      <c r="H10" s="33"/>
      <c r="J10" s="33"/>
    </row>
    <row r="11" spans="2:10" x14ac:dyDescent="0.35">
      <c r="D11" s="33"/>
      <c r="F11" s="33"/>
      <c r="H11" s="33"/>
      <c r="J11" s="33"/>
    </row>
    <row r="12" spans="2:10" x14ac:dyDescent="0.35">
      <c r="D12" s="33"/>
      <c r="F12" s="33"/>
      <c r="H12" s="33"/>
      <c r="J12" s="33"/>
    </row>
    <row r="13" spans="2:10" x14ac:dyDescent="0.35">
      <c r="D13" s="33"/>
      <c r="F13" s="33"/>
      <c r="H13" s="33"/>
      <c r="J13" s="33"/>
    </row>
    <row r="14" spans="2:10" x14ac:dyDescent="0.35">
      <c r="D14" s="33"/>
      <c r="F14" s="33"/>
      <c r="H14" s="33"/>
      <c r="J14" s="33"/>
    </row>
    <row r="15" spans="2:10" x14ac:dyDescent="0.35">
      <c r="D15" s="33"/>
      <c r="F15" s="33"/>
      <c r="H15" s="33"/>
      <c r="J15" s="33"/>
    </row>
    <row r="16" spans="2:10" x14ac:dyDescent="0.35">
      <c r="D16" s="33"/>
      <c r="F16" s="33"/>
      <c r="H16" s="33"/>
      <c r="J16" s="33"/>
    </row>
    <row r="17" spans="4:10" x14ac:dyDescent="0.35">
      <c r="D17" s="33"/>
      <c r="F17" s="33"/>
      <c r="H17" s="33"/>
      <c r="J17" s="33"/>
    </row>
    <row r="18" spans="4:10" x14ac:dyDescent="0.35">
      <c r="D18" s="33"/>
      <c r="F18" s="33"/>
      <c r="H18" s="33"/>
      <c r="J18" s="33"/>
    </row>
    <row r="19" spans="4:10" x14ac:dyDescent="0.35">
      <c r="D19" s="33"/>
      <c r="F19" s="33"/>
      <c r="H19" s="33"/>
      <c r="J19" s="33"/>
    </row>
    <row r="20" spans="4:10" x14ac:dyDescent="0.35">
      <c r="D20" s="33"/>
      <c r="F20" s="33"/>
      <c r="H20" s="33"/>
      <c r="J20" s="33"/>
    </row>
    <row r="21" spans="4:10" x14ac:dyDescent="0.35">
      <c r="D21" s="33"/>
      <c r="F21" s="33"/>
      <c r="H21" s="33"/>
      <c r="J21" s="33"/>
    </row>
    <row r="22" spans="4:10" x14ac:dyDescent="0.35">
      <c r="D22" s="33"/>
      <c r="F22" s="33"/>
      <c r="H22" s="33"/>
      <c r="J22" s="33"/>
    </row>
    <row r="23" spans="4:10" x14ac:dyDescent="0.35">
      <c r="D23" s="33"/>
      <c r="F23" s="33"/>
      <c r="H23" s="33"/>
      <c r="J23" s="33"/>
    </row>
    <row r="24" spans="4:10" x14ac:dyDescent="0.35">
      <c r="D24" s="33"/>
      <c r="F24" s="33"/>
      <c r="H24" s="33"/>
      <c r="J24" s="33"/>
    </row>
    <row r="25" spans="4:10" x14ac:dyDescent="0.35">
      <c r="D25" s="33"/>
      <c r="F25" s="33"/>
      <c r="H25" s="33"/>
      <c r="J25" s="33"/>
    </row>
    <row r="26" spans="4:10" x14ac:dyDescent="0.35">
      <c r="D26" s="33"/>
      <c r="F26" s="33"/>
      <c r="H26" s="33"/>
      <c r="J26" s="33"/>
    </row>
    <row r="27" spans="4:10" x14ac:dyDescent="0.35">
      <c r="D27" s="33"/>
      <c r="F27" s="33"/>
      <c r="H27" s="33"/>
      <c r="J27" s="33"/>
    </row>
    <row r="28" spans="4:10" x14ac:dyDescent="0.35">
      <c r="D28" s="33"/>
      <c r="F28" s="33"/>
      <c r="H28" s="33"/>
      <c r="J28" s="33"/>
    </row>
    <row r="29" spans="4:10" x14ac:dyDescent="0.35">
      <c r="D29" s="33"/>
      <c r="F29" s="33"/>
      <c r="H29" s="33"/>
      <c r="J29" s="33"/>
    </row>
    <row r="30" spans="4:10" x14ac:dyDescent="0.35">
      <c r="D30" s="33"/>
      <c r="F30" s="33"/>
      <c r="H30" s="33"/>
      <c r="J30" s="33"/>
    </row>
    <row r="31" spans="4:10" x14ac:dyDescent="0.35">
      <c r="D31" s="33"/>
      <c r="F31" s="33"/>
      <c r="H31" s="33"/>
      <c r="J31" s="33"/>
    </row>
    <row r="32" spans="4:10" x14ac:dyDescent="0.35">
      <c r="D32" s="33"/>
      <c r="F32" s="33"/>
      <c r="H32" s="33"/>
      <c r="J32" s="33"/>
    </row>
    <row r="33" spans="4:10" x14ac:dyDescent="0.35">
      <c r="D33" s="33"/>
      <c r="F33" s="33"/>
      <c r="H33" s="33"/>
      <c r="J33" s="33"/>
    </row>
    <row r="34" spans="4:10" x14ac:dyDescent="0.35">
      <c r="D34" s="33"/>
      <c r="F34" s="33"/>
      <c r="H34" s="33"/>
      <c r="J34" s="33"/>
    </row>
    <row r="35" spans="4:10" x14ac:dyDescent="0.35">
      <c r="D35" s="33"/>
      <c r="F35" s="33"/>
      <c r="H35" s="33"/>
      <c r="J35" s="33"/>
    </row>
    <row r="36" spans="4:10" x14ac:dyDescent="0.35">
      <c r="D36" s="33"/>
      <c r="F36" s="33"/>
      <c r="H36" s="33"/>
      <c r="J36" s="33"/>
    </row>
    <row r="37" spans="4:10" x14ac:dyDescent="0.35">
      <c r="D37" s="33"/>
      <c r="F37" s="33"/>
      <c r="H37" s="33"/>
      <c r="J37" s="33"/>
    </row>
    <row r="38" spans="4:10" x14ac:dyDescent="0.35">
      <c r="D38" s="33"/>
      <c r="F38" s="33"/>
      <c r="H38" s="33"/>
      <c r="J38" s="33"/>
    </row>
    <row r="39" spans="4:10" x14ac:dyDescent="0.35">
      <c r="D39" s="33"/>
      <c r="F39" s="33"/>
      <c r="H39" s="33"/>
      <c r="J39" s="33"/>
    </row>
    <row r="40" spans="4:10" ht="15" thickBot="1" x14ac:dyDescent="0.4">
      <c r="D40" s="34"/>
      <c r="F40" s="34"/>
      <c r="H40" s="34"/>
      <c r="J40" s="34"/>
    </row>
    <row r="41" spans="4:10" x14ac:dyDescent="0.35">
      <c r="D41" s="31" t="s">
        <v>94</v>
      </c>
      <c r="F41" s="31" t="s">
        <v>94</v>
      </c>
      <c r="H41" s="31" t="s">
        <v>94</v>
      </c>
      <c r="J41" s="31" t="s">
        <v>94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CC9900"/>
  </sheetPr>
  <dimension ref="B1:K47"/>
  <sheetViews>
    <sheetView zoomScaleNormal="100" workbookViewId="0">
      <selection activeCell="D3" sqref="D3"/>
    </sheetView>
  </sheetViews>
  <sheetFormatPr defaultColWidth="11.54296875" defaultRowHeight="14.5" x14ac:dyDescent="0.35"/>
  <cols>
    <col min="1" max="3" width="3.90625" style="5" customWidth="1"/>
    <col min="4" max="10" width="15.90625" style="5" customWidth="1"/>
    <col min="11" max="11" width="56" style="5" bestFit="1" customWidth="1"/>
    <col min="12" max="16384" width="11.54296875" style="5"/>
  </cols>
  <sheetData>
    <row r="1" spans="2:11" s="3" customFormat="1" ht="24.9" customHeight="1" x14ac:dyDescent="0.35">
      <c r="B1" s="2" t="s">
        <v>11</v>
      </c>
    </row>
    <row r="3" spans="2:11" ht="15" thickBot="1" x14ac:dyDescent="0.4">
      <c r="D3" s="38" t="str">
        <f>JESA_UploadTable(B1,D4:K10)</f>
        <v>mining_options Saved! @08:24:13</v>
      </c>
    </row>
    <row r="4" spans="2:11" ht="30" customHeight="1" thickBot="1" x14ac:dyDescent="0.4">
      <c r="D4" s="6" t="s">
        <v>8</v>
      </c>
      <c r="E4" s="7" t="s">
        <v>30</v>
      </c>
      <c r="F4" s="6" t="s">
        <v>49</v>
      </c>
      <c r="G4" s="4" t="s">
        <v>50</v>
      </c>
      <c r="H4" s="4" t="s">
        <v>71</v>
      </c>
      <c r="I4" s="4" t="s">
        <v>147</v>
      </c>
      <c r="J4" s="4" t="s">
        <v>153</v>
      </c>
      <c r="K4" s="6" t="s">
        <v>154</v>
      </c>
    </row>
    <row r="5" spans="2:11" x14ac:dyDescent="0.35">
      <c r="D5" s="8" t="s">
        <v>3</v>
      </c>
      <c r="E5" s="8" t="s">
        <v>3</v>
      </c>
      <c r="F5" s="8" t="s">
        <v>151</v>
      </c>
      <c r="G5" s="13">
        <v>3.6363636363636362</v>
      </c>
      <c r="H5" s="13" t="s">
        <v>36</v>
      </c>
      <c r="I5" s="14">
        <v>2018</v>
      </c>
      <c r="J5" s="14">
        <v>2100</v>
      </c>
      <c r="K5" s="8" t="str">
        <f>IF(D5="","","/Mine/"&amp;CONCATENATE(D5,"/",E5,"/",F5,"/",ROUND(G5,2),"/",H5,"/",I5,"/",J5))</f>
        <v>/Mine/Mzinda/Mzinda/Définie/3.64/Existing/2018/2100</v>
      </c>
    </row>
    <row r="6" spans="2:11" x14ac:dyDescent="0.35">
      <c r="D6" s="9" t="s">
        <v>3</v>
      </c>
      <c r="E6" s="9" t="s">
        <v>3</v>
      </c>
      <c r="F6" s="9" t="s">
        <v>151</v>
      </c>
      <c r="G6" s="11">
        <v>4.545454545454545</v>
      </c>
      <c r="H6" s="11" t="s">
        <v>36</v>
      </c>
      <c r="I6" s="15">
        <v>2018</v>
      </c>
      <c r="J6" s="15">
        <v>2100</v>
      </c>
      <c r="K6" s="9" t="str">
        <f t="shared" ref="K6:K33" si="0">IF(D6="","","/Mine/"&amp;CONCATENATE(D6,"/",E6,"/",F6,"/",ROUND(G6,2),"/",H6,"/",I6,"/",J6))</f>
        <v>/Mine/Mzinda/Mzinda/Définie/4.55/Existing/2018/2100</v>
      </c>
    </row>
    <row r="7" spans="2:11" x14ac:dyDescent="0.35">
      <c r="D7" s="9" t="s">
        <v>3</v>
      </c>
      <c r="E7" s="9" t="s">
        <v>3</v>
      </c>
      <c r="F7" s="9" t="s">
        <v>151</v>
      </c>
      <c r="G7" s="11">
        <v>5.4545454545454541</v>
      </c>
      <c r="H7" s="11" t="s">
        <v>148</v>
      </c>
      <c r="I7" s="15">
        <v>2018</v>
      </c>
      <c r="J7" s="15">
        <v>2100</v>
      </c>
      <c r="K7" s="9" t="str">
        <f t="shared" si="0"/>
        <v>/Mine/Mzinda/Mzinda/Définie/5.45/Extension/2018/2100</v>
      </c>
    </row>
    <row r="8" spans="2:11" x14ac:dyDescent="0.35">
      <c r="D8" s="9" t="s">
        <v>3</v>
      </c>
      <c r="E8" s="9" t="s">
        <v>3</v>
      </c>
      <c r="F8" s="9" t="s">
        <v>151</v>
      </c>
      <c r="G8" s="11">
        <v>6.9090909090909083</v>
      </c>
      <c r="H8" s="11" t="s">
        <v>148</v>
      </c>
      <c r="I8" s="15">
        <v>2018</v>
      </c>
      <c r="J8" s="15">
        <v>2100</v>
      </c>
      <c r="K8" s="9" t="str">
        <f t="shared" si="0"/>
        <v>/Mine/Mzinda/Mzinda/Définie/6.91/Extension/2018/2100</v>
      </c>
    </row>
    <row r="9" spans="2:11" x14ac:dyDescent="0.35">
      <c r="D9" s="9" t="s">
        <v>3</v>
      </c>
      <c r="E9" s="9" t="s">
        <v>3</v>
      </c>
      <c r="F9" s="9" t="s">
        <v>151</v>
      </c>
      <c r="G9" s="11">
        <v>8</v>
      </c>
      <c r="H9" s="11" t="s">
        <v>148</v>
      </c>
      <c r="I9" s="15">
        <v>2021</v>
      </c>
      <c r="J9" s="15">
        <v>2100</v>
      </c>
      <c r="K9" s="9" t="str">
        <f t="shared" si="0"/>
        <v>/Mine/Mzinda/Mzinda/Définie/8/Extension/2021/2100</v>
      </c>
    </row>
    <row r="10" spans="2:11" x14ac:dyDescent="0.35">
      <c r="D10" s="9" t="s">
        <v>2</v>
      </c>
      <c r="E10" s="9" t="s">
        <v>2</v>
      </c>
      <c r="F10" s="9" t="s">
        <v>151</v>
      </c>
      <c r="G10" s="11">
        <v>3.2727272727272725</v>
      </c>
      <c r="H10" s="11" t="s">
        <v>36</v>
      </c>
      <c r="I10" s="15">
        <v>2018</v>
      </c>
      <c r="J10" s="15">
        <v>2100</v>
      </c>
      <c r="K10" s="9" t="str">
        <f t="shared" si="0"/>
        <v>/Mine/Bouchane/Bouchane/Définie/3.27/Existing/2018/2100</v>
      </c>
    </row>
    <row r="11" spans="2:11" x14ac:dyDescent="0.35">
      <c r="D11" s="9" t="s">
        <v>2</v>
      </c>
      <c r="E11" s="9" t="s">
        <v>2</v>
      </c>
      <c r="F11" s="9" t="s">
        <v>151</v>
      </c>
      <c r="G11" s="11">
        <v>5.8333333333333339</v>
      </c>
      <c r="H11" s="11" t="s">
        <v>148</v>
      </c>
      <c r="I11" s="15">
        <v>2021</v>
      </c>
      <c r="J11" s="15">
        <v>2100</v>
      </c>
      <c r="K11" s="9" t="str">
        <f t="shared" si="0"/>
        <v>/Mine/Bouchane/Bouchane/Définie/5.83/Extension/2021/2100</v>
      </c>
    </row>
    <row r="12" spans="2:11" x14ac:dyDescent="0.35">
      <c r="D12" s="9" t="s">
        <v>9</v>
      </c>
      <c r="E12" s="9" t="s">
        <v>9</v>
      </c>
      <c r="F12" s="9" t="s">
        <v>151</v>
      </c>
      <c r="G12" s="11">
        <v>4.615384615384615</v>
      </c>
      <c r="H12" s="11" t="s">
        <v>36</v>
      </c>
      <c r="I12" s="15">
        <v>2018</v>
      </c>
      <c r="J12" s="15">
        <v>2100</v>
      </c>
      <c r="K12" s="9" t="str">
        <f t="shared" si="0"/>
        <v>/Mine/Benguerir/Benguerir/Définie/4.62/Existing/2018/2100</v>
      </c>
    </row>
    <row r="13" spans="2:11" x14ac:dyDescent="0.35">
      <c r="D13" s="9" t="s">
        <v>9</v>
      </c>
      <c r="E13" s="9" t="s">
        <v>9</v>
      </c>
      <c r="F13" s="9" t="s">
        <v>151</v>
      </c>
      <c r="G13" s="11">
        <v>6.1538461538461533</v>
      </c>
      <c r="H13" s="11" t="s">
        <v>148</v>
      </c>
      <c r="I13" s="15">
        <v>2021</v>
      </c>
      <c r="J13" s="15">
        <v>2100</v>
      </c>
      <c r="K13" s="9" t="str">
        <f t="shared" si="0"/>
        <v>/Mine/Benguerir/Benguerir/Définie/6.15/Extension/2021/2100</v>
      </c>
    </row>
    <row r="14" spans="2:11" x14ac:dyDescent="0.35">
      <c r="D14" s="9" t="s">
        <v>9</v>
      </c>
      <c r="E14" s="9" t="s">
        <v>9</v>
      </c>
      <c r="F14" s="9" t="s">
        <v>151</v>
      </c>
      <c r="G14" s="11">
        <v>7.6923076923076916</v>
      </c>
      <c r="H14" s="11" t="s">
        <v>148</v>
      </c>
      <c r="I14" s="15">
        <v>2021</v>
      </c>
      <c r="J14" s="15">
        <v>2100</v>
      </c>
      <c r="K14" s="9" t="str">
        <f t="shared" si="0"/>
        <v>/Mine/Benguerir/Benguerir/Définie/7.69/Extension/2021/2100</v>
      </c>
    </row>
    <row r="15" spans="2:11" x14ac:dyDescent="0.35">
      <c r="D15" s="9" t="s">
        <v>9</v>
      </c>
      <c r="E15" s="9" t="s">
        <v>9</v>
      </c>
      <c r="F15" s="9" t="s">
        <v>151</v>
      </c>
      <c r="G15" s="11">
        <v>9.2307692307692299</v>
      </c>
      <c r="H15" s="11" t="s">
        <v>148</v>
      </c>
      <c r="I15" s="15">
        <v>2021</v>
      </c>
      <c r="J15" s="15">
        <v>2100</v>
      </c>
      <c r="K15" s="9" t="str">
        <f t="shared" si="0"/>
        <v>/Mine/Benguerir/Benguerir/Définie/9.23/Extension/2021/2100</v>
      </c>
    </row>
    <row r="16" spans="2:11" x14ac:dyDescent="0.35">
      <c r="D16" s="9" t="s">
        <v>9</v>
      </c>
      <c r="E16" s="9" t="s">
        <v>9</v>
      </c>
      <c r="F16" s="9" t="s">
        <v>151</v>
      </c>
      <c r="G16" s="11">
        <v>10.769230769230768</v>
      </c>
      <c r="H16" s="11" t="s">
        <v>148</v>
      </c>
      <c r="I16" s="15">
        <v>2021</v>
      </c>
      <c r="J16" s="15">
        <v>2100</v>
      </c>
      <c r="K16" s="9" t="str">
        <f t="shared" si="0"/>
        <v>/Mine/Benguerir/Benguerir/Définie/10.77/Extension/2021/2100</v>
      </c>
    </row>
    <row r="17" spans="4:11" x14ac:dyDescent="0.35">
      <c r="D17" s="9" t="s">
        <v>9</v>
      </c>
      <c r="E17" s="9" t="s">
        <v>9</v>
      </c>
      <c r="F17" s="9" t="s">
        <v>151</v>
      </c>
      <c r="G17" s="11">
        <v>12.307692307692307</v>
      </c>
      <c r="H17" s="11" t="s">
        <v>148</v>
      </c>
      <c r="I17" s="15">
        <v>2021</v>
      </c>
      <c r="J17" s="15">
        <v>2100</v>
      </c>
      <c r="K17" s="9" t="str">
        <f t="shared" si="0"/>
        <v>/Mine/Benguerir/Benguerir/Définie/12.31/Extension/2021/2100</v>
      </c>
    </row>
    <row r="18" spans="4:11" x14ac:dyDescent="0.35">
      <c r="D18" s="9" t="s">
        <v>9</v>
      </c>
      <c r="E18" s="9" t="s">
        <v>9</v>
      </c>
      <c r="F18" s="9" t="s">
        <v>151</v>
      </c>
      <c r="G18" s="11">
        <v>13.846153846153845</v>
      </c>
      <c r="H18" s="11" t="s">
        <v>148</v>
      </c>
      <c r="I18" s="15">
        <v>2021</v>
      </c>
      <c r="J18" s="15">
        <v>2100</v>
      </c>
      <c r="K18" s="9" t="str">
        <f t="shared" si="0"/>
        <v>/Mine/Benguerir/Benguerir/Définie/13.85/Extension/2021/2100</v>
      </c>
    </row>
    <row r="19" spans="4:11" x14ac:dyDescent="0.35">
      <c r="D19" s="9" t="s">
        <v>6</v>
      </c>
      <c r="E19" s="9" t="s">
        <v>6</v>
      </c>
      <c r="F19" s="9" t="s">
        <v>151</v>
      </c>
      <c r="G19" s="11">
        <v>4.615384615384615</v>
      </c>
      <c r="H19" s="11" t="s">
        <v>150</v>
      </c>
      <c r="I19" s="15">
        <v>2023</v>
      </c>
      <c r="J19" s="15">
        <v>2100</v>
      </c>
      <c r="K19" s="9" t="str">
        <f t="shared" si="0"/>
        <v>/Mine/Louta/Louta/Définie/4.62/New/2023/2100</v>
      </c>
    </row>
    <row r="20" spans="4:11" x14ac:dyDescent="0.35">
      <c r="D20" s="9" t="s">
        <v>6</v>
      </c>
      <c r="E20" s="9" t="s">
        <v>6</v>
      </c>
      <c r="F20" s="9" t="s">
        <v>151</v>
      </c>
      <c r="G20" s="11">
        <v>6.1538461538461533</v>
      </c>
      <c r="H20" s="11" t="s">
        <v>150</v>
      </c>
      <c r="I20" s="15">
        <v>2023</v>
      </c>
      <c r="J20" s="15">
        <v>2100</v>
      </c>
      <c r="K20" s="9" t="str">
        <f t="shared" si="0"/>
        <v>/Mine/Louta/Louta/Définie/6.15/New/2023/2100</v>
      </c>
    </row>
    <row r="21" spans="4:11" x14ac:dyDescent="0.35">
      <c r="D21" s="9" t="s">
        <v>6</v>
      </c>
      <c r="E21" s="9" t="s">
        <v>6</v>
      </c>
      <c r="F21" s="9" t="s">
        <v>151</v>
      </c>
      <c r="G21" s="11">
        <v>7.6923076923076916</v>
      </c>
      <c r="H21" s="11" t="s">
        <v>150</v>
      </c>
      <c r="I21" s="15">
        <v>2023</v>
      </c>
      <c r="J21" s="15">
        <v>2100</v>
      </c>
      <c r="K21" s="9" t="str">
        <f t="shared" si="0"/>
        <v>/Mine/Louta/Louta/Définie/7.69/New/2023/2100</v>
      </c>
    </row>
    <row r="22" spans="4:11" x14ac:dyDescent="0.35">
      <c r="D22" s="9" t="s">
        <v>6</v>
      </c>
      <c r="E22" s="9" t="s">
        <v>6</v>
      </c>
      <c r="F22" s="9" t="s">
        <v>151</v>
      </c>
      <c r="G22" s="11">
        <v>8.4615384615384617</v>
      </c>
      <c r="H22" s="11" t="s">
        <v>150</v>
      </c>
      <c r="I22" s="15">
        <v>2023</v>
      </c>
      <c r="J22" s="15">
        <v>2100</v>
      </c>
      <c r="K22" s="9" t="str">
        <f t="shared" si="0"/>
        <v>/Mine/Louta/Louta/Définie/8.46/New/2023/2100</v>
      </c>
    </row>
    <row r="23" spans="4:11" x14ac:dyDescent="0.35">
      <c r="D23" s="9" t="s">
        <v>10</v>
      </c>
      <c r="E23" s="9" t="s">
        <v>10</v>
      </c>
      <c r="F23" s="9" t="s">
        <v>151</v>
      </c>
      <c r="G23" s="11">
        <v>4.615384615384615</v>
      </c>
      <c r="H23" s="11" t="s">
        <v>150</v>
      </c>
      <c r="I23" s="15">
        <v>2023</v>
      </c>
      <c r="J23" s="15">
        <v>2100</v>
      </c>
      <c r="K23" s="9" t="str">
        <f t="shared" si="0"/>
        <v>/Mine/Nzalat/Nzalat/Définie/4.62/New/2023/2100</v>
      </c>
    </row>
    <row r="24" spans="4:11" x14ac:dyDescent="0.35">
      <c r="D24" s="9" t="s">
        <v>10</v>
      </c>
      <c r="E24" s="9" t="s">
        <v>10</v>
      </c>
      <c r="F24" s="9" t="s">
        <v>151</v>
      </c>
      <c r="G24" s="11">
        <v>6.1538461538461533</v>
      </c>
      <c r="H24" s="11" t="s">
        <v>150</v>
      </c>
      <c r="I24" s="15">
        <v>2023</v>
      </c>
      <c r="J24" s="15">
        <v>2100</v>
      </c>
      <c r="K24" s="9" t="str">
        <f t="shared" si="0"/>
        <v>/Mine/Nzalat/Nzalat/Définie/6.15/New/2023/2100</v>
      </c>
    </row>
    <row r="25" spans="4:11" x14ac:dyDescent="0.35">
      <c r="D25" s="9" t="s">
        <v>10</v>
      </c>
      <c r="E25" s="9" t="s">
        <v>10</v>
      </c>
      <c r="F25" s="9" t="s">
        <v>151</v>
      </c>
      <c r="G25" s="11">
        <v>7.6923076923076916</v>
      </c>
      <c r="H25" s="11" t="s">
        <v>150</v>
      </c>
      <c r="I25" s="15">
        <v>2023</v>
      </c>
      <c r="J25" s="15">
        <v>2100</v>
      </c>
      <c r="K25" s="9" t="str">
        <f t="shared" si="0"/>
        <v>/Mine/Nzalat/Nzalat/Définie/7.69/New/2023/2100</v>
      </c>
    </row>
    <row r="26" spans="4:11" x14ac:dyDescent="0.35">
      <c r="D26" s="9" t="s">
        <v>10</v>
      </c>
      <c r="E26" s="9" t="s">
        <v>10</v>
      </c>
      <c r="F26" s="9" t="s">
        <v>151</v>
      </c>
      <c r="G26" s="11">
        <v>8.4615384615384617</v>
      </c>
      <c r="H26" s="11" t="s">
        <v>150</v>
      </c>
      <c r="I26" s="15">
        <v>2023</v>
      </c>
      <c r="J26" s="15">
        <v>2100</v>
      </c>
      <c r="K26" s="9" t="str">
        <f t="shared" si="0"/>
        <v>/Mine/Nzalat/Nzalat/Définie/8.46/New/2023/2100</v>
      </c>
    </row>
    <row r="27" spans="4:11" x14ac:dyDescent="0.35">
      <c r="D27" s="9" t="s">
        <v>4</v>
      </c>
      <c r="E27" s="9" t="s">
        <v>4</v>
      </c>
      <c r="F27" s="9" t="s">
        <v>151</v>
      </c>
      <c r="G27" s="11">
        <v>4.615384615384615</v>
      </c>
      <c r="H27" s="11" t="s">
        <v>150</v>
      </c>
      <c r="I27" s="15">
        <v>2023</v>
      </c>
      <c r="J27" s="15">
        <v>2100</v>
      </c>
      <c r="K27" s="9" t="str">
        <f t="shared" si="0"/>
        <v>/Mine/Tassaout/Tassaout/Définie/4.62/New/2023/2100</v>
      </c>
    </row>
    <row r="28" spans="4:11" x14ac:dyDescent="0.35">
      <c r="D28" s="9" t="s">
        <v>4</v>
      </c>
      <c r="E28" s="9" t="s">
        <v>4</v>
      </c>
      <c r="F28" s="9" t="s">
        <v>151</v>
      </c>
      <c r="G28" s="11">
        <v>6.1538461538461533</v>
      </c>
      <c r="H28" s="11" t="s">
        <v>150</v>
      </c>
      <c r="I28" s="15">
        <v>2023</v>
      </c>
      <c r="J28" s="15">
        <v>2100</v>
      </c>
      <c r="K28" s="9" t="str">
        <f t="shared" si="0"/>
        <v>/Mine/Tassaout/Tassaout/Définie/6.15/New/2023/2100</v>
      </c>
    </row>
    <row r="29" spans="4:11" x14ac:dyDescent="0.35">
      <c r="D29" s="9" t="s">
        <v>4</v>
      </c>
      <c r="E29" s="9" t="s">
        <v>4</v>
      </c>
      <c r="F29" s="9" t="s">
        <v>151</v>
      </c>
      <c r="G29" s="11">
        <v>7.6923076923076916</v>
      </c>
      <c r="H29" s="11" t="s">
        <v>150</v>
      </c>
      <c r="I29" s="15">
        <v>2023</v>
      </c>
      <c r="J29" s="15">
        <v>2100</v>
      </c>
      <c r="K29" s="9" t="str">
        <f t="shared" si="0"/>
        <v>/Mine/Tassaout/Tassaout/Définie/7.69/New/2023/2100</v>
      </c>
    </row>
    <row r="30" spans="4:11" x14ac:dyDescent="0.35">
      <c r="D30" s="9" t="s">
        <v>4</v>
      </c>
      <c r="E30" s="9" t="s">
        <v>4</v>
      </c>
      <c r="F30" s="9" t="s">
        <v>151</v>
      </c>
      <c r="G30" s="11">
        <v>9.2307692307692299</v>
      </c>
      <c r="H30" s="11" t="s">
        <v>150</v>
      </c>
      <c r="I30" s="15">
        <v>2023</v>
      </c>
      <c r="J30" s="15">
        <v>2100</v>
      </c>
      <c r="K30" s="9" t="str">
        <f t="shared" si="0"/>
        <v>/Mine/Tassaout/Tassaout/Définie/9.23/New/2023/2100</v>
      </c>
    </row>
    <row r="31" spans="4:11" x14ac:dyDescent="0.35">
      <c r="D31" s="9" t="s">
        <v>4</v>
      </c>
      <c r="E31" s="9" t="s">
        <v>4</v>
      </c>
      <c r="F31" s="9" t="s">
        <v>151</v>
      </c>
      <c r="G31" s="11">
        <v>10.769230769230768</v>
      </c>
      <c r="H31" s="11" t="s">
        <v>150</v>
      </c>
      <c r="I31" s="15">
        <v>2023</v>
      </c>
      <c r="J31" s="15">
        <v>2100</v>
      </c>
      <c r="K31" s="9" t="str">
        <f t="shared" si="0"/>
        <v>/Mine/Tassaout/Tassaout/Définie/10.77/New/2023/2100</v>
      </c>
    </row>
    <row r="32" spans="4:11" x14ac:dyDescent="0.35">
      <c r="D32" s="9" t="s">
        <v>4</v>
      </c>
      <c r="E32" s="9" t="s">
        <v>4</v>
      </c>
      <c r="F32" s="9" t="s">
        <v>151</v>
      </c>
      <c r="G32" s="11">
        <v>12.307692307692307</v>
      </c>
      <c r="H32" s="11" t="s">
        <v>150</v>
      </c>
      <c r="I32" s="15">
        <v>2023</v>
      </c>
      <c r="J32" s="15">
        <v>2100</v>
      </c>
      <c r="K32" s="9" t="str">
        <f t="shared" si="0"/>
        <v>/Mine/Tassaout/Tassaout/Définie/12.31/New/2023/2100</v>
      </c>
    </row>
    <row r="33" spans="4:11" x14ac:dyDescent="0.35">
      <c r="D33" s="9" t="s">
        <v>4</v>
      </c>
      <c r="E33" s="9" t="s">
        <v>4</v>
      </c>
      <c r="F33" s="9" t="s">
        <v>151</v>
      </c>
      <c r="G33" s="11">
        <v>13.846153846153845</v>
      </c>
      <c r="H33" s="11" t="s">
        <v>150</v>
      </c>
      <c r="I33" s="15">
        <v>2023</v>
      </c>
      <c r="J33" s="15">
        <v>2100</v>
      </c>
      <c r="K33" s="9" t="str">
        <f t="shared" si="0"/>
        <v>/Mine/Tassaout/Tassaout/Définie/13.85/New/2023/2100</v>
      </c>
    </row>
    <row r="34" spans="4:11" x14ac:dyDescent="0.35">
      <c r="D34" s="9"/>
      <c r="E34" s="9"/>
      <c r="F34" s="9"/>
      <c r="G34" s="11"/>
      <c r="H34" s="11"/>
      <c r="I34" s="15"/>
      <c r="J34" s="15"/>
      <c r="K34" s="9"/>
    </row>
    <row r="35" spans="4:11" x14ac:dyDescent="0.35">
      <c r="D35" s="9"/>
      <c r="E35" s="9"/>
      <c r="F35" s="9"/>
      <c r="G35" s="11"/>
      <c r="H35" s="11"/>
      <c r="I35" s="15"/>
      <c r="J35" s="15"/>
      <c r="K35" s="9"/>
    </row>
    <row r="36" spans="4:11" x14ac:dyDescent="0.35">
      <c r="D36" s="9"/>
      <c r="E36" s="9"/>
      <c r="F36" s="9"/>
      <c r="G36" s="11"/>
      <c r="H36" s="11"/>
      <c r="I36" s="15"/>
      <c r="J36" s="15"/>
      <c r="K36" s="9"/>
    </row>
    <row r="37" spans="4:11" x14ac:dyDescent="0.35">
      <c r="D37" s="9"/>
      <c r="E37" s="9"/>
      <c r="F37" s="9"/>
      <c r="G37" s="11"/>
      <c r="H37" s="11"/>
      <c r="I37" s="15"/>
      <c r="J37" s="15"/>
      <c r="K37" s="9"/>
    </row>
    <row r="38" spans="4:11" x14ac:dyDescent="0.35">
      <c r="D38" s="9"/>
      <c r="E38" s="9"/>
      <c r="F38" s="9"/>
      <c r="G38" s="11"/>
      <c r="H38" s="11"/>
      <c r="I38" s="15"/>
      <c r="J38" s="15"/>
      <c r="K38" s="9"/>
    </row>
    <row r="39" spans="4:11" x14ac:dyDescent="0.35">
      <c r="D39" s="9"/>
      <c r="E39" s="9"/>
      <c r="F39" s="9"/>
      <c r="G39" s="11"/>
      <c r="H39" s="11"/>
      <c r="I39" s="15"/>
      <c r="J39" s="15"/>
      <c r="K39" s="9" t="str">
        <f t="shared" ref="K39:K47" si="1">IF(D39="","","/Mine/"&amp;CONCATENATE(D39,"/",E39,"/",F39,"/",G39,"/",H39))</f>
        <v/>
      </c>
    </row>
    <row r="40" spans="4:11" x14ac:dyDescent="0.35">
      <c r="D40" s="9"/>
      <c r="E40" s="9"/>
      <c r="F40" s="9"/>
      <c r="G40" s="11"/>
      <c r="H40" s="11"/>
      <c r="I40" s="15"/>
      <c r="J40" s="15"/>
      <c r="K40" s="9" t="str">
        <f t="shared" si="1"/>
        <v/>
      </c>
    </row>
    <row r="41" spans="4:11" x14ac:dyDescent="0.35">
      <c r="D41" s="9"/>
      <c r="E41" s="9"/>
      <c r="F41" s="9"/>
      <c r="G41" s="11"/>
      <c r="H41" s="11"/>
      <c r="I41" s="15"/>
      <c r="J41" s="15"/>
      <c r="K41" s="9" t="str">
        <f t="shared" si="1"/>
        <v/>
      </c>
    </row>
    <row r="42" spans="4:11" x14ac:dyDescent="0.35">
      <c r="D42" s="9"/>
      <c r="E42" s="9"/>
      <c r="F42" s="9"/>
      <c r="G42" s="11"/>
      <c r="H42" s="11"/>
      <c r="I42" s="15"/>
      <c r="J42" s="15"/>
      <c r="K42" s="9" t="str">
        <f t="shared" si="1"/>
        <v/>
      </c>
    </row>
    <row r="43" spans="4:11" x14ac:dyDescent="0.35">
      <c r="D43" s="9"/>
      <c r="E43" s="9"/>
      <c r="F43" s="9"/>
      <c r="G43" s="11"/>
      <c r="H43" s="11"/>
      <c r="I43" s="15"/>
      <c r="J43" s="15"/>
      <c r="K43" s="9" t="str">
        <f t="shared" si="1"/>
        <v/>
      </c>
    </row>
    <row r="44" spans="4:11" x14ac:dyDescent="0.35">
      <c r="D44" s="9"/>
      <c r="E44" s="9"/>
      <c r="F44" s="9"/>
      <c r="G44" s="11"/>
      <c r="H44" s="11"/>
      <c r="I44" s="15"/>
      <c r="J44" s="15"/>
      <c r="K44" s="9" t="str">
        <f t="shared" si="1"/>
        <v/>
      </c>
    </row>
    <row r="45" spans="4:11" x14ac:dyDescent="0.35">
      <c r="D45" s="9"/>
      <c r="E45" s="9"/>
      <c r="F45" s="9"/>
      <c r="G45" s="11"/>
      <c r="H45" s="11"/>
      <c r="I45" s="15"/>
      <c r="J45" s="15"/>
      <c r="K45" s="9" t="str">
        <f t="shared" si="1"/>
        <v/>
      </c>
    </row>
    <row r="46" spans="4:11" ht="15" thickBot="1" x14ac:dyDescent="0.4">
      <c r="D46" s="10"/>
      <c r="E46" s="10"/>
      <c r="F46" s="10"/>
      <c r="G46" s="12"/>
      <c r="H46" s="12"/>
      <c r="I46" s="16"/>
      <c r="J46" s="16"/>
      <c r="K46" s="10" t="str">
        <f t="shared" si="1"/>
        <v/>
      </c>
    </row>
    <row r="47" spans="4:11" x14ac:dyDescent="0.35">
      <c r="D47" s="5" t="e">
        <v>#N/A</v>
      </c>
      <c r="E47" s="5" t="e">
        <v>#N/A</v>
      </c>
      <c r="F47" s="5" t="e">
        <v>#N/A</v>
      </c>
      <c r="G47" s="5" t="e">
        <v>#N/A</v>
      </c>
      <c r="I47" s="5" t="e">
        <v>#N/A</v>
      </c>
      <c r="J47" s="5" t="e">
        <v>#N/A</v>
      </c>
      <c r="K47" s="48" t="e">
        <f t="shared" si="1"/>
        <v>#N/A</v>
      </c>
    </row>
  </sheetData>
  <dataValidations count="4">
    <dataValidation type="list" allowBlank="1" showInputMessage="1" showErrorMessage="1" sqref="F5:F46">
      <formula1>MineProcess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E5:E46">
      <formula1>MineName</formula1>
    </dataValidation>
    <dataValidation type="list" allowBlank="1" showInputMessage="1" showErrorMessage="1" sqref="H5:H46">
      <formula1>"Existing,New,Extension"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J5" sqref="J5"/>
    </sheetView>
  </sheetViews>
  <sheetFormatPr defaultColWidth="11.54296875" defaultRowHeight="14.5" outlineLevelCol="1" x14ac:dyDescent="0.35"/>
  <cols>
    <col min="1" max="3" width="3.90625" style="5" customWidth="1"/>
    <col min="4" max="7" width="15.90625" style="5" customWidth="1"/>
    <col min="8" max="8" width="8.90625" style="5" customWidth="1"/>
    <col min="9" max="18" width="8.90625" style="5" customWidth="1" outlineLevel="1"/>
    <col min="19" max="19" width="8.90625" style="5" customWidth="1"/>
    <col min="20" max="16384" width="11.54296875" style="5"/>
  </cols>
  <sheetData>
    <row r="1" spans="2:18" s="3" customFormat="1" ht="24.9" customHeight="1" x14ac:dyDescent="0.35">
      <c r="B1" s="2" t="s">
        <v>137</v>
      </c>
    </row>
    <row r="3" spans="2:18" ht="15" thickBot="1" x14ac:dyDescent="0.4">
      <c r="D3" s="38" t="str">
        <f>JESA_UploadTable(B1,D4:R50)</f>
        <v>mining_specific_production Saved! @08:24:20</v>
      </c>
    </row>
    <row r="4" spans="2:18" ht="30" customHeight="1" thickBot="1" x14ac:dyDescent="0.4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5">
      <c r="D5" s="8" t="s">
        <v>3</v>
      </c>
      <c r="E5" s="8" t="s">
        <v>151</v>
      </c>
      <c r="F5" s="8" t="s">
        <v>20</v>
      </c>
      <c r="G5" s="8" t="s">
        <v>134</v>
      </c>
      <c r="H5" s="26">
        <v>1</v>
      </c>
      <c r="I5" s="26">
        <f>IF(H5="","",H5)</f>
        <v>1</v>
      </c>
      <c r="J5" s="26">
        <f t="shared" ref="J5:R5" si="0">IF(I5="","",I5)</f>
        <v>1</v>
      </c>
      <c r="K5" s="26">
        <f t="shared" si="0"/>
        <v>1</v>
      </c>
      <c r="L5" s="26">
        <f t="shared" si="0"/>
        <v>1</v>
      </c>
      <c r="M5" s="26">
        <f t="shared" si="0"/>
        <v>1</v>
      </c>
      <c r="N5" s="26">
        <f t="shared" si="0"/>
        <v>1</v>
      </c>
      <c r="O5" s="26">
        <f t="shared" si="0"/>
        <v>1</v>
      </c>
      <c r="P5" s="26">
        <f t="shared" si="0"/>
        <v>1</v>
      </c>
      <c r="Q5" s="26">
        <f t="shared" si="0"/>
        <v>1</v>
      </c>
      <c r="R5" s="26">
        <f t="shared" si="0"/>
        <v>1</v>
      </c>
    </row>
    <row r="6" spans="2:18" x14ac:dyDescent="0.35">
      <c r="D6" s="9" t="s">
        <v>2</v>
      </c>
      <c r="E6" s="9" t="s">
        <v>151</v>
      </c>
      <c r="F6" s="9" t="s">
        <v>19</v>
      </c>
      <c r="G6" s="9" t="s">
        <v>134</v>
      </c>
      <c r="H6" s="27">
        <f>16/1466</f>
        <v>1.0914051841746248E-2</v>
      </c>
      <c r="I6" s="27">
        <f t="shared" ref="I6:R21" si="1">IF(H6="","",H6)</f>
        <v>1.0914051841746248E-2</v>
      </c>
      <c r="J6" s="27">
        <f t="shared" si="1"/>
        <v>1.0914051841746248E-2</v>
      </c>
      <c r="K6" s="27">
        <f t="shared" si="1"/>
        <v>1.0914051841746248E-2</v>
      </c>
      <c r="L6" s="27">
        <f t="shared" si="1"/>
        <v>1.0914051841746248E-2</v>
      </c>
      <c r="M6" s="27">
        <f t="shared" si="1"/>
        <v>1.0914051841746248E-2</v>
      </c>
      <c r="N6" s="27">
        <f t="shared" si="1"/>
        <v>1.0914051841746248E-2</v>
      </c>
      <c r="O6" s="27">
        <f t="shared" si="1"/>
        <v>1.0914051841746248E-2</v>
      </c>
      <c r="P6" s="27">
        <f t="shared" si="1"/>
        <v>1.0914051841746248E-2</v>
      </c>
      <c r="Q6" s="27">
        <f t="shared" si="1"/>
        <v>1.0914051841746248E-2</v>
      </c>
      <c r="R6" s="27">
        <f t="shared" si="1"/>
        <v>1.0914051841746248E-2</v>
      </c>
    </row>
    <row r="7" spans="2:18" x14ac:dyDescent="0.35">
      <c r="D7" s="9" t="s">
        <v>2</v>
      </c>
      <c r="E7" s="9" t="s">
        <v>151</v>
      </c>
      <c r="F7" s="9" t="s">
        <v>18</v>
      </c>
      <c r="G7" s="9" t="s">
        <v>134</v>
      </c>
      <c r="H7" s="27">
        <v>0.23738062755798101</v>
      </c>
      <c r="I7" s="27">
        <f>IF(H7="","",H7)</f>
        <v>0.23738062755798101</v>
      </c>
      <c r="J7" s="27">
        <f t="shared" si="1"/>
        <v>0.23738062755798101</v>
      </c>
      <c r="K7" s="27">
        <f t="shared" si="1"/>
        <v>0.23738062755798101</v>
      </c>
      <c r="L7" s="27">
        <f t="shared" si="1"/>
        <v>0.23738062755798101</v>
      </c>
      <c r="M7" s="27">
        <f t="shared" si="1"/>
        <v>0.23738062755798101</v>
      </c>
      <c r="N7" s="27">
        <f t="shared" si="1"/>
        <v>0.23738062755798101</v>
      </c>
      <c r="O7" s="27">
        <f t="shared" si="1"/>
        <v>0.23738062755798101</v>
      </c>
      <c r="P7" s="27">
        <f t="shared" si="1"/>
        <v>0.23738062755798101</v>
      </c>
      <c r="Q7" s="27">
        <f t="shared" si="1"/>
        <v>0.23738062755798101</v>
      </c>
      <c r="R7" s="27">
        <f t="shared" si="1"/>
        <v>0.23738062755798101</v>
      </c>
    </row>
    <row r="8" spans="2:18" x14ac:dyDescent="0.35">
      <c r="D8" s="9" t="s">
        <v>2</v>
      </c>
      <c r="E8" s="9" t="s">
        <v>151</v>
      </c>
      <c r="F8" s="9" t="s">
        <v>20</v>
      </c>
      <c r="G8" s="9" t="s">
        <v>134</v>
      </c>
      <c r="H8" s="27">
        <f>1-H7-H6</f>
        <v>0.75170532060027273</v>
      </c>
      <c r="I8" s="27">
        <f t="shared" si="1"/>
        <v>0.75170532060027273</v>
      </c>
      <c r="J8" s="27">
        <f t="shared" si="1"/>
        <v>0.75170532060027273</v>
      </c>
      <c r="K8" s="27">
        <f t="shared" si="1"/>
        <v>0.75170532060027273</v>
      </c>
      <c r="L8" s="27">
        <f t="shared" si="1"/>
        <v>0.75170532060027273</v>
      </c>
      <c r="M8" s="27">
        <f t="shared" si="1"/>
        <v>0.75170532060027273</v>
      </c>
      <c r="N8" s="27">
        <f t="shared" si="1"/>
        <v>0.75170532060027273</v>
      </c>
      <c r="O8" s="27">
        <f t="shared" si="1"/>
        <v>0.75170532060027273</v>
      </c>
      <c r="P8" s="27">
        <f t="shared" si="1"/>
        <v>0.75170532060027273</v>
      </c>
      <c r="Q8" s="27">
        <f t="shared" si="1"/>
        <v>0.75170532060027273</v>
      </c>
      <c r="R8" s="27">
        <f t="shared" si="1"/>
        <v>0.75170532060027273</v>
      </c>
    </row>
    <row r="9" spans="2:18" x14ac:dyDescent="0.35">
      <c r="D9" s="9" t="s">
        <v>9</v>
      </c>
      <c r="E9" s="9" t="s">
        <v>151</v>
      </c>
      <c r="F9" s="9" t="s">
        <v>19</v>
      </c>
      <c r="G9" s="9" t="s">
        <v>134</v>
      </c>
      <c r="H9" s="41">
        <v>0</v>
      </c>
      <c r="I9" s="27">
        <f t="shared" si="1"/>
        <v>0</v>
      </c>
      <c r="J9" s="27">
        <f t="shared" si="1"/>
        <v>0</v>
      </c>
      <c r="K9" s="27">
        <f t="shared" si="1"/>
        <v>0</v>
      </c>
      <c r="L9" s="27">
        <f t="shared" si="1"/>
        <v>0</v>
      </c>
      <c r="M9" s="27">
        <f t="shared" si="1"/>
        <v>0</v>
      </c>
      <c r="N9" s="27">
        <f t="shared" si="1"/>
        <v>0</v>
      </c>
      <c r="O9" s="27">
        <f t="shared" si="1"/>
        <v>0</v>
      </c>
      <c r="P9" s="27">
        <f t="shared" si="1"/>
        <v>0</v>
      </c>
      <c r="Q9" s="27">
        <f t="shared" si="1"/>
        <v>0</v>
      </c>
      <c r="R9" s="27">
        <f t="shared" si="1"/>
        <v>0</v>
      </c>
    </row>
    <row r="10" spans="2:18" x14ac:dyDescent="0.35">
      <c r="D10" s="9" t="s">
        <v>9</v>
      </c>
      <c r="E10" s="9" t="s">
        <v>151</v>
      </c>
      <c r="F10" s="9" t="s">
        <v>18</v>
      </c>
      <c r="G10" s="9" t="s">
        <v>134</v>
      </c>
      <c r="H10" s="41"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  <c r="L10" s="27">
        <f t="shared" si="1"/>
        <v>0.1</v>
      </c>
      <c r="M10" s="27">
        <f t="shared" si="1"/>
        <v>0.1</v>
      </c>
      <c r="N10" s="27">
        <f t="shared" si="1"/>
        <v>0.1</v>
      </c>
      <c r="O10" s="27">
        <f t="shared" si="1"/>
        <v>0.1</v>
      </c>
      <c r="P10" s="27">
        <f t="shared" si="1"/>
        <v>0.1</v>
      </c>
      <c r="Q10" s="27">
        <f t="shared" si="1"/>
        <v>0.1</v>
      </c>
      <c r="R10" s="27">
        <f t="shared" si="1"/>
        <v>0.1</v>
      </c>
    </row>
    <row r="11" spans="2:18" x14ac:dyDescent="0.35">
      <c r="D11" s="9" t="s">
        <v>9</v>
      </c>
      <c r="E11" s="9" t="s">
        <v>151</v>
      </c>
      <c r="F11" s="9" t="s">
        <v>20</v>
      </c>
      <c r="G11" s="9" t="s">
        <v>134</v>
      </c>
      <c r="H11" s="41">
        <v>0.9</v>
      </c>
      <c r="I11" s="27">
        <f t="shared" si="1"/>
        <v>0.9</v>
      </c>
      <c r="J11" s="27">
        <f t="shared" si="1"/>
        <v>0.9</v>
      </c>
      <c r="K11" s="27">
        <f t="shared" si="1"/>
        <v>0.9</v>
      </c>
      <c r="L11" s="27">
        <f t="shared" si="1"/>
        <v>0.9</v>
      </c>
      <c r="M11" s="27">
        <f t="shared" si="1"/>
        <v>0.9</v>
      </c>
      <c r="N11" s="27">
        <f t="shared" si="1"/>
        <v>0.9</v>
      </c>
      <c r="O11" s="27">
        <f t="shared" si="1"/>
        <v>0.9</v>
      </c>
      <c r="P11" s="27">
        <f t="shared" si="1"/>
        <v>0.9</v>
      </c>
      <c r="Q11" s="27">
        <f t="shared" si="1"/>
        <v>0.9</v>
      </c>
      <c r="R11" s="27">
        <f t="shared" si="1"/>
        <v>0.9</v>
      </c>
    </row>
    <row r="12" spans="2:18" x14ac:dyDescent="0.35">
      <c r="D12" s="9" t="s">
        <v>6</v>
      </c>
      <c r="E12" s="9" t="s">
        <v>151</v>
      </c>
      <c r="F12" s="9" t="s">
        <v>19</v>
      </c>
      <c r="G12" s="9" t="s">
        <v>134</v>
      </c>
      <c r="H12" s="41">
        <v>0</v>
      </c>
      <c r="I12" s="27">
        <f t="shared" si="1"/>
        <v>0</v>
      </c>
      <c r="J12" s="27">
        <f t="shared" si="1"/>
        <v>0</v>
      </c>
      <c r="K12" s="27">
        <f t="shared" si="1"/>
        <v>0</v>
      </c>
      <c r="L12" s="27">
        <f t="shared" si="1"/>
        <v>0</v>
      </c>
      <c r="M12" s="27">
        <f t="shared" si="1"/>
        <v>0</v>
      </c>
      <c r="N12" s="27">
        <f t="shared" si="1"/>
        <v>0</v>
      </c>
      <c r="O12" s="27">
        <f t="shared" si="1"/>
        <v>0</v>
      </c>
      <c r="P12" s="27">
        <f t="shared" si="1"/>
        <v>0</v>
      </c>
      <c r="Q12" s="27">
        <f t="shared" si="1"/>
        <v>0</v>
      </c>
      <c r="R12" s="27">
        <f t="shared" si="1"/>
        <v>0</v>
      </c>
    </row>
    <row r="13" spans="2:18" x14ac:dyDescent="0.35">
      <c r="D13" s="9" t="s">
        <v>6</v>
      </c>
      <c r="E13" s="9" t="s">
        <v>151</v>
      </c>
      <c r="F13" s="9" t="s">
        <v>18</v>
      </c>
      <c r="G13" s="9" t="s">
        <v>134</v>
      </c>
      <c r="H13" s="41">
        <v>0.1</v>
      </c>
      <c r="I13" s="27">
        <f t="shared" si="1"/>
        <v>0.1</v>
      </c>
      <c r="J13" s="27">
        <f t="shared" si="1"/>
        <v>0.1</v>
      </c>
      <c r="K13" s="27">
        <f t="shared" si="1"/>
        <v>0.1</v>
      </c>
      <c r="L13" s="27">
        <f t="shared" si="1"/>
        <v>0.1</v>
      </c>
      <c r="M13" s="27">
        <f t="shared" si="1"/>
        <v>0.1</v>
      </c>
      <c r="N13" s="27">
        <f t="shared" si="1"/>
        <v>0.1</v>
      </c>
      <c r="O13" s="27">
        <f t="shared" si="1"/>
        <v>0.1</v>
      </c>
      <c r="P13" s="27">
        <f t="shared" si="1"/>
        <v>0.1</v>
      </c>
      <c r="Q13" s="27">
        <f t="shared" si="1"/>
        <v>0.1</v>
      </c>
      <c r="R13" s="27">
        <f t="shared" si="1"/>
        <v>0.1</v>
      </c>
    </row>
    <row r="14" spans="2:18" x14ac:dyDescent="0.35">
      <c r="D14" s="9" t="s">
        <v>6</v>
      </c>
      <c r="E14" s="9" t="s">
        <v>151</v>
      </c>
      <c r="F14" s="9" t="s">
        <v>20</v>
      </c>
      <c r="G14" s="9" t="s">
        <v>134</v>
      </c>
      <c r="H14" s="41">
        <v>0.9</v>
      </c>
      <c r="I14" s="27">
        <f t="shared" si="1"/>
        <v>0.9</v>
      </c>
      <c r="J14" s="27">
        <f t="shared" si="1"/>
        <v>0.9</v>
      </c>
      <c r="K14" s="27">
        <f t="shared" si="1"/>
        <v>0.9</v>
      </c>
      <c r="L14" s="27">
        <f t="shared" si="1"/>
        <v>0.9</v>
      </c>
      <c r="M14" s="27">
        <f t="shared" si="1"/>
        <v>0.9</v>
      </c>
      <c r="N14" s="27">
        <f t="shared" si="1"/>
        <v>0.9</v>
      </c>
      <c r="O14" s="27">
        <f t="shared" si="1"/>
        <v>0.9</v>
      </c>
      <c r="P14" s="27">
        <f t="shared" si="1"/>
        <v>0.9</v>
      </c>
      <c r="Q14" s="27">
        <f t="shared" si="1"/>
        <v>0.9</v>
      </c>
      <c r="R14" s="27">
        <f t="shared" si="1"/>
        <v>0.9</v>
      </c>
    </row>
    <row r="15" spans="2:18" x14ac:dyDescent="0.35">
      <c r="D15" s="9" t="s">
        <v>10</v>
      </c>
      <c r="E15" s="9" t="s">
        <v>151</v>
      </c>
      <c r="F15" s="9" t="s">
        <v>19</v>
      </c>
      <c r="G15" s="9" t="s">
        <v>134</v>
      </c>
      <c r="H15" s="41">
        <v>0</v>
      </c>
      <c r="I15" s="27">
        <f t="shared" si="1"/>
        <v>0</v>
      </c>
      <c r="J15" s="27">
        <f t="shared" si="1"/>
        <v>0</v>
      </c>
      <c r="K15" s="27">
        <f t="shared" si="1"/>
        <v>0</v>
      </c>
      <c r="L15" s="27">
        <f t="shared" si="1"/>
        <v>0</v>
      </c>
      <c r="M15" s="27">
        <f t="shared" si="1"/>
        <v>0</v>
      </c>
      <c r="N15" s="27">
        <f t="shared" si="1"/>
        <v>0</v>
      </c>
      <c r="O15" s="27">
        <f t="shared" si="1"/>
        <v>0</v>
      </c>
      <c r="P15" s="27">
        <f t="shared" si="1"/>
        <v>0</v>
      </c>
      <c r="Q15" s="27">
        <f t="shared" si="1"/>
        <v>0</v>
      </c>
      <c r="R15" s="27">
        <f t="shared" si="1"/>
        <v>0</v>
      </c>
    </row>
    <row r="16" spans="2:18" x14ac:dyDescent="0.35">
      <c r="D16" s="9" t="s">
        <v>10</v>
      </c>
      <c r="E16" s="9" t="s">
        <v>151</v>
      </c>
      <c r="F16" s="9" t="s">
        <v>18</v>
      </c>
      <c r="G16" s="9" t="s">
        <v>134</v>
      </c>
      <c r="H16" s="41">
        <v>0.1</v>
      </c>
      <c r="I16" s="27">
        <f t="shared" si="1"/>
        <v>0.1</v>
      </c>
      <c r="J16" s="27">
        <f t="shared" si="1"/>
        <v>0.1</v>
      </c>
      <c r="K16" s="27">
        <f t="shared" si="1"/>
        <v>0.1</v>
      </c>
      <c r="L16" s="27">
        <f t="shared" si="1"/>
        <v>0.1</v>
      </c>
      <c r="M16" s="27">
        <f t="shared" si="1"/>
        <v>0.1</v>
      </c>
      <c r="N16" s="27">
        <f t="shared" si="1"/>
        <v>0.1</v>
      </c>
      <c r="O16" s="27">
        <f t="shared" si="1"/>
        <v>0.1</v>
      </c>
      <c r="P16" s="27">
        <f t="shared" si="1"/>
        <v>0.1</v>
      </c>
      <c r="Q16" s="27">
        <f t="shared" si="1"/>
        <v>0.1</v>
      </c>
      <c r="R16" s="27">
        <f t="shared" si="1"/>
        <v>0.1</v>
      </c>
    </row>
    <row r="17" spans="4:18" x14ac:dyDescent="0.35">
      <c r="D17" s="9" t="s">
        <v>10</v>
      </c>
      <c r="E17" s="9" t="s">
        <v>151</v>
      </c>
      <c r="F17" s="9" t="s">
        <v>20</v>
      </c>
      <c r="G17" s="9" t="s">
        <v>134</v>
      </c>
      <c r="H17" s="41">
        <v>0.9</v>
      </c>
      <c r="I17" s="27">
        <f t="shared" si="1"/>
        <v>0.9</v>
      </c>
      <c r="J17" s="27">
        <f t="shared" si="1"/>
        <v>0.9</v>
      </c>
      <c r="K17" s="27">
        <f t="shared" si="1"/>
        <v>0.9</v>
      </c>
      <c r="L17" s="27">
        <f t="shared" si="1"/>
        <v>0.9</v>
      </c>
      <c r="M17" s="27">
        <f t="shared" si="1"/>
        <v>0.9</v>
      </c>
      <c r="N17" s="27">
        <f t="shared" si="1"/>
        <v>0.9</v>
      </c>
      <c r="O17" s="27">
        <f t="shared" si="1"/>
        <v>0.9</v>
      </c>
      <c r="P17" s="27">
        <f t="shared" si="1"/>
        <v>0.9</v>
      </c>
      <c r="Q17" s="27">
        <f t="shared" si="1"/>
        <v>0.9</v>
      </c>
      <c r="R17" s="27">
        <f t="shared" si="1"/>
        <v>0.9</v>
      </c>
    </row>
    <row r="18" spans="4:18" x14ac:dyDescent="0.35">
      <c r="D18" s="9" t="s">
        <v>4</v>
      </c>
      <c r="E18" s="9" t="s">
        <v>151</v>
      </c>
      <c r="F18" s="9" t="s">
        <v>19</v>
      </c>
      <c r="G18" s="9" t="s">
        <v>134</v>
      </c>
      <c r="H18" s="41">
        <v>0</v>
      </c>
      <c r="I18" s="27">
        <f t="shared" si="1"/>
        <v>0</v>
      </c>
      <c r="J18" s="27">
        <f t="shared" si="1"/>
        <v>0</v>
      </c>
      <c r="K18" s="27">
        <f t="shared" si="1"/>
        <v>0</v>
      </c>
      <c r="L18" s="27">
        <f t="shared" si="1"/>
        <v>0</v>
      </c>
      <c r="M18" s="27">
        <f t="shared" si="1"/>
        <v>0</v>
      </c>
      <c r="N18" s="27">
        <f t="shared" si="1"/>
        <v>0</v>
      </c>
      <c r="O18" s="27">
        <f t="shared" si="1"/>
        <v>0</v>
      </c>
      <c r="P18" s="27">
        <f t="shared" si="1"/>
        <v>0</v>
      </c>
      <c r="Q18" s="27">
        <f t="shared" si="1"/>
        <v>0</v>
      </c>
      <c r="R18" s="27">
        <f t="shared" si="1"/>
        <v>0</v>
      </c>
    </row>
    <row r="19" spans="4:18" x14ac:dyDescent="0.35">
      <c r="D19" s="9" t="s">
        <v>4</v>
      </c>
      <c r="E19" s="9" t="s">
        <v>151</v>
      </c>
      <c r="F19" s="9" t="s">
        <v>18</v>
      </c>
      <c r="G19" s="9" t="s">
        <v>134</v>
      </c>
      <c r="H19" s="41">
        <v>0.1</v>
      </c>
      <c r="I19" s="27">
        <f t="shared" si="1"/>
        <v>0.1</v>
      </c>
      <c r="J19" s="27">
        <f t="shared" si="1"/>
        <v>0.1</v>
      </c>
      <c r="K19" s="27">
        <f t="shared" si="1"/>
        <v>0.1</v>
      </c>
      <c r="L19" s="27">
        <f t="shared" si="1"/>
        <v>0.1</v>
      </c>
      <c r="M19" s="27">
        <f t="shared" si="1"/>
        <v>0.1</v>
      </c>
      <c r="N19" s="27">
        <f t="shared" si="1"/>
        <v>0.1</v>
      </c>
      <c r="O19" s="27">
        <f t="shared" si="1"/>
        <v>0.1</v>
      </c>
      <c r="P19" s="27">
        <f t="shared" si="1"/>
        <v>0.1</v>
      </c>
      <c r="Q19" s="27">
        <f t="shared" si="1"/>
        <v>0.1</v>
      </c>
      <c r="R19" s="27">
        <f t="shared" si="1"/>
        <v>0.1</v>
      </c>
    </row>
    <row r="20" spans="4:18" x14ac:dyDescent="0.35">
      <c r="D20" s="9" t="s">
        <v>4</v>
      </c>
      <c r="E20" s="9" t="s">
        <v>151</v>
      </c>
      <c r="F20" s="9" t="s">
        <v>20</v>
      </c>
      <c r="G20" s="9" t="s">
        <v>134</v>
      </c>
      <c r="H20" s="41">
        <v>0.9</v>
      </c>
      <c r="I20" s="27">
        <f t="shared" si="1"/>
        <v>0.9</v>
      </c>
      <c r="J20" s="27">
        <f t="shared" si="1"/>
        <v>0.9</v>
      </c>
      <c r="K20" s="27">
        <f t="shared" si="1"/>
        <v>0.9</v>
      </c>
      <c r="L20" s="27">
        <f t="shared" si="1"/>
        <v>0.9</v>
      </c>
      <c r="M20" s="27">
        <f t="shared" si="1"/>
        <v>0.9</v>
      </c>
      <c r="N20" s="27">
        <f t="shared" si="1"/>
        <v>0.9</v>
      </c>
      <c r="O20" s="27">
        <f t="shared" si="1"/>
        <v>0.9</v>
      </c>
      <c r="P20" s="27">
        <f t="shared" si="1"/>
        <v>0.9</v>
      </c>
      <c r="Q20" s="27">
        <f t="shared" si="1"/>
        <v>0.9</v>
      </c>
      <c r="R20" s="27">
        <f t="shared" si="1"/>
        <v>0.9</v>
      </c>
    </row>
    <row r="21" spans="4:18" x14ac:dyDescent="0.35">
      <c r="D21" s="9"/>
      <c r="E21" s="9"/>
      <c r="F21" s="9"/>
      <c r="G21" s="9"/>
      <c r="H21" s="27"/>
      <c r="I21" s="27" t="str">
        <f t="shared" si="1"/>
        <v/>
      </c>
      <c r="J21" s="27" t="str">
        <f t="shared" si="1"/>
        <v/>
      </c>
      <c r="K21" s="27" t="str">
        <f t="shared" si="1"/>
        <v/>
      </c>
      <c r="L21" s="27" t="str">
        <f t="shared" si="1"/>
        <v/>
      </c>
      <c r="M21" s="27" t="str">
        <f t="shared" si="1"/>
        <v/>
      </c>
      <c r="N21" s="27" t="str">
        <f t="shared" si="1"/>
        <v/>
      </c>
      <c r="O21" s="27" t="str">
        <f t="shared" si="1"/>
        <v/>
      </c>
      <c r="P21" s="27" t="str">
        <f t="shared" si="1"/>
        <v/>
      </c>
      <c r="Q21" s="27" t="str">
        <f t="shared" si="1"/>
        <v/>
      </c>
      <c r="R21" s="27" t="str">
        <f t="shared" si="1"/>
        <v/>
      </c>
    </row>
    <row r="22" spans="4:18" x14ac:dyDescent="0.35">
      <c r="D22" s="9"/>
      <c r="E22" s="9"/>
      <c r="F22" s="9"/>
      <c r="G22" s="9"/>
      <c r="H22" s="27"/>
      <c r="I22" s="27" t="str">
        <f t="shared" ref="I22:R37" si="2">IF(H22="","",H22)</f>
        <v/>
      </c>
      <c r="J22" s="27" t="str">
        <f t="shared" si="2"/>
        <v/>
      </c>
      <c r="K22" s="27" t="str">
        <f t="shared" si="2"/>
        <v/>
      </c>
      <c r="L22" s="27" t="str">
        <f t="shared" si="2"/>
        <v/>
      </c>
      <c r="M22" s="27" t="str">
        <f t="shared" si="2"/>
        <v/>
      </c>
      <c r="N22" s="27" t="str">
        <f t="shared" si="2"/>
        <v/>
      </c>
      <c r="O22" s="27" t="str">
        <f t="shared" si="2"/>
        <v/>
      </c>
      <c r="P22" s="27" t="str">
        <f t="shared" si="2"/>
        <v/>
      </c>
      <c r="Q22" s="27" t="str">
        <f t="shared" si="2"/>
        <v/>
      </c>
      <c r="R22" s="27" t="str">
        <f t="shared" si="2"/>
        <v/>
      </c>
    </row>
    <row r="23" spans="4:18" x14ac:dyDescent="0.35">
      <c r="D23" s="9"/>
      <c r="E23" s="9"/>
      <c r="F23" s="9"/>
      <c r="G23" s="9"/>
      <c r="H23" s="27"/>
      <c r="I23" s="27" t="str">
        <f t="shared" si="2"/>
        <v/>
      </c>
      <c r="J23" s="27" t="str">
        <f t="shared" si="2"/>
        <v/>
      </c>
      <c r="K23" s="27" t="str">
        <f t="shared" si="2"/>
        <v/>
      </c>
      <c r="L23" s="27" t="str">
        <f t="shared" si="2"/>
        <v/>
      </c>
      <c r="M23" s="27" t="str">
        <f t="shared" si="2"/>
        <v/>
      </c>
      <c r="N23" s="27" t="str">
        <f t="shared" si="2"/>
        <v/>
      </c>
      <c r="O23" s="27" t="str">
        <f t="shared" si="2"/>
        <v/>
      </c>
      <c r="P23" s="27" t="str">
        <f t="shared" si="2"/>
        <v/>
      </c>
      <c r="Q23" s="27" t="str">
        <f t="shared" si="2"/>
        <v/>
      </c>
      <c r="R23" s="27" t="str">
        <f t="shared" si="2"/>
        <v/>
      </c>
    </row>
    <row r="24" spans="4:18" x14ac:dyDescent="0.35">
      <c r="D24" s="9"/>
      <c r="E24" s="9"/>
      <c r="F24" s="9"/>
      <c r="G24" s="9"/>
      <c r="H24" s="27"/>
      <c r="I24" s="27" t="str">
        <f t="shared" si="2"/>
        <v/>
      </c>
      <c r="J24" s="27" t="str">
        <f t="shared" si="2"/>
        <v/>
      </c>
      <c r="K24" s="27" t="str">
        <f t="shared" si="2"/>
        <v/>
      </c>
      <c r="L24" s="27" t="str">
        <f t="shared" si="2"/>
        <v/>
      </c>
      <c r="M24" s="27" t="str">
        <f t="shared" si="2"/>
        <v/>
      </c>
      <c r="N24" s="27" t="str">
        <f t="shared" si="2"/>
        <v/>
      </c>
      <c r="O24" s="27" t="str">
        <f t="shared" si="2"/>
        <v/>
      </c>
      <c r="P24" s="27" t="str">
        <f t="shared" si="2"/>
        <v/>
      </c>
      <c r="Q24" s="27" t="str">
        <f t="shared" si="2"/>
        <v/>
      </c>
      <c r="R24" s="27" t="str">
        <f t="shared" si="2"/>
        <v/>
      </c>
    </row>
    <row r="25" spans="4:18" x14ac:dyDescent="0.35">
      <c r="D25" s="9"/>
      <c r="E25" s="9"/>
      <c r="F25" s="9"/>
      <c r="G25" s="9"/>
      <c r="H25" s="27"/>
      <c r="I25" s="27" t="str">
        <f t="shared" si="2"/>
        <v/>
      </c>
      <c r="J25" s="27" t="str">
        <f t="shared" si="2"/>
        <v/>
      </c>
      <c r="K25" s="27" t="str">
        <f t="shared" si="2"/>
        <v/>
      </c>
      <c r="L25" s="27" t="str">
        <f t="shared" si="2"/>
        <v/>
      </c>
      <c r="M25" s="27" t="str">
        <f t="shared" si="2"/>
        <v/>
      </c>
      <c r="N25" s="27" t="str">
        <f t="shared" si="2"/>
        <v/>
      </c>
      <c r="O25" s="27" t="str">
        <f t="shared" si="2"/>
        <v/>
      </c>
      <c r="P25" s="27" t="str">
        <f t="shared" si="2"/>
        <v/>
      </c>
      <c r="Q25" s="27" t="str">
        <f t="shared" si="2"/>
        <v/>
      </c>
      <c r="R25" s="27" t="str">
        <f t="shared" si="2"/>
        <v/>
      </c>
    </row>
    <row r="26" spans="4:18" x14ac:dyDescent="0.35">
      <c r="D26" s="9"/>
      <c r="E26" s="9"/>
      <c r="F26" s="9"/>
      <c r="G26" s="9"/>
      <c r="H26" s="27"/>
      <c r="I26" s="27" t="str">
        <f t="shared" si="2"/>
        <v/>
      </c>
      <c r="J26" s="27" t="str">
        <f t="shared" si="2"/>
        <v/>
      </c>
      <c r="K26" s="27" t="str">
        <f t="shared" si="2"/>
        <v/>
      </c>
      <c r="L26" s="27" t="str">
        <f t="shared" si="2"/>
        <v/>
      </c>
      <c r="M26" s="27" t="str">
        <f t="shared" si="2"/>
        <v/>
      </c>
      <c r="N26" s="27" t="str">
        <f t="shared" si="2"/>
        <v/>
      </c>
      <c r="O26" s="27" t="str">
        <f t="shared" si="2"/>
        <v/>
      </c>
      <c r="P26" s="27" t="str">
        <f t="shared" si="2"/>
        <v/>
      </c>
      <c r="Q26" s="27" t="str">
        <f t="shared" si="2"/>
        <v/>
      </c>
      <c r="R26" s="27" t="str">
        <f t="shared" si="2"/>
        <v/>
      </c>
    </row>
    <row r="27" spans="4:18" x14ac:dyDescent="0.35">
      <c r="D27" s="9"/>
      <c r="E27" s="9"/>
      <c r="F27" s="9"/>
      <c r="G27" s="9"/>
      <c r="H27" s="27"/>
      <c r="I27" s="27" t="str">
        <f t="shared" si="2"/>
        <v/>
      </c>
      <c r="J27" s="27" t="str">
        <f t="shared" si="2"/>
        <v/>
      </c>
      <c r="K27" s="27" t="str">
        <f t="shared" si="2"/>
        <v/>
      </c>
      <c r="L27" s="27" t="str">
        <f t="shared" si="2"/>
        <v/>
      </c>
      <c r="M27" s="27" t="str">
        <f t="shared" si="2"/>
        <v/>
      </c>
      <c r="N27" s="27" t="str">
        <f t="shared" si="2"/>
        <v/>
      </c>
      <c r="O27" s="27" t="str">
        <f t="shared" si="2"/>
        <v/>
      </c>
      <c r="P27" s="27" t="str">
        <f t="shared" si="2"/>
        <v/>
      </c>
      <c r="Q27" s="27" t="str">
        <f t="shared" si="2"/>
        <v/>
      </c>
      <c r="R27" s="27" t="str">
        <f t="shared" si="2"/>
        <v/>
      </c>
    </row>
    <row r="28" spans="4:18" x14ac:dyDescent="0.35">
      <c r="D28" s="9"/>
      <c r="E28" s="9"/>
      <c r="F28" s="9"/>
      <c r="G28" s="9"/>
      <c r="H28" s="27"/>
      <c r="I28" s="27" t="str">
        <f t="shared" si="2"/>
        <v/>
      </c>
      <c r="J28" s="27" t="str">
        <f t="shared" si="2"/>
        <v/>
      </c>
      <c r="K28" s="27" t="str">
        <f t="shared" si="2"/>
        <v/>
      </c>
      <c r="L28" s="27" t="str">
        <f t="shared" si="2"/>
        <v/>
      </c>
      <c r="M28" s="27" t="str">
        <f t="shared" si="2"/>
        <v/>
      </c>
      <c r="N28" s="27" t="str">
        <f t="shared" si="2"/>
        <v/>
      </c>
      <c r="O28" s="27" t="str">
        <f t="shared" si="2"/>
        <v/>
      </c>
      <c r="P28" s="27" t="str">
        <f t="shared" si="2"/>
        <v/>
      </c>
      <c r="Q28" s="27" t="str">
        <f t="shared" si="2"/>
        <v/>
      </c>
      <c r="R28" s="27" t="str">
        <f t="shared" si="2"/>
        <v/>
      </c>
    </row>
    <row r="29" spans="4:18" x14ac:dyDescent="0.35">
      <c r="D29" s="9"/>
      <c r="E29" s="9"/>
      <c r="F29" s="9"/>
      <c r="G29" s="9"/>
      <c r="H29" s="27"/>
      <c r="I29" s="27" t="str">
        <f t="shared" si="2"/>
        <v/>
      </c>
      <c r="J29" s="27" t="str">
        <f t="shared" si="2"/>
        <v/>
      </c>
      <c r="K29" s="27" t="str">
        <f t="shared" si="2"/>
        <v/>
      </c>
      <c r="L29" s="27" t="str">
        <f t="shared" si="2"/>
        <v/>
      </c>
      <c r="M29" s="27" t="str">
        <f t="shared" si="2"/>
        <v/>
      </c>
      <c r="N29" s="27" t="str">
        <f t="shared" si="2"/>
        <v/>
      </c>
      <c r="O29" s="27" t="str">
        <f t="shared" si="2"/>
        <v/>
      </c>
      <c r="P29" s="27" t="str">
        <f t="shared" si="2"/>
        <v/>
      </c>
      <c r="Q29" s="27" t="str">
        <f t="shared" si="2"/>
        <v/>
      </c>
      <c r="R29" s="27" t="str">
        <f t="shared" si="2"/>
        <v/>
      </c>
    </row>
    <row r="30" spans="4:18" x14ac:dyDescent="0.35">
      <c r="D30" s="9"/>
      <c r="E30" s="9"/>
      <c r="F30" s="9"/>
      <c r="G30" s="9"/>
      <c r="H30" s="27"/>
      <c r="I30" s="27" t="str">
        <f t="shared" si="2"/>
        <v/>
      </c>
      <c r="J30" s="27" t="str">
        <f t="shared" si="2"/>
        <v/>
      </c>
      <c r="K30" s="27" t="str">
        <f t="shared" si="2"/>
        <v/>
      </c>
      <c r="L30" s="27" t="str">
        <f t="shared" si="2"/>
        <v/>
      </c>
      <c r="M30" s="27" t="str">
        <f t="shared" si="2"/>
        <v/>
      </c>
      <c r="N30" s="27" t="str">
        <f t="shared" si="2"/>
        <v/>
      </c>
      <c r="O30" s="27" t="str">
        <f t="shared" si="2"/>
        <v/>
      </c>
      <c r="P30" s="27" t="str">
        <f t="shared" si="2"/>
        <v/>
      </c>
      <c r="Q30" s="27" t="str">
        <f t="shared" si="2"/>
        <v/>
      </c>
      <c r="R30" s="27" t="str">
        <f t="shared" si="2"/>
        <v/>
      </c>
    </row>
    <row r="31" spans="4:18" x14ac:dyDescent="0.35">
      <c r="D31" s="9"/>
      <c r="E31" s="9"/>
      <c r="F31" s="9"/>
      <c r="G31" s="9"/>
      <c r="H31" s="27"/>
      <c r="I31" s="27" t="str">
        <f t="shared" si="2"/>
        <v/>
      </c>
      <c r="J31" s="27" t="str">
        <f t="shared" si="2"/>
        <v/>
      </c>
      <c r="K31" s="27" t="str">
        <f t="shared" si="2"/>
        <v/>
      </c>
      <c r="L31" s="27" t="str">
        <f t="shared" si="2"/>
        <v/>
      </c>
      <c r="M31" s="27" t="str">
        <f t="shared" si="2"/>
        <v/>
      </c>
      <c r="N31" s="27" t="str">
        <f t="shared" si="2"/>
        <v/>
      </c>
      <c r="O31" s="27" t="str">
        <f t="shared" si="2"/>
        <v/>
      </c>
      <c r="P31" s="27" t="str">
        <f t="shared" si="2"/>
        <v/>
      </c>
      <c r="Q31" s="27" t="str">
        <f t="shared" si="2"/>
        <v/>
      </c>
      <c r="R31" s="27" t="str">
        <f t="shared" si="2"/>
        <v/>
      </c>
    </row>
    <row r="32" spans="4:18" x14ac:dyDescent="0.35">
      <c r="D32" s="9"/>
      <c r="E32" s="9"/>
      <c r="F32" s="9"/>
      <c r="G32" s="9"/>
      <c r="H32" s="27"/>
      <c r="I32" s="27" t="str">
        <f t="shared" si="2"/>
        <v/>
      </c>
      <c r="J32" s="27" t="str">
        <f t="shared" si="2"/>
        <v/>
      </c>
      <c r="K32" s="27" t="str">
        <f t="shared" si="2"/>
        <v/>
      </c>
      <c r="L32" s="27" t="str">
        <f t="shared" si="2"/>
        <v/>
      </c>
      <c r="M32" s="27" t="str">
        <f t="shared" si="2"/>
        <v/>
      </c>
      <c r="N32" s="27" t="str">
        <f t="shared" si="2"/>
        <v/>
      </c>
      <c r="O32" s="27" t="str">
        <f t="shared" si="2"/>
        <v/>
      </c>
      <c r="P32" s="27" t="str">
        <f t="shared" si="2"/>
        <v/>
      </c>
      <c r="Q32" s="27" t="str">
        <f t="shared" si="2"/>
        <v/>
      </c>
      <c r="R32" s="27" t="str">
        <f t="shared" si="2"/>
        <v/>
      </c>
    </row>
    <row r="33" spans="4:18" x14ac:dyDescent="0.35">
      <c r="D33" s="9"/>
      <c r="E33" s="9"/>
      <c r="F33" s="9"/>
      <c r="G33" s="9"/>
      <c r="H33" s="27"/>
      <c r="I33" s="27" t="str">
        <f t="shared" si="2"/>
        <v/>
      </c>
      <c r="J33" s="27" t="str">
        <f t="shared" si="2"/>
        <v/>
      </c>
      <c r="K33" s="27" t="str">
        <f t="shared" si="2"/>
        <v/>
      </c>
      <c r="L33" s="27" t="str">
        <f t="shared" si="2"/>
        <v/>
      </c>
      <c r="M33" s="27" t="str">
        <f t="shared" si="2"/>
        <v/>
      </c>
      <c r="N33" s="27" t="str">
        <f t="shared" si="2"/>
        <v/>
      </c>
      <c r="O33" s="27" t="str">
        <f t="shared" si="2"/>
        <v/>
      </c>
      <c r="P33" s="27" t="str">
        <f t="shared" si="2"/>
        <v/>
      </c>
      <c r="Q33" s="27" t="str">
        <f t="shared" si="2"/>
        <v/>
      </c>
      <c r="R33" s="27" t="str">
        <f t="shared" si="2"/>
        <v/>
      </c>
    </row>
    <row r="34" spans="4:18" x14ac:dyDescent="0.35">
      <c r="D34" s="9"/>
      <c r="E34" s="9"/>
      <c r="F34" s="9"/>
      <c r="G34" s="9"/>
      <c r="H34" s="27"/>
      <c r="I34" s="27" t="str">
        <f t="shared" si="2"/>
        <v/>
      </c>
      <c r="J34" s="27" t="str">
        <f t="shared" si="2"/>
        <v/>
      </c>
      <c r="K34" s="27" t="str">
        <f t="shared" si="2"/>
        <v/>
      </c>
      <c r="L34" s="27" t="str">
        <f t="shared" si="2"/>
        <v/>
      </c>
      <c r="M34" s="27" t="str">
        <f t="shared" si="2"/>
        <v/>
      </c>
      <c r="N34" s="27" t="str">
        <f t="shared" si="2"/>
        <v/>
      </c>
      <c r="O34" s="27" t="str">
        <f t="shared" si="2"/>
        <v/>
      </c>
      <c r="P34" s="27" t="str">
        <f t="shared" si="2"/>
        <v/>
      </c>
      <c r="Q34" s="27" t="str">
        <f t="shared" si="2"/>
        <v/>
      </c>
      <c r="R34" s="27" t="str">
        <f t="shared" si="2"/>
        <v/>
      </c>
    </row>
    <row r="35" spans="4:18" x14ac:dyDescent="0.35">
      <c r="D35" s="9"/>
      <c r="E35" s="9"/>
      <c r="F35" s="9"/>
      <c r="G35" s="9"/>
      <c r="H35" s="27"/>
      <c r="I35" s="27" t="str">
        <f t="shared" si="2"/>
        <v/>
      </c>
      <c r="J35" s="27" t="str">
        <f t="shared" si="2"/>
        <v/>
      </c>
      <c r="K35" s="27" t="str">
        <f t="shared" si="2"/>
        <v/>
      </c>
      <c r="L35" s="27" t="str">
        <f t="shared" si="2"/>
        <v/>
      </c>
      <c r="M35" s="27" t="str">
        <f t="shared" si="2"/>
        <v/>
      </c>
      <c r="N35" s="27" t="str">
        <f t="shared" si="2"/>
        <v/>
      </c>
      <c r="O35" s="27" t="str">
        <f t="shared" si="2"/>
        <v/>
      </c>
      <c r="P35" s="27" t="str">
        <f t="shared" si="2"/>
        <v/>
      </c>
      <c r="Q35" s="27" t="str">
        <f t="shared" si="2"/>
        <v/>
      </c>
      <c r="R35" s="27" t="str">
        <f t="shared" si="2"/>
        <v/>
      </c>
    </row>
    <row r="36" spans="4:18" x14ac:dyDescent="0.35">
      <c r="D36" s="9"/>
      <c r="E36" s="9"/>
      <c r="F36" s="9"/>
      <c r="G36" s="9"/>
      <c r="H36" s="27"/>
      <c r="I36" s="27" t="str">
        <f t="shared" si="2"/>
        <v/>
      </c>
      <c r="J36" s="27" t="str">
        <f t="shared" si="2"/>
        <v/>
      </c>
      <c r="K36" s="27" t="str">
        <f t="shared" si="2"/>
        <v/>
      </c>
      <c r="L36" s="27" t="str">
        <f t="shared" si="2"/>
        <v/>
      </c>
      <c r="M36" s="27" t="str">
        <f t="shared" si="2"/>
        <v/>
      </c>
      <c r="N36" s="27" t="str">
        <f t="shared" si="2"/>
        <v/>
      </c>
      <c r="O36" s="27" t="str">
        <f t="shared" si="2"/>
        <v/>
      </c>
      <c r="P36" s="27" t="str">
        <f t="shared" si="2"/>
        <v/>
      </c>
      <c r="Q36" s="27" t="str">
        <f t="shared" si="2"/>
        <v/>
      </c>
      <c r="R36" s="27" t="str">
        <f t="shared" si="2"/>
        <v/>
      </c>
    </row>
    <row r="37" spans="4:18" x14ac:dyDescent="0.35">
      <c r="D37" s="9"/>
      <c r="E37" s="9"/>
      <c r="F37" s="9"/>
      <c r="G37" s="9"/>
      <c r="H37" s="27"/>
      <c r="I37" s="27" t="str">
        <f t="shared" si="2"/>
        <v/>
      </c>
      <c r="J37" s="27" t="str">
        <f t="shared" si="2"/>
        <v/>
      </c>
      <c r="K37" s="27" t="str">
        <f t="shared" si="2"/>
        <v/>
      </c>
      <c r="L37" s="27" t="str">
        <f t="shared" si="2"/>
        <v/>
      </c>
      <c r="M37" s="27" t="str">
        <f t="shared" si="2"/>
        <v/>
      </c>
      <c r="N37" s="27" t="str">
        <f t="shared" si="2"/>
        <v/>
      </c>
      <c r="O37" s="27" t="str">
        <f t="shared" si="2"/>
        <v/>
      </c>
      <c r="P37" s="27" t="str">
        <f t="shared" si="2"/>
        <v/>
      </c>
      <c r="Q37" s="27" t="str">
        <f t="shared" si="2"/>
        <v/>
      </c>
      <c r="R37" s="27" t="str">
        <f t="shared" si="2"/>
        <v/>
      </c>
    </row>
    <row r="38" spans="4:18" x14ac:dyDescent="0.35">
      <c r="D38" s="9"/>
      <c r="E38" s="9"/>
      <c r="F38" s="9"/>
      <c r="G38" s="9"/>
      <c r="H38" s="27"/>
      <c r="I38" s="27" t="str">
        <f t="shared" ref="I38:R50" si="3">IF(H38="","",H38)</f>
        <v/>
      </c>
      <c r="J38" s="27" t="str">
        <f t="shared" si="3"/>
        <v/>
      </c>
      <c r="K38" s="27" t="str">
        <f t="shared" si="3"/>
        <v/>
      </c>
      <c r="L38" s="27" t="str">
        <f t="shared" si="3"/>
        <v/>
      </c>
      <c r="M38" s="27" t="str">
        <f t="shared" si="3"/>
        <v/>
      </c>
      <c r="N38" s="27" t="str">
        <f t="shared" si="3"/>
        <v/>
      </c>
      <c r="O38" s="27" t="str">
        <f t="shared" si="3"/>
        <v/>
      </c>
      <c r="P38" s="27" t="str">
        <f t="shared" si="3"/>
        <v/>
      </c>
      <c r="Q38" s="27" t="str">
        <f t="shared" si="3"/>
        <v/>
      </c>
      <c r="R38" s="27" t="str">
        <f t="shared" si="3"/>
        <v/>
      </c>
    </row>
    <row r="39" spans="4:18" x14ac:dyDescent="0.35">
      <c r="D39" s="9"/>
      <c r="E39" s="9"/>
      <c r="F39" s="9"/>
      <c r="G39" s="9"/>
      <c r="H39" s="27"/>
      <c r="I39" s="27" t="str">
        <f t="shared" si="3"/>
        <v/>
      </c>
      <c r="J39" s="27" t="str">
        <f t="shared" si="3"/>
        <v/>
      </c>
      <c r="K39" s="27" t="str">
        <f t="shared" si="3"/>
        <v/>
      </c>
      <c r="L39" s="27" t="str">
        <f t="shared" si="3"/>
        <v/>
      </c>
      <c r="M39" s="27" t="str">
        <f t="shared" si="3"/>
        <v/>
      </c>
      <c r="N39" s="27" t="str">
        <f t="shared" si="3"/>
        <v/>
      </c>
      <c r="O39" s="27" t="str">
        <f t="shared" si="3"/>
        <v/>
      </c>
      <c r="P39" s="27" t="str">
        <f t="shared" si="3"/>
        <v/>
      </c>
      <c r="Q39" s="27" t="str">
        <f t="shared" si="3"/>
        <v/>
      </c>
      <c r="R39" s="27" t="str">
        <f t="shared" si="3"/>
        <v/>
      </c>
    </row>
    <row r="40" spans="4:18" x14ac:dyDescent="0.35">
      <c r="D40" s="9"/>
      <c r="E40" s="9"/>
      <c r="F40" s="9"/>
      <c r="G40" s="9"/>
      <c r="H40" s="27"/>
      <c r="I40" s="27" t="str">
        <f t="shared" si="3"/>
        <v/>
      </c>
      <c r="J40" s="27" t="str">
        <f t="shared" si="3"/>
        <v/>
      </c>
      <c r="K40" s="27" t="str">
        <f t="shared" si="3"/>
        <v/>
      </c>
      <c r="L40" s="27" t="str">
        <f t="shared" si="3"/>
        <v/>
      </c>
      <c r="M40" s="27" t="str">
        <f t="shared" si="3"/>
        <v/>
      </c>
      <c r="N40" s="27" t="str">
        <f t="shared" si="3"/>
        <v/>
      </c>
      <c r="O40" s="27" t="str">
        <f t="shared" si="3"/>
        <v/>
      </c>
      <c r="P40" s="27" t="str">
        <f t="shared" si="3"/>
        <v/>
      </c>
      <c r="Q40" s="27" t="str">
        <f t="shared" si="3"/>
        <v/>
      </c>
      <c r="R40" s="27" t="str">
        <f t="shared" si="3"/>
        <v/>
      </c>
    </row>
    <row r="41" spans="4:18" x14ac:dyDescent="0.35">
      <c r="D41" s="9"/>
      <c r="E41" s="9"/>
      <c r="F41" s="9"/>
      <c r="G41" s="9"/>
      <c r="H41" s="27"/>
      <c r="I41" s="27" t="str">
        <f t="shared" si="3"/>
        <v/>
      </c>
      <c r="J41" s="27" t="str">
        <f t="shared" si="3"/>
        <v/>
      </c>
      <c r="K41" s="27" t="str">
        <f t="shared" si="3"/>
        <v/>
      </c>
      <c r="L41" s="27" t="str">
        <f t="shared" si="3"/>
        <v/>
      </c>
      <c r="M41" s="27" t="str">
        <f t="shared" si="3"/>
        <v/>
      </c>
      <c r="N41" s="27" t="str">
        <f t="shared" si="3"/>
        <v/>
      </c>
      <c r="O41" s="27" t="str">
        <f t="shared" si="3"/>
        <v/>
      </c>
      <c r="P41" s="27" t="str">
        <f t="shared" si="3"/>
        <v/>
      </c>
      <c r="Q41" s="27" t="str">
        <f t="shared" si="3"/>
        <v/>
      </c>
      <c r="R41" s="27" t="str">
        <f t="shared" si="3"/>
        <v/>
      </c>
    </row>
    <row r="42" spans="4:18" x14ac:dyDescent="0.35">
      <c r="D42" s="9"/>
      <c r="E42" s="9"/>
      <c r="F42" s="9"/>
      <c r="G42" s="9"/>
      <c r="H42" s="27"/>
      <c r="I42" s="27" t="str">
        <f t="shared" si="3"/>
        <v/>
      </c>
      <c r="J42" s="27" t="str">
        <f t="shared" si="3"/>
        <v/>
      </c>
      <c r="K42" s="27" t="str">
        <f t="shared" si="3"/>
        <v/>
      </c>
      <c r="L42" s="27" t="str">
        <f t="shared" si="3"/>
        <v/>
      </c>
      <c r="M42" s="27" t="str">
        <f t="shared" si="3"/>
        <v/>
      </c>
      <c r="N42" s="27" t="str">
        <f t="shared" si="3"/>
        <v/>
      </c>
      <c r="O42" s="27" t="str">
        <f t="shared" si="3"/>
        <v/>
      </c>
      <c r="P42" s="27" t="str">
        <f t="shared" si="3"/>
        <v/>
      </c>
      <c r="Q42" s="27" t="str">
        <f t="shared" si="3"/>
        <v/>
      </c>
      <c r="R42" s="27" t="str">
        <f t="shared" si="3"/>
        <v/>
      </c>
    </row>
    <row r="43" spans="4:18" x14ac:dyDescent="0.35">
      <c r="D43" s="9"/>
      <c r="E43" s="9"/>
      <c r="F43" s="9"/>
      <c r="G43" s="9"/>
      <c r="H43" s="27"/>
      <c r="I43" s="27" t="str">
        <f t="shared" si="3"/>
        <v/>
      </c>
      <c r="J43" s="27" t="str">
        <f t="shared" si="3"/>
        <v/>
      </c>
      <c r="K43" s="27" t="str">
        <f t="shared" si="3"/>
        <v/>
      </c>
      <c r="L43" s="27" t="str">
        <f t="shared" si="3"/>
        <v/>
      </c>
      <c r="M43" s="27" t="str">
        <f t="shared" si="3"/>
        <v/>
      </c>
      <c r="N43" s="27" t="str">
        <f t="shared" si="3"/>
        <v/>
      </c>
      <c r="O43" s="27" t="str">
        <f t="shared" si="3"/>
        <v/>
      </c>
      <c r="P43" s="27" t="str">
        <f t="shared" si="3"/>
        <v/>
      </c>
      <c r="Q43" s="27" t="str">
        <f t="shared" si="3"/>
        <v/>
      </c>
      <c r="R43" s="27" t="str">
        <f t="shared" si="3"/>
        <v/>
      </c>
    </row>
    <row r="44" spans="4:18" x14ac:dyDescent="0.35">
      <c r="D44" s="9"/>
      <c r="E44" s="9"/>
      <c r="F44" s="9"/>
      <c r="G44" s="9"/>
      <c r="H44" s="27"/>
      <c r="I44" s="27" t="str">
        <f t="shared" si="3"/>
        <v/>
      </c>
      <c r="J44" s="27" t="str">
        <f t="shared" si="3"/>
        <v/>
      </c>
      <c r="K44" s="27" t="str">
        <f t="shared" si="3"/>
        <v/>
      </c>
      <c r="L44" s="27" t="str">
        <f t="shared" si="3"/>
        <v/>
      </c>
      <c r="M44" s="27" t="str">
        <f t="shared" si="3"/>
        <v/>
      </c>
      <c r="N44" s="27" t="str">
        <f t="shared" si="3"/>
        <v/>
      </c>
      <c r="O44" s="27" t="str">
        <f t="shared" si="3"/>
        <v/>
      </c>
      <c r="P44" s="27" t="str">
        <f t="shared" si="3"/>
        <v/>
      </c>
      <c r="Q44" s="27" t="str">
        <f t="shared" si="3"/>
        <v/>
      </c>
      <c r="R44" s="27" t="str">
        <f t="shared" si="3"/>
        <v/>
      </c>
    </row>
    <row r="45" spans="4:18" x14ac:dyDescent="0.35">
      <c r="D45" s="9"/>
      <c r="E45" s="9"/>
      <c r="F45" s="9"/>
      <c r="G45" s="9"/>
      <c r="H45" s="27"/>
      <c r="I45" s="27" t="str">
        <f t="shared" si="3"/>
        <v/>
      </c>
      <c r="J45" s="27" t="str">
        <f t="shared" si="3"/>
        <v/>
      </c>
      <c r="K45" s="27" t="str">
        <f t="shared" si="3"/>
        <v/>
      </c>
      <c r="L45" s="27" t="str">
        <f t="shared" si="3"/>
        <v/>
      </c>
      <c r="M45" s="27" t="str">
        <f t="shared" si="3"/>
        <v/>
      </c>
      <c r="N45" s="27" t="str">
        <f t="shared" si="3"/>
        <v/>
      </c>
      <c r="O45" s="27" t="str">
        <f t="shared" si="3"/>
        <v/>
      </c>
      <c r="P45" s="27" t="str">
        <f t="shared" si="3"/>
        <v/>
      </c>
      <c r="Q45" s="27" t="str">
        <f t="shared" si="3"/>
        <v/>
      </c>
      <c r="R45" s="27" t="str">
        <f t="shared" si="3"/>
        <v/>
      </c>
    </row>
    <row r="46" spans="4:18" x14ac:dyDescent="0.35">
      <c r="D46" s="9"/>
      <c r="E46" s="9"/>
      <c r="F46" s="9"/>
      <c r="G46" s="9"/>
      <c r="H46" s="27"/>
      <c r="I46" s="27" t="str">
        <f t="shared" si="3"/>
        <v/>
      </c>
      <c r="J46" s="27" t="str">
        <f t="shared" si="3"/>
        <v/>
      </c>
      <c r="K46" s="27" t="str">
        <f t="shared" si="3"/>
        <v/>
      </c>
      <c r="L46" s="27" t="str">
        <f t="shared" si="3"/>
        <v/>
      </c>
      <c r="M46" s="27" t="str">
        <f t="shared" si="3"/>
        <v/>
      </c>
      <c r="N46" s="27" t="str">
        <f t="shared" si="3"/>
        <v/>
      </c>
      <c r="O46" s="27" t="str">
        <f t="shared" si="3"/>
        <v/>
      </c>
      <c r="P46" s="27" t="str">
        <f t="shared" si="3"/>
        <v/>
      </c>
      <c r="Q46" s="27" t="str">
        <f t="shared" si="3"/>
        <v/>
      </c>
      <c r="R46" s="27" t="str">
        <f t="shared" si="3"/>
        <v/>
      </c>
    </row>
    <row r="47" spans="4:18" x14ac:dyDescent="0.35">
      <c r="D47" s="9"/>
      <c r="E47" s="9"/>
      <c r="F47" s="9"/>
      <c r="G47" s="9"/>
      <c r="H47" s="27"/>
      <c r="I47" s="27" t="str">
        <f t="shared" si="3"/>
        <v/>
      </c>
      <c r="J47" s="27" t="str">
        <f t="shared" si="3"/>
        <v/>
      </c>
      <c r="K47" s="27" t="str">
        <f t="shared" si="3"/>
        <v/>
      </c>
      <c r="L47" s="27" t="str">
        <f t="shared" si="3"/>
        <v/>
      </c>
      <c r="M47" s="27" t="str">
        <f t="shared" si="3"/>
        <v/>
      </c>
      <c r="N47" s="27" t="str">
        <f t="shared" si="3"/>
        <v/>
      </c>
      <c r="O47" s="27" t="str">
        <f t="shared" si="3"/>
        <v/>
      </c>
      <c r="P47" s="27" t="str">
        <f t="shared" si="3"/>
        <v/>
      </c>
      <c r="Q47" s="27" t="str">
        <f t="shared" si="3"/>
        <v/>
      </c>
      <c r="R47" s="27" t="str">
        <f t="shared" si="3"/>
        <v/>
      </c>
    </row>
    <row r="48" spans="4:18" x14ac:dyDescent="0.35">
      <c r="D48" s="9"/>
      <c r="E48" s="9"/>
      <c r="F48" s="9"/>
      <c r="G48" s="9"/>
      <c r="H48" s="27"/>
      <c r="I48" s="27" t="str">
        <f t="shared" si="3"/>
        <v/>
      </c>
      <c r="J48" s="27" t="str">
        <f t="shared" si="3"/>
        <v/>
      </c>
      <c r="K48" s="27" t="str">
        <f t="shared" si="3"/>
        <v/>
      </c>
      <c r="L48" s="27" t="str">
        <f t="shared" si="3"/>
        <v/>
      </c>
      <c r="M48" s="27" t="str">
        <f t="shared" si="3"/>
        <v/>
      </c>
      <c r="N48" s="27" t="str">
        <f t="shared" si="3"/>
        <v/>
      </c>
      <c r="O48" s="27" t="str">
        <f t="shared" si="3"/>
        <v/>
      </c>
      <c r="P48" s="27" t="str">
        <f t="shared" si="3"/>
        <v/>
      </c>
      <c r="Q48" s="27" t="str">
        <f t="shared" si="3"/>
        <v/>
      </c>
      <c r="R48" s="27" t="str">
        <f t="shared" si="3"/>
        <v/>
      </c>
    </row>
    <row r="49" spans="4:18" x14ac:dyDescent="0.35">
      <c r="D49" s="9"/>
      <c r="E49" s="9"/>
      <c r="F49" s="9"/>
      <c r="G49" s="9"/>
      <c r="H49" s="27"/>
      <c r="I49" s="27" t="str">
        <f t="shared" si="3"/>
        <v/>
      </c>
      <c r="J49" s="27" t="str">
        <f t="shared" si="3"/>
        <v/>
      </c>
      <c r="K49" s="27" t="str">
        <f t="shared" si="3"/>
        <v/>
      </c>
      <c r="L49" s="27" t="str">
        <f t="shared" si="3"/>
        <v/>
      </c>
      <c r="M49" s="27" t="str">
        <f t="shared" si="3"/>
        <v/>
      </c>
      <c r="N49" s="27" t="str">
        <f t="shared" si="3"/>
        <v/>
      </c>
      <c r="O49" s="27" t="str">
        <f t="shared" si="3"/>
        <v/>
      </c>
      <c r="P49" s="27" t="str">
        <f t="shared" si="3"/>
        <v/>
      </c>
      <c r="Q49" s="27" t="str">
        <f t="shared" si="3"/>
        <v/>
      </c>
      <c r="R49" s="27" t="str">
        <f t="shared" si="3"/>
        <v/>
      </c>
    </row>
    <row r="50" spans="4:18" ht="15" thickBot="1" x14ac:dyDescent="0.4">
      <c r="D50" s="10"/>
      <c r="E50" s="10"/>
      <c r="F50" s="10"/>
      <c r="G50" s="10"/>
      <c r="H50" s="49"/>
      <c r="I50" s="49" t="str">
        <f t="shared" si="3"/>
        <v/>
      </c>
      <c r="J50" s="49" t="str">
        <f t="shared" si="3"/>
        <v/>
      </c>
      <c r="K50" s="49" t="str">
        <f t="shared" si="3"/>
        <v/>
      </c>
      <c r="L50" s="49" t="str">
        <f t="shared" si="3"/>
        <v/>
      </c>
      <c r="M50" s="49" t="str">
        <f t="shared" si="3"/>
        <v/>
      </c>
      <c r="N50" s="49" t="str">
        <f t="shared" si="3"/>
        <v/>
      </c>
      <c r="O50" s="49" t="str">
        <f t="shared" si="3"/>
        <v/>
      </c>
      <c r="P50" s="49" t="str">
        <f t="shared" si="3"/>
        <v/>
      </c>
      <c r="Q50" s="49" t="str">
        <f t="shared" si="3"/>
        <v/>
      </c>
      <c r="R50" s="49" t="str">
        <f t="shared" si="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1"/>
  <sheetViews>
    <sheetView zoomScaleNormal="100" workbookViewId="0">
      <selection activeCell="F9" sqref="F9"/>
    </sheetView>
  </sheetViews>
  <sheetFormatPr defaultColWidth="11.54296875" defaultRowHeight="14.5" outlineLevelCol="1" x14ac:dyDescent="0.35"/>
  <cols>
    <col min="1" max="3" width="3.90625" style="5" customWidth="1"/>
    <col min="4" max="8" width="15.90625" style="5" customWidth="1"/>
    <col min="9" max="9" width="8.90625" style="5" customWidth="1"/>
    <col min="10" max="19" width="8.90625" style="5" customWidth="1" outlineLevel="1"/>
    <col min="20" max="16384" width="11.54296875" style="5"/>
  </cols>
  <sheetData>
    <row r="1" spans="2:19" s="3" customFormat="1" ht="24.9" customHeight="1" x14ac:dyDescent="0.35">
      <c r="B1" s="2" t="s">
        <v>136</v>
      </c>
    </row>
    <row r="3" spans="2:19" ht="15" thickBot="1" x14ac:dyDescent="0.4">
      <c r="D3" s="38" t="str">
        <f>JESA_UploadTable(B1,D4:S50)</f>
        <v>mining_opex___specific_consumptions Saved! @08:24:20</v>
      </c>
    </row>
    <row r="4" spans="2:19" ht="30" customHeight="1" thickBot="1" x14ac:dyDescent="0.4">
      <c r="D4" s="6" t="s">
        <v>30</v>
      </c>
      <c r="E4" s="6" t="s">
        <v>49</v>
      </c>
      <c r="F4" s="54" t="s">
        <v>50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5">
      <c r="D5" s="8" t="s">
        <v>2</v>
      </c>
      <c r="E5" s="8" t="s">
        <v>151</v>
      </c>
      <c r="F5" s="13">
        <v>3.2727272727272725</v>
      </c>
      <c r="G5" s="8" t="s">
        <v>22</v>
      </c>
      <c r="H5" s="8" t="s">
        <v>135</v>
      </c>
      <c r="I5" s="42">
        <f>11*0.65</f>
        <v>7.15</v>
      </c>
      <c r="J5" s="17">
        <f>IF(I5="","",I5)</f>
        <v>7.15</v>
      </c>
      <c r="K5" s="17">
        <f t="shared" ref="K5:S5" si="0">IF(J5="","",J5)</f>
        <v>7.15</v>
      </c>
      <c r="L5" s="17">
        <f t="shared" si="0"/>
        <v>7.15</v>
      </c>
      <c r="M5" s="17">
        <f t="shared" si="0"/>
        <v>7.15</v>
      </c>
      <c r="N5" s="17">
        <f t="shared" si="0"/>
        <v>7.15</v>
      </c>
      <c r="O5" s="17">
        <f t="shared" si="0"/>
        <v>7.15</v>
      </c>
      <c r="P5" s="17">
        <f t="shared" si="0"/>
        <v>7.15</v>
      </c>
      <c r="Q5" s="17">
        <f t="shared" si="0"/>
        <v>7.15</v>
      </c>
      <c r="R5" s="17">
        <f t="shared" si="0"/>
        <v>7.15</v>
      </c>
      <c r="S5" s="17">
        <f t="shared" si="0"/>
        <v>7.15</v>
      </c>
    </row>
    <row r="6" spans="2:19" x14ac:dyDescent="0.35">
      <c r="D6" s="9" t="s">
        <v>2</v>
      </c>
      <c r="E6" s="9" t="s">
        <v>151</v>
      </c>
      <c r="F6" s="11">
        <v>5.8333333333333339</v>
      </c>
      <c r="G6" s="9" t="s">
        <v>22</v>
      </c>
      <c r="H6" s="9" t="s">
        <v>135</v>
      </c>
      <c r="I6" s="43">
        <f>11*0.65</f>
        <v>7.15</v>
      </c>
      <c r="J6" s="18">
        <f t="shared" ref="J6:S6" si="1">IF(I6="","",I6)</f>
        <v>7.15</v>
      </c>
      <c r="K6" s="18">
        <f t="shared" si="1"/>
        <v>7.15</v>
      </c>
      <c r="L6" s="18">
        <f t="shared" si="1"/>
        <v>7.15</v>
      </c>
      <c r="M6" s="18">
        <f t="shared" si="1"/>
        <v>7.15</v>
      </c>
      <c r="N6" s="18">
        <f t="shared" si="1"/>
        <v>7.15</v>
      </c>
      <c r="O6" s="18">
        <f t="shared" si="1"/>
        <v>7.15</v>
      </c>
      <c r="P6" s="18">
        <f t="shared" si="1"/>
        <v>7.15</v>
      </c>
      <c r="Q6" s="18">
        <f t="shared" si="1"/>
        <v>7.15</v>
      </c>
      <c r="R6" s="18">
        <f t="shared" si="1"/>
        <v>7.15</v>
      </c>
      <c r="S6" s="18">
        <f t="shared" si="1"/>
        <v>7.15</v>
      </c>
    </row>
    <row r="7" spans="2:19" x14ac:dyDescent="0.35">
      <c r="D7" s="9" t="s">
        <v>9</v>
      </c>
      <c r="E7" s="9" t="s">
        <v>151</v>
      </c>
      <c r="F7" s="46">
        <v>4.615384615384615</v>
      </c>
      <c r="G7" s="9" t="s">
        <v>22</v>
      </c>
      <c r="H7" s="9" t="s">
        <v>135</v>
      </c>
      <c r="I7" s="43">
        <f t="shared" ref="I7:I13" si="2">11.4*0.65</f>
        <v>7.41</v>
      </c>
      <c r="J7" s="18">
        <f t="shared" ref="J7:S7" si="3">IF(I7="","",I7)</f>
        <v>7.41</v>
      </c>
      <c r="K7" s="18">
        <f t="shared" si="3"/>
        <v>7.41</v>
      </c>
      <c r="L7" s="18">
        <f t="shared" si="3"/>
        <v>7.41</v>
      </c>
      <c r="M7" s="18">
        <f t="shared" si="3"/>
        <v>7.41</v>
      </c>
      <c r="N7" s="18">
        <f t="shared" si="3"/>
        <v>7.41</v>
      </c>
      <c r="O7" s="18">
        <f t="shared" si="3"/>
        <v>7.41</v>
      </c>
      <c r="P7" s="18">
        <f t="shared" si="3"/>
        <v>7.41</v>
      </c>
      <c r="Q7" s="18">
        <f t="shared" si="3"/>
        <v>7.41</v>
      </c>
      <c r="R7" s="18">
        <f t="shared" si="3"/>
        <v>7.41</v>
      </c>
      <c r="S7" s="18">
        <f t="shared" si="3"/>
        <v>7.41</v>
      </c>
    </row>
    <row r="8" spans="2:19" x14ac:dyDescent="0.35">
      <c r="D8" s="9" t="s">
        <v>9</v>
      </c>
      <c r="E8" s="9" t="s">
        <v>151</v>
      </c>
      <c r="F8" s="46">
        <v>6.1538461538461533</v>
      </c>
      <c r="G8" s="9" t="s">
        <v>22</v>
      </c>
      <c r="H8" s="9" t="s">
        <v>135</v>
      </c>
      <c r="I8" s="43">
        <f t="shared" si="2"/>
        <v>7.41</v>
      </c>
      <c r="J8" s="18">
        <f t="shared" ref="J8:S8" si="4">IF(I8="","",I8)</f>
        <v>7.41</v>
      </c>
      <c r="K8" s="18">
        <f t="shared" si="4"/>
        <v>7.41</v>
      </c>
      <c r="L8" s="18">
        <f t="shared" si="4"/>
        <v>7.41</v>
      </c>
      <c r="M8" s="18">
        <f t="shared" si="4"/>
        <v>7.41</v>
      </c>
      <c r="N8" s="18">
        <f t="shared" si="4"/>
        <v>7.41</v>
      </c>
      <c r="O8" s="18">
        <f t="shared" si="4"/>
        <v>7.41</v>
      </c>
      <c r="P8" s="18">
        <f t="shared" si="4"/>
        <v>7.41</v>
      </c>
      <c r="Q8" s="18">
        <f t="shared" si="4"/>
        <v>7.41</v>
      </c>
      <c r="R8" s="18">
        <f t="shared" si="4"/>
        <v>7.41</v>
      </c>
      <c r="S8" s="18">
        <f t="shared" si="4"/>
        <v>7.41</v>
      </c>
    </row>
    <row r="9" spans="2:19" x14ac:dyDescent="0.35">
      <c r="D9" s="9" t="s">
        <v>9</v>
      </c>
      <c r="E9" s="9" t="s">
        <v>151</v>
      </c>
      <c r="F9" s="46">
        <v>7.6923076923076916</v>
      </c>
      <c r="G9" s="9" t="s">
        <v>22</v>
      </c>
      <c r="H9" s="9" t="s">
        <v>135</v>
      </c>
      <c r="I9" s="43">
        <f t="shared" si="2"/>
        <v>7.41</v>
      </c>
      <c r="J9" s="18">
        <f t="shared" ref="J9:S9" si="5">IF(I9="","",I9)</f>
        <v>7.41</v>
      </c>
      <c r="K9" s="18">
        <f t="shared" si="5"/>
        <v>7.41</v>
      </c>
      <c r="L9" s="18">
        <f t="shared" si="5"/>
        <v>7.41</v>
      </c>
      <c r="M9" s="18">
        <f t="shared" si="5"/>
        <v>7.41</v>
      </c>
      <c r="N9" s="18">
        <f t="shared" si="5"/>
        <v>7.41</v>
      </c>
      <c r="O9" s="18">
        <f t="shared" si="5"/>
        <v>7.41</v>
      </c>
      <c r="P9" s="18">
        <f t="shared" si="5"/>
        <v>7.41</v>
      </c>
      <c r="Q9" s="18">
        <f t="shared" si="5"/>
        <v>7.41</v>
      </c>
      <c r="R9" s="18">
        <f t="shared" si="5"/>
        <v>7.41</v>
      </c>
      <c r="S9" s="18">
        <f t="shared" si="5"/>
        <v>7.41</v>
      </c>
    </row>
    <row r="10" spans="2:19" x14ac:dyDescent="0.35">
      <c r="D10" s="9" t="s">
        <v>9</v>
      </c>
      <c r="E10" s="9" t="s">
        <v>151</v>
      </c>
      <c r="F10" s="46">
        <v>9.2307692307692299</v>
      </c>
      <c r="G10" s="9" t="s">
        <v>22</v>
      </c>
      <c r="H10" s="9" t="s">
        <v>135</v>
      </c>
      <c r="I10" s="43">
        <f t="shared" si="2"/>
        <v>7.41</v>
      </c>
      <c r="J10" s="18">
        <f t="shared" ref="J10:S10" si="6">IF(I10="","",I10)</f>
        <v>7.41</v>
      </c>
      <c r="K10" s="18">
        <f t="shared" si="6"/>
        <v>7.41</v>
      </c>
      <c r="L10" s="18">
        <f t="shared" si="6"/>
        <v>7.41</v>
      </c>
      <c r="M10" s="18">
        <f t="shared" si="6"/>
        <v>7.41</v>
      </c>
      <c r="N10" s="18">
        <f t="shared" si="6"/>
        <v>7.41</v>
      </c>
      <c r="O10" s="18">
        <f t="shared" si="6"/>
        <v>7.41</v>
      </c>
      <c r="P10" s="18">
        <f t="shared" si="6"/>
        <v>7.41</v>
      </c>
      <c r="Q10" s="18">
        <f t="shared" si="6"/>
        <v>7.41</v>
      </c>
      <c r="R10" s="18">
        <f t="shared" si="6"/>
        <v>7.41</v>
      </c>
      <c r="S10" s="18">
        <f t="shared" si="6"/>
        <v>7.41</v>
      </c>
    </row>
    <row r="11" spans="2:19" x14ac:dyDescent="0.35">
      <c r="D11" s="9" t="s">
        <v>9</v>
      </c>
      <c r="E11" s="9" t="s">
        <v>151</v>
      </c>
      <c r="F11" s="46">
        <v>10.769230769230768</v>
      </c>
      <c r="G11" s="9" t="s">
        <v>22</v>
      </c>
      <c r="H11" s="9" t="s">
        <v>135</v>
      </c>
      <c r="I11" s="43">
        <f t="shared" si="2"/>
        <v>7.41</v>
      </c>
      <c r="J11" s="18">
        <f t="shared" ref="J11:S11" si="7">IF(I11="","",I11)</f>
        <v>7.41</v>
      </c>
      <c r="K11" s="18">
        <f t="shared" si="7"/>
        <v>7.41</v>
      </c>
      <c r="L11" s="18">
        <f t="shared" si="7"/>
        <v>7.41</v>
      </c>
      <c r="M11" s="18">
        <f t="shared" si="7"/>
        <v>7.41</v>
      </c>
      <c r="N11" s="18">
        <f t="shared" si="7"/>
        <v>7.41</v>
      </c>
      <c r="O11" s="18">
        <f t="shared" si="7"/>
        <v>7.41</v>
      </c>
      <c r="P11" s="18">
        <f t="shared" si="7"/>
        <v>7.41</v>
      </c>
      <c r="Q11" s="18">
        <f t="shared" si="7"/>
        <v>7.41</v>
      </c>
      <c r="R11" s="18">
        <f t="shared" si="7"/>
        <v>7.41</v>
      </c>
      <c r="S11" s="18">
        <f t="shared" si="7"/>
        <v>7.41</v>
      </c>
    </row>
    <row r="12" spans="2:19" x14ac:dyDescent="0.35">
      <c r="D12" s="9" t="s">
        <v>9</v>
      </c>
      <c r="E12" s="9" t="s">
        <v>151</v>
      </c>
      <c r="F12" s="46">
        <v>12.307692307692307</v>
      </c>
      <c r="G12" s="9" t="s">
        <v>22</v>
      </c>
      <c r="H12" s="9" t="s">
        <v>135</v>
      </c>
      <c r="I12" s="43">
        <f t="shared" si="2"/>
        <v>7.41</v>
      </c>
      <c r="J12" s="18">
        <f t="shared" ref="J12:S12" si="8">IF(I12="","",I12)</f>
        <v>7.41</v>
      </c>
      <c r="K12" s="18">
        <f t="shared" si="8"/>
        <v>7.41</v>
      </c>
      <c r="L12" s="18">
        <f t="shared" si="8"/>
        <v>7.41</v>
      </c>
      <c r="M12" s="18">
        <f t="shared" si="8"/>
        <v>7.41</v>
      </c>
      <c r="N12" s="18">
        <f t="shared" si="8"/>
        <v>7.41</v>
      </c>
      <c r="O12" s="18">
        <f t="shared" si="8"/>
        <v>7.41</v>
      </c>
      <c r="P12" s="18">
        <f t="shared" si="8"/>
        <v>7.41</v>
      </c>
      <c r="Q12" s="18">
        <f t="shared" si="8"/>
        <v>7.41</v>
      </c>
      <c r="R12" s="18">
        <f t="shared" si="8"/>
        <v>7.41</v>
      </c>
      <c r="S12" s="18">
        <f t="shared" si="8"/>
        <v>7.41</v>
      </c>
    </row>
    <row r="13" spans="2:19" x14ac:dyDescent="0.35">
      <c r="D13" s="9" t="s">
        <v>9</v>
      </c>
      <c r="E13" s="9" t="s">
        <v>151</v>
      </c>
      <c r="F13" s="46">
        <v>13.846153846153845</v>
      </c>
      <c r="G13" s="9" t="s">
        <v>22</v>
      </c>
      <c r="H13" s="9" t="s">
        <v>135</v>
      </c>
      <c r="I13" s="43">
        <f t="shared" si="2"/>
        <v>7.41</v>
      </c>
      <c r="J13" s="18">
        <f t="shared" ref="J13:S13" si="9">IF(I13="","",I13)</f>
        <v>7.41</v>
      </c>
      <c r="K13" s="18">
        <f t="shared" si="9"/>
        <v>7.41</v>
      </c>
      <c r="L13" s="18">
        <f t="shared" si="9"/>
        <v>7.41</v>
      </c>
      <c r="M13" s="18">
        <f t="shared" si="9"/>
        <v>7.41</v>
      </c>
      <c r="N13" s="18">
        <f t="shared" si="9"/>
        <v>7.41</v>
      </c>
      <c r="O13" s="18">
        <f t="shared" si="9"/>
        <v>7.41</v>
      </c>
      <c r="P13" s="18">
        <f t="shared" si="9"/>
        <v>7.41</v>
      </c>
      <c r="Q13" s="18">
        <f t="shared" si="9"/>
        <v>7.41</v>
      </c>
      <c r="R13" s="18">
        <f t="shared" si="9"/>
        <v>7.41</v>
      </c>
      <c r="S13" s="18">
        <f t="shared" si="9"/>
        <v>7.41</v>
      </c>
    </row>
    <row r="14" spans="2:19" x14ac:dyDescent="0.35">
      <c r="D14" s="9" t="s">
        <v>3</v>
      </c>
      <c r="E14" s="9" t="s">
        <v>151</v>
      </c>
      <c r="F14" s="11">
        <v>3.6363636363636362</v>
      </c>
      <c r="G14" s="9" t="s">
        <v>22</v>
      </c>
      <c r="H14" s="9" t="s">
        <v>135</v>
      </c>
      <c r="I14" s="43">
        <f>8.1*0.55</f>
        <v>4.4550000000000001</v>
      </c>
      <c r="J14" s="18">
        <f t="shared" ref="J14:S14" si="10">IF(I14="","",I14)</f>
        <v>4.4550000000000001</v>
      </c>
      <c r="K14" s="18">
        <f t="shared" si="10"/>
        <v>4.4550000000000001</v>
      </c>
      <c r="L14" s="18">
        <f t="shared" si="10"/>
        <v>4.4550000000000001</v>
      </c>
      <c r="M14" s="18">
        <f t="shared" si="10"/>
        <v>4.4550000000000001</v>
      </c>
      <c r="N14" s="18">
        <f t="shared" si="10"/>
        <v>4.4550000000000001</v>
      </c>
      <c r="O14" s="18">
        <f t="shared" si="10"/>
        <v>4.4550000000000001</v>
      </c>
      <c r="P14" s="18">
        <f t="shared" si="10"/>
        <v>4.4550000000000001</v>
      </c>
      <c r="Q14" s="18">
        <f t="shared" si="10"/>
        <v>4.4550000000000001</v>
      </c>
      <c r="R14" s="18">
        <f t="shared" si="10"/>
        <v>4.4550000000000001</v>
      </c>
      <c r="S14" s="18">
        <f t="shared" si="10"/>
        <v>4.4550000000000001</v>
      </c>
    </row>
    <row r="15" spans="2:19" x14ac:dyDescent="0.35">
      <c r="D15" s="9" t="s">
        <v>3</v>
      </c>
      <c r="E15" s="9" t="s">
        <v>151</v>
      </c>
      <c r="F15" s="11">
        <v>4.545454545454545</v>
      </c>
      <c r="G15" s="9" t="s">
        <v>22</v>
      </c>
      <c r="H15" s="9" t="s">
        <v>135</v>
      </c>
      <c r="I15" s="43">
        <f>8.1*0.55</f>
        <v>4.4550000000000001</v>
      </c>
      <c r="J15" s="18">
        <f t="shared" ref="J15:S15" si="11">IF(I15="","",I15)</f>
        <v>4.4550000000000001</v>
      </c>
      <c r="K15" s="18">
        <f t="shared" si="11"/>
        <v>4.4550000000000001</v>
      </c>
      <c r="L15" s="18">
        <f t="shared" si="11"/>
        <v>4.4550000000000001</v>
      </c>
      <c r="M15" s="18">
        <f t="shared" si="11"/>
        <v>4.4550000000000001</v>
      </c>
      <c r="N15" s="18">
        <f t="shared" si="11"/>
        <v>4.4550000000000001</v>
      </c>
      <c r="O15" s="18">
        <f t="shared" si="11"/>
        <v>4.4550000000000001</v>
      </c>
      <c r="P15" s="18">
        <f t="shared" si="11"/>
        <v>4.4550000000000001</v>
      </c>
      <c r="Q15" s="18">
        <f t="shared" si="11"/>
        <v>4.4550000000000001</v>
      </c>
      <c r="R15" s="18">
        <f t="shared" si="11"/>
        <v>4.4550000000000001</v>
      </c>
      <c r="S15" s="18">
        <f t="shared" si="11"/>
        <v>4.4550000000000001</v>
      </c>
    </row>
    <row r="16" spans="2:19" x14ac:dyDescent="0.35">
      <c r="D16" s="9" t="s">
        <v>3</v>
      </c>
      <c r="E16" s="9" t="s">
        <v>151</v>
      </c>
      <c r="F16" s="11">
        <v>5.4545454545454541</v>
      </c>
      <c r="G16" s="9" t="s">
        <v>22</v>
      </c>
      <c r="H16" s="9" t="s">
        <v>135</v>
      </c>
      <c r="I16" s="43">
        <f>8.1*0.55</f>
        <v>4.4550000000000001</v>
      </c>
      <c r="J16" s="18">
        <f t="shared" ref="J16:S16" si="12">IF(I16="","",I16)</f>
        <v>4.4550000000000001</v>
      </c>
      <c r="K16" s="18">
        <f t="shared" si="12"/>
        <v>4.4550000000000001</v>
      </c>
      <c r="L16" s="18">
        <f t="shared" si="12"/>
        <v>4.4550000000000001</v>
      </c>
      <c r="M16" s="18">
        <f t="shared" si="12"/>
        <v>4.4550000000000001</v>
      </c>
      <c r="N16" s="18">
        <f t="shared" si="12"/>
        <v>4.4550000000000001</v>
      </c>
      <c r="O16" s="18">
        <f t="shared" si="12"/>
        <v>4.4550000000000001</v>
      </c>
      <c r="P16" s="18">
        <f t="shared" si="12"/>
        <v>4.4550000000000001</v>
      </c>
      <c r="Q16" s="18">
        <f t="shared" si="12"/>
        <v>4.4550000000000001</v>
      </c>
      <c r="R16" s="18">
        <f t="shared" si="12"/>
        <v>4.4550000000000001</v>
      </c>
      <c r="S16" s="18">
        <f t="shared" si="12"/>
        <v>4.4550000000000001</v>
      </c>
    </row>
    <row r="17" spans="4:19" x14ac:dyDescent="0.35">
      <c r="D17" s="9" t="s">
        <v>3</v>
      </c>
      <c r="E17" s="9" t="s">
        <v>151</v>
      </c>
      <c r="F17" s="11">
        <v>6.9090909090909083</v>
      </c>
      <c r="G17" s="9" t="s">
        <v>22</v>
      </c>
      <c r="H17" s="9" t="s">
        <v>135</v>
      </c>
      <c r="I17" s="43">
        <f>8.1*0.55</f>
        <v>4.4550000000000001</v>
      </c>
      <c r="J17" s="18">
        <f t="shared" ref="J17:S17" si="13">IF(I17="","",I17)</f>
        <v>4.4550000000000001</v>
      </c>
      <c r="K17" s="18">
        <f t="shared" si="13"/>
        <v>4.4550000000000001</v>
      </c>
      <c r="L17" s="18">
        <f t="shared" si="13"/>
        <v>4.4550000000000001</v>
      </c>
      <c r="M17" s="18">
        <f t="shared" si="13"/>
        <v>4.4550000000000001</v>
      </c>
      <c r="N17" s="18">
        <f t="shared" si="13"/>
        <v>4.4550000000000001</v>
      </c>
      <c r="O17" s="18">
        <f t="shared" si="13"/>
        <v>4.4550000000000001</v>
      </c>
      <c r="P17" s="18">
        <f t="shared" si="13"/>
        <v>4.4550000000000001</v>
      </c>
      <c r="Q17" s="18">
        <f t="shared" si="13"/>
        <v>4.4550000000000001</v>
      </c>
      <c r="R17" s="18">
        <f t="shared" si="13"/>
        <v>4.4550000000000001</v>
      </c>
      <c r="S17" s="18">
        <f t="shared" si="13"/>
        <v>4.4550000000000001</v>
      </c>
    </row>
    <row r="18" spans="4:19" x14ac:dyDescent="0.35">
      <c r="D18" s="9" t="s">
        <v>3</v>
      </c>
      <c r="E18" s="9" t="s">
        <v>151</v>
      </c>
      <c r="F18" s="11">
        <v>8</v>
      </c>
      <c r="G18" s="9" t="s">
        <v>22</v>
      </c>
      <c r="H18" s="9" t="s">
        <v>135</v>
      </c>
      <c r="I18" s="43">
        <f>8.1*0.55</f>
        <v>4.4550000000000001</v>
      </c>
      <c r="J18" s="18">
        <f t="shared" ref="J18:S18" si="14">IF(I18="","",I18)</f>
        <v>4.4550000000000001</v>
      </c>
      <c r="K18" s="18">
        <f t="shared" si="14"/>
        <v>4.4550000000000001</v>
      </c>
      <c r="L18" s="18">
        <f t="shared" si="14"/>
        <v>4.4550000000000001</v>
      </c>
      <c r="M18" s="18">
        <f t="shared" si="14"/>
        <v>4.4550000000000001</v>
      </c>
      <c r="N18" s="18">
        <f t="shared" si="14"/>
        <v>4.4550000000000001</v>
      </c>
      <c r="O18" s="18">
        <f t="shared" si="14"/>
        <v>4.4550000000000001</v>
      </c>
      <c r="P18" s="18">
        <f t="shared" si="14"/>
        <v>4.4550000000000001</v>
      </c>
      <c r="Q18" s="18">
        <f t="shared" si="14"/>
        <v>4.4550000000000001</v>
      </c>
      <c r="R18" s="18">
        <f t="shared" si="14"/>
        <v>4.4550000000000001</v>
      </c>
      <c r="S18" s="18">
        <f t="shared" si="14"/>
        <v>4.4550000000000001</v>
      </c>
    </row>
    <row r="19" spans="4:19" x14ac:dyDescent="0.35">
      <c r="D19" s="9" t="s">
        <v>6</v>
      </c>
      <c r="E19" s="9" t="s">
        <v>151</v>
      </c>
      <c r="F19" s="11">
        <v>4.615384615384615</v>
      </c>
      <c r="G19" s="9" t="s">
        <v>22</v>
      </c>
      <c r="H19" s="9" t="s">
        <v>135</v>
      </c>
      <c r="I19" s="18">
        <f>8.4*0.65</f>
        <v>5.4600000000000009</v>
      </c>
      <c r="J19" s="18">
        <f t="shared" ref="J19:S19" si="15">IF(I19="","",I19)</f>
        <v>5.4600000000000009</v>
      </c>
      <c r="K19" s="18">
        <f t="shared" si="15"/>
        <v>5.4600000000000009</v>
      </c>
      <c r="L19" s="18">
        <f t="shared" si="15"/>
        <v>5.4600000000000009</v>
      </c>
      <c r="M19" s="18">
        <f t="shared" si="15"/>
        <v>5.4600000000000009</v>
      </c>
      <c r="N19" s="18">
        <f t="shared" si="15"/>
        <v>5.4600000000000009</v>
      </c>
      <c r="O19" s="18">
        <f t="shared" si="15"/>
        <v>5.4600000000000009</v>
      </c>
      <c r="P19" s="18">
        <f t="shared" si="15"/>
        <v>5.4600000000000009</v>
      </c>
      <c r="Q19" s="18">
        <f t="shared" si="15"/>
        <v>5.4600000000000009</v>
      </c>
      <c r="R19" s="18">
        <f t="shared" si="15"/>
        <v>5.4600000000000009</v>
      </c>
      <c r="S19" s="18">
        <f t="shared" si="15"/>
        <v>5.4600000000000009</v>
      </c>
    </row>
    <row r="20" spans="4:19" x14ac:dyDescent="0.35">
      <c r="D20" s="9" t="s">
        <v>6</v>
      </c>
      <c r="E20" s="9" t="s">
        <v>151</v>
      </c>
      <c r="F20" s="11">
        <v>6.1538461538461533</v>
      </c>
      <c r="G20" s="9" t="s">
        <v>22</v>
      </c>
      <c r="H20" s="9" t="s">
        <v>135</v>
      </c>
      <c r="I20" s="18">
        <f>8.4*0.65</f>
        <v>5.4600000000000009</v>
      </c>
      <c r="J20" s="18">
        <f t="shared" ref="J20:S20" si="16">IF(I20="","",I20)</f>
        <v>5.4600000000000009</v>
      </c>
      <c r="K20" s="18">
        <f t="shared" si="16"/>
        <v>5.4600000000000009</v>
      </c>
      <c r="L20" s="18">
        <f t="shared" si="16"/>
        <v>5.4600000000000009</v>
      </c>
      <c r="M20" s="18">
        <f t="shared" si="16"/>
        <v>5.4600000000000009</v>
      </c>
      <c r="N20" s="18">
        <f t="shared" si="16"/>
        <v>5.4600000000000009</v>
      </c>
      <c r="O20" s="18">
        <f t="shared" si="16"/>
        <v>5.4600000000000009</v>
      </c>
      <c r="P20" s="18">
        <f t="shared" si="16"/>
        <v>5.4600000000000009</v>
      </c>
      <c r="Q20" s="18">
        <f t="shared" si="16"/>
        <v>5.4600000000000009</v>
      </c>
      <c r="R20" s="18">
        <f t="shared" si="16"/>
        <v>5.4600000000000009</v>
      </c>
      <c r="S20" s="18">
        <f t="shared" si="16"/>
        <v>5.4600000000000009</v>
      </c>
    </row>
    <row r="21" spans="4:19" x14ac:dyDescent="0.35">
      <c r="D21" s="9" t="s">
        <v>6</v>
      </c>
      <c r="E21" s="9" t="s">
        <v>151</v>
      </c>
      <c r="F21" s="11">
        <v>7.6923076923076916</v>
      </c>
      <c r="G21" s="9" t="s">
        <v>22</v>
      </c>
      <c r="H21" s="9" t="s">
        <v>135</v>
      </c>
      <c r="I21" s="18">
        <f>8.4*0.65</f>
        <v>5.4600000000000009</v>
      </c>
      <c r="J21" s="18">
        <f t="shared" ref="J21:S21" si="17">IF(I21="","",I21)</f>
        <v>5.4600000000000009</v>
      </c>
      <c r="K21" s="18">
        <f t="shared" si="17"/>
        <v>5.4600000000000009</v>
      </c>
      <c r="L21" s="18">
        <f t="shared" si="17"/>
        <v>5.4600000000000009</v>
      </c>
      <c r="M21" s="18">
        <f t="shared" si="17"/>
        <v>5.4600000000000009</v>
      </c>
      <c r="N21" s="18">
        <f t="shared" si="17"/>
        <v>5.4600000000000009</v>
      </c>
      <c r="O21" s="18">
        <f t="shared" si="17"/>
        <v>5.4600000000000009</v>
      </c>
      <c r="P21" s="18">
        <f t="shared" si="17"/>
        <v>5.4600000000000009</v>
      </c>
      <c r="Q21" s="18">
        <f t="shared" si="17"/>
        <v>5.4600000000000009</v>
      </c>
      <c r="R21" s="18">
        <f t="shared" si="17"/>
        <v>5.4600000000000009</v>
      </c>
      <c r="S21" s="18">
        <f t="shared" si="17"/>
        <v>5.4600000000000009</v>
      </c>
    </row>
    <row r="22" spans="4:19" x14ac:dyDescent="0.35">
      <c r="D22" s="9" t="s">
        <v>6</v>
      </c>
      <c r="E22" s="9" t="s">
        <v>151</v>
      </c>
      <c r="F22" s="11">
        <v>8.4615384615384617</v>
      </c>
      <c r="G22" s="9" t="s">
        <v>22</v>
      </c>
      <c r="H22" s="9" t="s">
        <v>135</v>
      </c>
      <c r="I22" s="18">
        <f>8.4*0.65</f>
        <v>5.4600000000000009</v>
      </c>
      <c r="J22" s="18">
        <f t="shared" ref="J22:S22" si="18">IF(I22="","",I22)</f>
        <v>5.4600000000000009</v>
      </c>
      <c r="K22" s="18">
        <f t="shared" si="18"/>
        <v>5.4600000000000009</v>
      </c>
      <c r="L22" s="18">
        <f t="shared" si="18"/>
        <v>5.4600000000000009</v>
      </c>
      <c r="M22" s="18">
        <f t="shared" si="18"/>
        <v>5.4600000000000009</v>
      </c>
      <c r="N22" s="18">
        <f t="shared" si="18"/>
        <v>5.4600000000000009</v>
      </c>
      <c r="O22" s="18">
        <f t="shared" si="18"/>
        <v>5.4600000000000009</v>
      </c>
      <c r="P22" s="18">
        <f t="shared" si="18"/>
        <v>5.4600000000000009</v>
      </c>
      <c r="Q22" s="18">
        <f t="shared" si="18"/>
        <v>5.4600000000000009</v>
      </c>
      <c r="R22" s="18">
        <f t="shared" si="18"/>
        <v>5.4600000000000009</v>
      </c>
      <c r="S22" s="18">
        <f t="shared" si="18"/>
        <v>5.4600000000000009</v>
      </c>
    </row>
    <row r="23" spans="4:19" x14ac:dyDescent="0.35">
      <c r="D23" s="9" t="s">
        <v>10</v>
      </c>
      <c r="E23" s="9" t="s">
        <v>151</v>
      </c>
      <c r="F23" s="11">
        <v>4.615384615384615</v>
      </c>
      <c r="G23" s="9" t="s">
        <v>22</v>
      </c>
      <c r="H23" s="9" t="s">
        <v>135</v>
      </c>
      <c r="I23" s="43">
        <f>10.2*0.65</f>
        <v>6.63</v>
      </c>
      <c r="J23" s="18">
        <f t="shared" ref="J23:S23" si="19">IF(I23="","",I23)</f>
        <v>6.63</v>
      </c>
      <c r="K23" s="18">
        <f t="shared" si="19"/>
        <v>6.63</v>
      </c>
      <c r="L23" s="18">
        <f t="shared" si="19"/>
        <v>6.63</v>
      </c>
      <c r="M23" s="18">
        <f t="shared" si="19"/>
        <v>6.63</v>
      </c>
      <c r="N23" s="18">
        <f t="shared" si="19"/>
        <v>6.63</v>
      </c>
      <c r="O23" s="18">
        <f t="shared" si="19"/>
        <v>6.63</v>
      </c>
      <c r="P23" s="18">
        <f t="shared" si="19"/>
        <v>6.63</v>
      </c>
      <c r="Q23" s="18">
        <f t="shared" si="19"/>
        <v>6.63</v>
      </c>
      <c r="R23" s="18">
        <f t="shared" si="19"/>
        <v>6.63</v>
      </c>
      <c r="S23" s="18">
        <f t="shared" si="19"/>
        <v>6.63</v>
      </c>
    </row>
    <row r="24" spans="4:19" x14ac:dyDescent="0.35">
      <c r="D24" s="9" t="s">
        <v>10</v>
      </c>
      <c r="E24" s="9" t="s">
        <v>151</v>
      </c>
      <c r="F24" s="11">
        <v>6.1538461538461533</v>
      </c>
      <c r="G24" s="9" t="s">
        <v>22</v>
      </c>
      <c r="H24" s="9" t="s">
        <v>135</v>
      </c>
      <c r="I24" s="43">
        <f>10.2*0.65</f>
        <v>6.63</v>
      </c>
      <c r="J24" s="18">
        <f t="shared" ref="J24:S24" si="20">IF(I24="","",I24)</f>
        <v>6.63</v>
      </c>
      <c r="K24" s="18">
        <f t="shared" si="20"/>
        <v>6.63</v>
      </c>
      <c r="L24" s="18">
        <f t="shared" si="20"/>
        <v>6.63</v>
      </c>
      <c r="M24" s="18">
        <f t="shared" si="20"/>
        <v>6.63</v>
      </c>
      <c r="N24" s="18">
        <f t="shared" si="20"/>
        <v>6.63</v>
      </c>
      <c r="O24" s="18">
        <f t="shared" si="20"/>
        <v>6.63</v>
      </c>
      <c r="P24" s="18">
        <f t="shared" si="20"/>
        <v>6.63</v>
      </c>
      <c r="Q24" s="18">
        <f t="shared" si="20"/>
        <v>6.63</v>
      </c>
      <c r="R24" s="18">
        <f t="shared" si="20"/>
        <v>6.63</v>
      </c>
      <c r="S24" s="18">
        <f t="shared" si="20"/>
        <v>6.63</v>
      </c>
    </row>
    <row r="25" spans="4:19" x14ac:dyDescent="0.35">
      <c r="D25" s="9" t="s">
        <v>10</v>
      </c>
      <c r="E25" s="9" t="s">
        <v>151</v>
      </c>
      <c r="F25" s="11">
        <v>7.6923076923076916</v>
      </c>
      <c r="G25" s="9" t="s">
        <v>22</v>
      </c>
      <c r="H25" s="9" t="s">
        <v>135</v>
      </c>
      <c r="I25" s="43">
        <f>10.2*0.65</f>
        <v>6.63</v>
      </c>
      <c r="J25" s="18">
        <f t="shared" ref="J25:S25" si="21">IF(I25="","",I25)</f>
        <v>6.63</v>
      </c>
      <c r="K25" s="18">
        <f t="shared" si="21"/>
        <v>6.63</v>
      </c>
      <c r="L25" s="18">
        <f t="shared" si="21"/>
        <v>6.63</v>
      </c>
      <c r="M25" s="18">
        <f t="shared" si="21"/>
        <v>6.63</v>
      </c>
      <c r="N25" s="18">
        <f t="shared" si="21"/>
        <v>6.63</v>
      </c>
      <c r="O25" s="18">
        <f t="shared" si="21"/>
        <v>6.63</v>
      </c>
      <c r="P25" s="18">
        <f t="shared" si="21"/>
        <v>6.63</v>
      </c>
      <c r="Q25" s="18">
        <f t="shared" si="21"/>
        <v>6.63</v>
      </c>
      <c r="R25" s="18">
        <f t="shared" si="21"/>
        <v>6.63</v>
      </c>
      <c r="S25" s="18">
        <f t="shared" si="21"/>
        <v>6.63</v>
      </c>
    </row>
    <row r="26" spans="4:19" x14ac:dyDescent="0.35">
      <c r="D26" s="9" t="s">
        <v>10</v>
      </c>
      <c r="E26" s="9" t="s">
        <v>151</v>
      </c>
      <c r="F26" s="11">
        <v>8.4615384615384617</v>
      </c>
      <c r="G26" s="9" t="s">
        <v>22</v>
      </c>
      <c r="H26" s="9" t="s">
        <v>135</v>
      </c>
      <c r="I26" s="43">
        <f>10.2*0.65</f>
        <v>6.63</v>
      </c>
      <c r="J26" s="18">
        <f t="shared" ref="J26:S26" si="22">IF(I26="","",I26)</f>
        <v>6.63</v>
      </c>
      <c r="K26" s="18">
        <f t="shared" si="22"/>
        <v>6.63</v>
      </c>
      <c r="L26" s="18">
        <f t="shared" si="22"/>
        <v>6.63</v>
      </c>
      <c r="M26" s="18">
        <f t="shared" si="22"/>
        <v>6.63</v>
      </c>
      <c r="N26" s="18">
        <f t="shared" si="22"/>
        <v>6.63</v>
      </c>
      <c r="O26" s="18">
        <f t="shared" si="22"/>
        <v>6.63</v>
      </c>
      <c r="P26" s="18">
        <f t="shared" si="22"/>
        <v>6.63</v>
      </c>
      <c r="Q26" s="18">
        <f t="shared" si="22"/>
        <v>6.63</v>
      </c>
      <c r="R26" s="18">
        <f t="shared" si="22"/>
        <v>6.63</v>
      </c>
      <c r="S26" s="18">
        <f t="shared" si="22"/>
        <v>6.63</v>
      </c>
    </row>
    <row r="27" spans="4:19" x14ac:dyDescent="0.35">
      <c r="D27" s="9" t="s">
        <v>4</v>
      </c>
      <c r="E27" s="9" t="s">
        <v>151</v>
      </c>
      <c r="F27" s="11">
        <v>4.615384615384615</v>
      </c>
      <c r="G27" s="9" t="s">
        <v>22</v>
      </c>
      <c r="H27" s="9" t="s">
        <v>135</v>
      </c>
      <c r="I27" s="43">
        <f>7.2*0.65</f>
        <v>4.6800000000000006</v>
      </c>
      <c r="J27" s="18">
        <f t="shared" ref="J27:S27" si="23">IF(I27="","",I27)</f>
        <v>4.6800000000000006</v>
      </c>
      <c r="K27" s="18">
        <f t="shared" si="23"/>
        <v>4.6800000000000006</v>
      </c>
      <c r="L27" s="18">
        <f t="shared" si="23"/>
        <v>4.6800000000000006</v>
      </c>
      <c r="M27" s="18">
        <f t="shared" si="23"/>
        <v>4.6800000000000006</v>
      </c>
      <c r="N27" s="18">
        <f t="shared" si="23"/>
        <v>4.6800000000000006</v>
      </c>
      <c r="O27" s="18">
        <f t="shared" si="23"/>
        <v>4.6800000000000006</v>
      </c>
      <c r="P27" s="18">
        <f t="shared" si="23"/>
        <v>4.6800000000000006</v>
      </c>
      <c r="Q27" s="18">
        <f t="shared" si="23"/>
        <v>4.6800000000000006</v>
      </c>
      <c r="R27" s="18">
        <f t="shared" si="23"/>
        <v>4.6800000000000006</v>
      </c>
      <c r="S27" s="18">
        <f t="shared" si="23"/>
        <v>4.6800000000000006</v>
      </c>
    </row>
    <row r="28" spans="4:19" x14ac:dyDescent="0.35">
      <c r="D28" s="9" t="s">
        <v>4</v>
      </c>
      <c r="E28" s="9" t="s">
        <v>151</v>
      </c>
      <c r="F28" s="11">
        <v>6.1538461538461533</v>
      </c>
      <c r="G28" s="9" t="s">
        <v>22</v>
      </c>
      <c r="H28" s="9" t="s">
        <v>135</v>
      </c>
      <c r="I28" s="43">
        <f t="shared" ref="I28:I33" si="24">7.2*0.65</f>
        <v>4.6800000000000006</v>
      </c>
      <c r="J28" s="18">
        <f t="shared" ref="J28:S28" si="25">IF(I28="","",I28)</f>
        <v>4.6800000000000006</v>
      </c>
      <c r="K28" s="18">
        <f t="shared" si="25"/>
        <v>4.6800000000000006</v>
      </c>
      <c r="L28" s="18">
        <f t="shared" si="25"/>
        <v>4.6800000000000006</v>
      </c>
      <c r="M28" s="18">
        <f t="shared" si="25"/>
        <v>4.6800000000000006</v>
      </c>
      <c r="N28" s="18">
        <f t="shared" si="25"/>
        <v>4.6800000000000006</v>
      </c>
      <c r="O28" s="18">
        <f t="shared" si="25"/>
        <v>4.6800000000000006</v>
      </c>
      <c r="P28" s="18">
        <f t="shared" si="25"/>
        <v>4.6800000000000006</v>
      </c>
      <c r="Q28" s="18">
        <f t="shared" si="25"/>
        <v>4.6800000000000006</v>
      </c>
      <c r="R28" s="18">
        <f t="shared" si="25"/>
        <v>4.6800000000000006</v>
      </c>
      <c r="S28" s="18">
        <f t="shared" si="25"/>
        <v>4.6800000000000006</v>
      </c>
    </row>
    <row r="29" spans="4:19" x14ac:dyDescent="0.35">
      <c r="D29" s="9" t="s">
        <v>4</v>
      </c>
      <c r="E29" s="9" t="s">
        <v>151</v>
      </c>
      <c r="F29" s="11">
        <v>7.6923076923076916</v>
      </c>
      <c r="G29" s="9" t="s">
        <v>22</v>
      </c>
      <c r="H29" s="9" t="s">
        <v>135</v>
      </c>
      <c r="I29" s="43">
        <f t="shared" si="24"/>
        <v>4.6800000000000006</v>
      </c>
      <c r="J29" s="18">
        <f t="shared" ref="J29:S29" si="26">IF(I29="","",I29)</f>
        <v>4.6800000000000006</v>
      </c>
      <c r="K29" s="18">
        <f t="shared" si="26"/>
        <v>4.6800000000000006</v>
      </c>
      <c r="L29" s="18">
        <f t="shared" si="26"/>
        <v>4.6800000000000006</v>
      </c>
      <c r="M29" s="18">
        <f t="shared" si="26"/>
        <v>4.6800000000000006</v>
      </c>
      <c r="N29" s="18">
        <f t="shared" si="26"/>
        <v>4.6800000000000006</v>
      </c>
      <c r="O29" s="18">
        <f t="shared" si="26"/>
        <v>4.6800000000000006</v>
      </c>
      <c r="P29" s="18">
        <f t="shared" si="26"/>
        <v>4.6800000000000006</v>
      </c>
      <c r="Q29" s="18">
        <f t="shared" si="26"/>
        <v>4.6800000000000006</v>
      </c>
      <c r="R29" s="18">
        <f t="shared" si="26"/>
        <v>4.6800000000000006</v>
      </c>
      <c r="S29" s="18">
        <f t="shared" si="26"/>
        <v>4.6800000000000006</v>
      </c>
    </row>
    <row r="30" spans="4:19" x14ac:dyDescent="0.35">
      <c r="D30" s="9" t="s">
        <v>4</v>
      </c>
      <c r="E30" s="9" t="s">
        <v>151</v>
      </c>
      <c r="F30" s="11">
        <v>9.2307692307692299</v>
      </c>
      <c r="G30" s="9" t="s">
        <v>22</v>
      </c>
      <c r="H30" s="9" t="s">
        <v>135</v>
      </c>
      <c r="I30" s="43">
        <f t="shared" si="24"/>
        <v>4.6800000000000006</v>
      </c>
      <c r="J30" s="18">
        <f t="shared" ref="J30:S30" si="27">IF(I30="","",I30)</f>
        <v>4.6800000000000006</v>
      </c>
      <c r="K30" s="18">
        <f t="shared" si="27"/>
        <v>4.6800000000000006</v>
      </c>
      <c r="L30" s="18">
        <f t="shared" si="27"/>
        <v>4.6800000000000006</v>
      </c>
      <c r="M30" s="18">
        <f t="shared" si="27"/>
        <v>4.6800000000000006</v>
      </c>
      <c r="N30" s="18">
        <f t="shared" si="27"/>
        <v>4.6800000000000006</v>
      </c>
      <c r="O30" s="18">
        <f t="shared" si="27"/>
        <v>4.6800000000000006</v>
      </c>
      <c r="P30" s="18">
        <f t="shared" si="27"/>
        <v>4.6800000000000006</v>
      </c>
      <c r="Q30" s="18">
        <f t="shared" si="27"/>
        <v>4.6800000000000006</v>
      </c>
      <c r="R30" s="18">
        <f t="shared" si="27"/>
        <v>4.6800000000000006</v>
      </c>
      <c r="S30" s="18">
        <f t="shared" si="27"/>
        <v>4.6800000000000006</v>
      </c>
    </row>
    <row r="31" spans="4:19" x14ac:dyDescent="0.35">
      <c r="D31" s="9" t="s">
        <v>4</v>
      </c>
      <c r="E31" s="9" t="s">
        <v>151</v>
      </c>
      <c r="F31" s="11">
        <v>10.769230769230768</v>
      </c>
      <c r="G31" s="9" t="s">
        <v>22</v>
      </c>
      <c r="H31" s="9" t="s">
        <v>135</v>
      </c>
      <c r="I31" s="43">
        <f t="shared" si="24"/>
        <v>4.6800000000000006</v>
      </c>
      <c r="J31" s="18">
        <f t="shared" ref="J31:S31" si="28">IF(I31="","",I31)</f>
        <v>4.6800000000000006</v>
      </c>
      <c r="K31" s="18">
        <f t="shared" si="28"/>
        <v>4.6800000000000006</v>
      </c>
      <c r="L31" s="18">
        <f t="shared" si="28"/>
        <v>4.6800000000000006</v>
      </c>
      <c r="M31" s="18">
        <f t="shared" si="28"/>
        <v>4.6800000000000006</v>
      </c>
      <c r="N31" s="18">
        <f t="shared" si="28"/>
        <v>4.6800000000000006</v>
      </c>
      <c r="O31" s="18">
        <f t="shared" si="28"/>
        <v>4.6800000000000006</v>
      </c>
      <c r="P31" s="18">
        <f t="shared" si="28"/>
        <v>4.6800000000000006</v>
      </c>
      <c r="Q31" s="18">
        <f t="shared" si="28"/>
        <v>4.6800000000000006</v>
      </c>
      <c r="R31" s="18">
        <f t="shared" si="28"/>
        <v>4.6800000000000006</v>
      </c>
      <c r="S31" s="18">
        <f t="shared" si="28"/>
        <v>4.6800000000000006</v>
      </c>
    </row>
    <row r="32" spans="4:19" x14ac:dyDescent="0.35">
      <c r="D32" s="9" t="s">
        <v>4</v>
      </c>
      <c r="E32" s="9" t="s">
        <v>151</v>
      </c>
      <c r="F32" s="11">
        <v>12.307692307692307</v>
      </c>
      <c r="G32" s="9" t="s">
        <v>22</v>
      </c>
      <c r="H32" s="9" t="s">
        <v>135</v>
      </c>
      <c r="I32" s="43">
        <f t="shared" si="24"/>
        <v>4.6800000000000006</v>
      </c>
      <c r="J32" s="18">
        <f t="shared" ref="J32:S32" si="29">IF(I32="","",I32)</f>
        <v>4.6800000000000006</v>
      </c>
      <c r="K32" s="18">
        <f t="shared" si="29"/>
        <v>4.6800000000000006</v>
      </c>
      <c r="L32" s="18">
        <f t="shared" si="29"/>
        <v>4.6800000000000006</v>
      </c>
      <c r="M32" s="18">
        <f t="shared" si="29"/>
        <v>4.6800000000000006</v>
      </c>
      <c r="N32" s="18">
        <f t="shared" si="29"/>
        <v>4.6800000000000006</v>
      </c>
      <c r="O32" s="18">
        <f t="shared" si="29"/>
        <v>4.6800000000000006</v>
      </c>
      <c r="P32" s="18">
        <f t="shared" si="29"/>
        <v>4.6800000000000006</v>
      </c>
      <c r="Q32" s="18">
        <f t="shared" si="29"/>
        <v>4.6800000000000006</v>
      </c>
      <c r="R32" s="18">
        <f t="shared" si="29"/>
        <v>4.6800000000000006</v>
      </c>
      <c r="S32" s="18">
        <f t="shared" si="29"/>
        <v>4.6800000000000006</v>
      </c>
    </row>
    <row r="33" spans="4:19" x14ac:dyDescent="0.35">
      <c r="D33" s="9" t="s">
        <v>4</v>
      </c>
      <c r="E33" s="9" t="s">
        <v>151</v>
      </c>
      <c r="F33" s="11">
        <v>13.846153846153845</v>
      </c>
      <c r="G33" s="9" t="s">
        <v>22</v>
      </c>
      <c r="H33" s="9" t="s">
        <v>135</v>
      </c>
      <c r="I33" s="43">
        <f t="shared" si="24"/>
        <v>4.6800000000000006</v>
      </c>
      <c r="J33" s="18">
        <f t="shared" ref="J33:S33" si="30">IF(I33="","",I33)</f>
        <v>4.6800000000000006</v>
      </c>
      <c r="K33" s="18">
        <f t="shared" si="30"/>
        <v>4.6800000000000006</v>
      </c>
      <c r="L33" s="18">
        <f t="shared" si="30"/>
        <v>4.6800000000000006</v>
      </c>
      <c r="M33" s="18">
        <f t="shared" si="30"/>
        <v>4.6800000000000006</v>
      </c>
      <c r="N33" s="18">
        <f t="shared" si="30"/>
        <v>4.6800000000000006</v>
      </c>
      <c r="O33" s="18">
        <f t="shared" si="30"/>
        <v>4.6800000000000006</v>
      </c>
      <c r="P33" s="18">
        <f t="shared" si="30"/>
        <v>4.6800000000000006</v>
      </c>
      <c r="Q33" s="18">
        <f t="shared" si="30"/>
        <v>4.6800000000000006</v>
      </c>
      <c r="R33" s="18">
        <f t="shared" si="30"/>
        <v>4.6800000000000006</v>
      </c>
      <c r="S33" s="18">
        <f t="shared" si="30"/>
        <v>4.6800000000000006</v>
      </c>
    </row>
    <row r="34" spans="4:19" x14ac:dyDescent="0.35">
      <c r="D34" s="9"/>
      <c r="E34" s="9"/>
      <c r="F34" s="11"/>
      <c r="G34" s="9"/>
      <c r="H34" s="9"/>
      <c r="I34" s="18"/>
      <c r="J34" s="18" t="str">
        <f t="shared" ref="J34:S34" si="31">IF(I34="","",I34)</f>
        <v/>
      </c>
      <c r="K34" s="18" t="str">
        <f t="shared" si="31"/>
        <v/>
      </c>
      <c r="L34" s="18" t="str">
        <f t="shared" si="31"/>
        <v/>
      </c>
      <c r="M34" s="18" t="str">
        <f t="shared" si="31"/>
        <v/>
      </c>
      <c r="N34" s="18" t="str">
        <f t="shared" si="31"/>
        <v/>
      </c>
      <c r="O34" s="18" t="str">
        <f t="shared" si="31"/>
        <v/>
      </c>
      <c r="P34" s="18" t="str">
        <f t="shared" si="31"/>
        <v/>
      </c>
      <c r="Q34" s="18" t="str">
        <f t="shared" si="31"/>
        <v/>
      </c>
      <c r="R34" s="18" t="str">
        <f t="shared" si="31"/>
        <v/>
      </c>
      <c r="S34" s="18" t="str">
        <f t="shared" si="31"/>
        <v/>
      </c>
    </row>
    <row r="35" spans="4:19" x14ac:dyDescent="0.35">
      <c r="D35" s="9"/>
      <c r="E35" s="9"/>
      <c r="F35" s="11"/>
      <c r="G35" s="9"/>
      <c r="H35" s="9"/>
      <c r="I35" s="18"/>
      <c r="J35" s="18" t="str">
        <f t="shared" ref="J35:S35" si="32">IF(I35="","",I35)</f>
        <v/>
      </c>
      <c r="K35" s="18" t="str">
        <f t="shared" si="32"/>
        <v/>
      </c>
      <c r="L35" s="18" t="str">
        <f t="shared" si="32"/>
        <v/>
      </c>
      <c r="M35" s="18" t="str">
        <f t="shared" si="32"/>
        <v/>
      </c>
      <c r="N35" s="18" t="str">
        <f t="shared" si="32"/>
        <v/>
      </c>
      <c r="O35" s="18" t="str">
        <f t="shared" si="32"/>
        <v/>
      </c>
      <c r="P35" s="18" t="str">
        <f t="shared" si="32"/>
        <v/>
      </c>
      <c r="Q35" s="18" t="str">
        <f t="shared" si="32"/>
        <v/>
      </c>
      <c r="R35" s="18" t="str">
        <f t="shared" si="32"/>
        <v/>
      </c>
      <c r="S35" s="18" t="str">
        <f t="shared" si="32"/>
        <v/>
      </c>
    </row>
    <row r="36" spans="4:19" x14ac:dyDescent="0.35">
      <c r="D36" s="9"/>
      <c r="E36" s="9"/>
      <c r="F36" s="11"/>
      <c r="G36" s="9"/>
      <c r="H36" s="9"/>
      <c r="I36" s="18"/>
      <c r="J36" s="18" t="str">
        <f t="shared" ref="J36:S36" si="33">IF(I36="","",I36)</f>
        <v/>
      </c>
      <c r="K36" s="18" t="str">
        <f t="shared" si="33"/>
        <v/>
      </c>
      <c r="L36" s="18" t="str">
        <f t="shared" si="33"/>
        <v/>
      </c>
      <c r="M36" s="18" t="str">
        <f t="shared" si="33"/>
        <v/>
      </c>
      <c r="N36" s="18" t="str">
        <f t="shared" si="33"/>
        <v/>
      </c>
      <c r="O36" s="18" t="str">
        <f t="shared" si="33"/>
        <v/>
      </c>
      <c r="P36" s="18" t="str">
        <f t="shared" si="33"/>
        <v/>
      </c>
      <c r="Q36" s="18" t="str">
        <f t="shared" si="33"/>
        <v/>
      </c>
      <c r="R36" s="18" t="str">
        <f t="shared" si="33"/>
        <v/>
      </c>
      <c r="S36" s="18" t="str">
        <f t="shared" si="33"/>
        <v/>
      </c>
    </row>
    <row r="37" spans="4:19" x14ac:dyDescent="0.35">
      <c r="D37" s="9"/>
      <c r="E37" s="9"/>
      <c r="F37" s="11"/>
      <c r="G37" s="9"/>
      <c r="H37" s="9"/>
      <c r="I37" s="18"/>
      <c r="J37" s="18" t="str">
        <f t="shared" ref="J37:S37" si="34">IF(I37="","",I37)</f>
        <v/>
      </c>
      <c r="K37" s="18" t="str">
        <f t="shared" si="34"/>
        <v/>
      </c>
      <c r="L37" s="18" t="str">
        <f t="shared" si="34"/>
        <v/>
      </c>
      <c r="M37" s="18" t="str">
        <f t="shared" si="34"/>
        <v/>
      </c>
      <c r="N37" s="18" t="str">
        <f t="shared" si="34"/>
        <v/>
      </c>
      <c r="O37" s="18" t="str">
        <f t="shared" si="34"/>
        <v/>
      </c>
      <c r="P37" s="18" t="str">
        <f t="shared" si="34"/>
        <v/>
      </c>
      <c r="Q37" s="18" t="str">
        <f t="shared" si="34"/>
        <v/>
      </c>
      <c r="R37" s="18" t="str">
        <f t="shared" si="34"/>
        <v/>
      </c>
      <c r="S37" s="18" t="str">
        <f t="shared" si="34"/>
        <v/>
      </c>
    </row>
    <row r="38" spans="4:19" x14ac:dyDescent="0.35">
      <c r="D38" s="9"/>
      <c r="E38" s="9"/>
      <c r="F38" s="11"/>
      <c r="G38" s="9"/>
      <c r="H38" s="9"/>
      <c r="I38" s="18"/>
      <c r="J38" s="18" t="str">
        <f t="shared" ref="J38:S38" si="35">IF(I38="","",I38)</f>
        <v/>
      </c>
      <c r="K38" s="18" t="str">
        <f t="shared" si="35"/>
        <v/>
      </c>
      <c r="L38" s="18" t="str">
        <f t="shared" si="35"/>
        <v/>
      </c>
      <c r="M38" s="18" t="str">
        <f t="shared" si="35"/>
        <v/>
      </c>
      <c r="N38" s="18" t="str">
        <f t="shared" si="35"/>
        <v/>
      </c>
      <c r="O38" s="18" t="str">
        <f t="shared" si="35"/>
        <v/>
      </c>
      <c r="P38" s="18" t="str">
        <f t="shared" si="35"/>
        <v/>
      </c>
      <c r="Q38" s="18" t="str">
        <f t="shared" si="35"/>
        <v/>
      </c>
      <c r="R38" s="18" t="str">
        <f t="shared" si="35"/>
        <v/>
      </c>
      <c r="S38" s="18" t="str">
        <f t="shared" si="35"/>
        <v/>
      </c>
    </row>
    <row r="39" spans="4:19" x14ac:dyDescent="0.35">
      <c r="D39" s="9"/>
      <c r="E39" s="9"/>
      <c r="F39" s="11"/>
      <c r="G39" s="9"/>
      <c r="H39" s="9"/>
      <c r="I39" s="18"/>
      <c r="J39" s="18" t="str">
        <f t="shared" ref="J39:S39" si="36">IF(I39="","",I39)</f>
        <v/>
      </c>
      <c r="K39" s="18" t="str">
        <f t="shared" si="36"/>
        <v/>
      </c>
      <c r="L39" s="18" t="str">
        <f t="shared" si="36"/>
        <v/>
      </c>
      <c r="M39" s="18" t="str">
        <f t="shared" si="36"/>
        <v/>
      </c>
      <c r="N39" s="18" t="str">
        <f t="shared" si="36"/>
        <v/>
      </c>
      <c r="O39" s="18" t="str">
        <f t="shared" si="36"/>
        <v/>
      </c>
      <c r="P39" s="18" t="str">
        <f t="shared" si="36"/>
        <v/>
      </c>
      <c r="Q39" s="18" t="str">
        <f t="shared" si="36"/>
        <v/>
      </c>
      <c r="R39" s="18" t="str">
        <f t="shared" si="36"/>
        <v/>
      </c>
      <c r="S39" s="18" t="str">
        <f t="shared" si="36"/>
        <v/>
      </c>
    </row>
    <row r="40" spans="4:19" x14ac:dyDescent="0.35">
      <c r="D40" s="9"/>
      <c r="E40" s="9"/>
      <c r="F40" s="11"/>
      <c r="G40" s="9"/>
      <c r="H40" s="9"/>
      <c r="I40" s="18"/>
      <c r="J40" s="18" t="str">
        <f t="shared" ref="J40:S40" si="37">IF(I40="","",I40)</f>
        <v/>
      </c>
      <c r="K40" s="18" t="str">
        <f t="shared" si="37"/>
        <v/>
      </c>
      <c r="L40" s="18" t="str">
        <f t="shared" si="37"/>
        <v/>
      </c>
      <c r="M40" s="18" t="str">
        <f t="shared" si="37"/>
        <v/>
      </c>
      <c r="N40" s="18" t="str">
        <f t="shared" si="37"/>
        <v/>
      </c>
      <c r="O40" s="18" t="str">
        <f t="shared" si="37"/>
        <v/>
      </c>
      <c r="P40" s="18" t="str">
        <f t="shared" si="37"/>
        <v/>
      </c>
      <c r="Q40" s="18" t="str">
        <f t="shared" si="37"/>
        <v/>
      </c>
      <c r="R40" s="18" t="str">
        <f t="shared" si="37"/>
        <v/>
      </c>
      <c r="S40" s="18" t="str">
        <f t="shared" si="37"/>
        <v/>
      </c>
    </row>
    <row r="41" spans="4:19" x14ac:dyDescent="0.35">
      <c r="D41" s="9"/>
      <c r="E41" s="9"/>
      <c r="F41" s="11"/>
      <c r="G41" s="9"/>
      <c r="H41" s="9"/>
      <c r="I41" s="18"/>
      <c r="J41" s="18" t="str">
        <f t="shared" ref="J41:S41" si="38">IF(I41="","",I41)</f>
        <v/>
      </c>
      <c r="K41" s="18" t="str">
        <f t="shared" si="38"/>
        <v/>
      </c>
      <c r="L41" s="18" t="str">
        <f t="shared" si="38"/>
        <v/>
      </c>
      <c r="M41" s="18" t="str">
        <f t="shared" si="38"/>
        <v/>
      </c>
      <c r="N41" s="18" t="str">
        <f t="shared" si="38"/>
        <v/>
      </c>
      <c r="O41" s="18" t="str">
        <f t="shared" si="38"/>
        <v/>
      </c>
      <c r="P41" s="18" t="str">
        <f t="shared" si="38"/>
        <v/>
      </c>
      <c r="Q41" s="18" t="str">
        <f t="shared" si="38"/>
        <v/>
      </c>
      <c r="R41" s="18" t="str">
        <f t="shared" si="38"/>
        <v/>
      </c>
      <c r="S41" s="18" t="str">
        <f t="shared" si="38"/>
        <v/>
      </c>
    </row>
    <row r="42" spans="4:19" x14ac:dyDescent="0.35">
      <c r="D42" s="9"/>
      <c r="E42" s="9"/>
      <c r="F42" s="11"/>
      <c r="G42" s="9"/>
      <c r="H42" s="9"/>
      <c r="I42" s="18"/>
      <c r="J42" s="18" t="str">
        <f t="shared" ref="J42:S42" si="39">IF(I42="","",I42)</f>
        <v/>
      </c>
      <c r="K42" s="18" t="str">
        <f t="shared" si="39"/>
        <v/>
      </c>
      <c r="L42" s="18" t="str">
        <f t="shared" si="39"/>
        <v/>
      </c>
      <c r="M42" s="18" t="str">
        <f t="shared" si="39"/>
        <v/>
      </c>
      <c r="N42" s="18" t="str">
        <f t="shared" si="39"/>
        <v/>
      </c>
      <c r="O42" s="18" t="str">
        <f t="shared" si="39"/>
        <v/>
      </c>
      <c r="P42" s="18" t="str">
        <f t="shared" si="39"/>
        <v/>
      </c>
      <c r="Q42" s="18" t="str">
        <f t="shared" si="39"/>
        <v/>
      </c>
      <c r="R42" s="18" t="str">
        <f t="shared" si="39"/>
        <v/>
      </c>
      <c r="S42" s="18" t="str">
        <f t="shared" si="39"/>
        <v/>
      </c>
    </row>
    <row r="43" spans="4:19" x14ac:dyDescent="0.35">
      <c r="D43" s="9"/>
      <c r="E43" s="9"/>
      <c r="F43" s="11"/>
      <c r="G43" s="9"/>
      <c r="H43" s="9"/>
      <c r="I43" s="18"/>
      <c r="J43" s="18" t="str">
        <f t="shared" ref="J43:S43" si="40">IF(I43="","",I43)</f>
        <v/>
      </c>
      <c r="K43" s="18" t="str">
        <f t="shared" si="40"/>
        <v/>
      </c>
      <c r="L43" s="18" t="str">
        <f t="shared" si="40"/>
        <v/>
      </c>
      <c r="M43" s="18" t="str">
        <f t="shared" si="40"/>
        <v/>
      </c>
      <c r="N43" s="18" t="str">
        <f t="shared" si="40"/>
        <v/>
      </c>
      <c r="O43" s="18" t="str">
        <f t="shared" si="40"/>
        <v/>
      </c>
      <c r="P43" s="18" t="str">
        <f t="shared" si="40"/>
        <v/>
      </c>
      <c r="Q43" s="18" t="str">
        <f t="shared" si="40"/>
        <v/>
      </c>
      <c r="R43" s="18" t="str">
        <f t="shared" si="40"/>
        <v/>
      </c>
      <c r="S43" s="18" t="str">
        <f t="shared" si="40"/>
        <v/>
      </c>
    </row>
    <row r="44" spans="4:19" x14ac:dyDescent="0.35">
      <c r="D44" s="9"/>
      <c r="E44" s="9"/>
      <c r="F44" s="11"/>
      <c r="G44" s="9"/>
      <c r="H44" s="9"/>
      <c r="I44" s="18"/>
      <c r="J44" s="18" t="str">
        <f t="shared" ref="J44:S44" si="41">IF(I44="","",I44)</f>
        <v/>
      </c>
      <c r="K44" s="18" t="str">
        <f t="shared" si="41"/>
        <v/>
      </c>
      <c r="L44" s="18" t="str">
        <f t="shared" si="41"/>
        <v/>
      </c>
      <c r="M44" s="18" t="str">
        <f t="shared" si="41"/>
        <v/>
      </c>
      <c r="N44" s="18" t="str">
        <f t="shared" si="41"/>
        <v/>
      </c>
      <c r="O44" s="18" t="str">
        <f t="shared" si="41"/>
        <v/>
      </c>
      <c r="P44" s="18" t="str">
        <f t="shared" si="41"/>
        <v/>
      </c>
      <c r="Q44" s="18" t="str">
        <f t="shared" si="41"/>
        <v/>
      </c>
      <c r="R44" s="18" t="str">
        <f t="shared" si="41"/>
        <v/>
      </c>
      <c r="S44" s="18" t="str">
        <f t="shared" si="41"/>
        <v/>
      </c>
    </row>
    <row r="45" spans="4:19" x14ac:dyDescent="0.35">
      <c r="D45" s="9"/>
      <c r="E45" s="9"/>
      <c r="F45" s="11"/>
      <c r="G45" s="9"/>
      <c r="H45" s="9"/>
      <c r="I45" s="18"/>
      <c r="J45" s="18" t="str">
        <f t="shared" ref="J45:S45" si="42">IF(I45="","",I45)</f>
        <v/>
      </c>
      <c r="K45" s="18" t="str">
        <f t="shared" si="42"/>
        <v/>
      </c>
      <c r="L45" s="18" t="str">
        <f t="shared" si="42"/>
        <v/>
      </c>
      <c r="M45" s="18" t="str">
        <f t="shared" si="42"/>
        <v/>
      </c>
      <c r="N45" s="18" t="str">
        <f t="shared" si="42"/>
        <v/>
      </c>
      <c r="O45" s="18" t="str">
        <f t="shared" si="42"/>
        <v/>
      </c>
      <c r="P45" s="18" t="str">
        <f t="shared" si="42"/>
        <v/>
      </c>
      <c r="Q45" s="18" t="str">
        <f t="shared" si="42"/>
        <v/>
      </c>
      <c r="R45" s="18" t="str">
        <f t="shared" si="42"/>
        <v/>
      </c>
      <c r="S45" s="18" t="str">
        <f t="shared" si="42"/>
        <v/>
      </c>
    </row>
    <row r="46" spans="4:19" x14ac:dyDescent="0.35">
      <c r="D46" s="9"/>
      <c r="E46" s="9"/>
      <c r="F46" s="11"/>
      <c r="G46" s="9"/>
      <c r="H46" s="9"/>
      <c r="I46" s="18"/>
      <c r="J46" s="18" t="str">
        <f t="shared" ref="J46:S46" si="43">IF(I46="","",I46)</f>
        <v/>
      </c>
      <c r="K46" s="18" t="str">
        <f t="shared" si="43"/>
        <v/>
      </c>
      <c r="L46" s="18" t="str">
        <f t="shared" si="43"/>
        <v/>
      </c>
      <c r="M46" s="18" t="str">
        <f t="shared" si="43"/>
        <v/>
      </c>
      <c r="N46" s="18" t="str">
        <f t="shared" si="43"/>
        <v/>
      </c>
      <c r="O46" s="18" t="str">
        <f t="shared" si="43"/>
        <v/>
      </c>
      <c r="P46" s="18" t="str">
        <f t="shared" si="43"/>
        <v/>
      </c>
      <c r="Q46" s="18" t="str">
        <f t="shared" si="43"/>
        <v/>
      </c>
      <c r="R46" s="18" t="str">
        <f t="shared" si="43"/>
        <v/>
      </c>
      <c r="S46" s="18" t="str">
        <f t="shared" si="43"/>
        <v/>
      </c>
    </row>
    <row r="47" spans="4:19" x14ac:dyDescent="0.35">
      <c r="D47" s="9"/>
      <c r="E47" s="9"/>
      <c r="F47" s="11"/>
      <c r="G47" s="9"/>
      <c r="H47" s="9"/>
      <c r="I47" s="18"/>
      <c r="J47" s="18" t="str">
        <f t="shared" ref="J47:S47" si="44">IF(I47="","",I47)</f>
        <v/>
      </c>
      <c r="K47" s="18" t="str">
        <f t="shared" si="44"/>
        <v/>
      </c>
      <c r="L47" s="18" t="str">
        <f t="shared" si="44"/>
        <v/>
      </c>
      <c r="M47" s="18" t="str">
        <f t="shared" si="44"/>
        <v/>
      </c>
      <c r="N47" s="18" t="str">
        <f t="shared" si="44"/>
        <v/>
      </c>
      <c r="O47" s="18" t="str">
        <f t="shared" si="44"/>
        <v/>
      </c>
      <c r="P47" s="18" t="str">
        <f t="shared" si="44"/>
        <v/>
      </c>
      <c r="Q47" s="18" t="str">
        <f t="shared" si="44"/>
        <v/>
      </c>
      <c r="R47" s="18" t="str">
        <f t="shared" si="44"/>
        <v/>
      </c>
      <c r="S47" s="18" t="str">
        <f t="shared" si="44"/>
        <v/>
      </c>
    </row>
    <row r="48" spans="4:19" x14ac:dyDescent="0.35">
      <c r="D48" s="9"/>
      <c r="E48" s="9"/>
      <c r="F48" s="11"/>
      <c r="G48" s="9"/>
      <c r="H48" s="9"/>
      <c r="I48" s="18"/>
      <c r="J48" s="18" t="str">
        <f t="shared" ref="J48:S48" si="45">IF(I48="","",I48)</f>
        <v/>
      </c>
      <c r="K48" s="18" t="str">
        <f t="shared" si="45"/>
        <v/>
      </c>
      <c r="L48" s="18" t="str">
        <f t="shared" si="45"/>
        <v/>
      </c>
      <c r="M48" s="18" t="str">
        <f t="shared" si="45"/>
        <v/>
      </c>
      <c r="N48" s="18" t="str">
        <f t="shared" si="45"/>
        <v/>
      </c>
      <c r="O48" s="18" t="str">
        <f t="shared" si="45"/>
        <v/>
      </c>
      <c r="P48" s="18" t="str">
        <f t="shared" si="45"/>
        <v/>
      </c>
      <c r="Q48" s="18" t="str">
        <f t="shared" si="45"/>
        <v/>
      </c>
      <c r="R48" s="18" t="str">
        <f t="shared" si="45"/>
        <v/>
      </c>
      <c r="S48" s="18" t="str">
        <f t="shared" si="45"/>
        <v/>
      </c>
    </row>
    <row r="49" spans="4:19" x14ac:dyDescent="0.35">
      <c r="D49" s="9"/>
      <c r="E49" s="9"/>
      <c r="F49" s="11"/>
      <c r="G49" s="9"/>
      <c r="H49" s="9"/>
      <c r="I49" s="18"/>
      <c r="J49" s="18" t="str">
        <f t="shared" ref="J49:S49" si="46">IF(I49="","",I49)</f>
        <v/>
      </c>
      <c r="K49" s="18" t="str">
        <f t="shared" si="46"/>
        <v/>
      </c>
      <c r="L49" s="18" t="str">
        <f t="shared" si="46"/>
        <v/>
      </c>
      <c r="M49" s="18" t="str">
        <f t="shared" si="46"/>
        <v/>
      </c>
      <c r="N49" s="18" t="str">
        <f t="shared" si="46"/>
        <v/>
      </c>
      <c r="O49" s="18" t="str">
        <f t="shared" si="46"/>
        <v/>
      </c>
      <c r="P49" s="18" t="str">
        <f t="shared" si="46"/>
        <v/>
      </c>
      <c r="Q49" s="18" t="str">
        <f t="shared" si="46"/>
        <v/>
      </c>
      <c r="R49" s="18" t="str">
        <f t="shared" si="46"/>
        <v/>
      </c>
      <c r="S49" s="18" t="str">
        <f t="shared" si="46"/>
        <v/>
      </c>
    </row>
    <row r="50" spans="4:19" ht="15" thickBot="1" x14ac:dyDescent="0.4">
      <c r="D50" s="10"/>
      <c r="E50" s="10"/>
      <c r="F50" s="12"/>
      <c r="G50" s="10"/>
      <c r="H50" s="10"/>
      <c r="I50" s="53"/>
      <c r="J50" s="53" t="str">
        <f t="shared" ref="J50:S50" si="47">IF(I50="","",I50)</f>
        <v/>
      </c>
      <c r="K50" s="53" t="str">
        <f t="shared" si="47"/>
        <v/>
      </c>
      <c r="L50" s="53" t="str">
        <f t="shared" si="47"/>
        <v/>
      </c>
      <c r="M50" s="53" t="str">
        <f t="shared" si="47"/>
        <v/>
      </c>
      <c r="N50" s="53" t="str">
        <f t="shared" si="47"/>
        <v/>
      </c>
      <c r="O50" s="53" t="str">
        <f t="shared" si="47"/>
        <v/>
      </c>
      <c r="P50" s="53" t="str">
        <f t="shared" si="47"/>
        <v/>
      </c>
      <c r="Q50" s="53" t="str">
        <f t="shared" si="47"/>
        <v/>
      </c>
      <c r="R50" s="53" t="str">
        <f t="shared" si="47"/>
        <v/>
      </c>
      <c r="S50" s="53" t="str">
        <f t="shared" si="47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51"/>
  <sheetViews>
    <sheetView zoomScaleNormal="100" workbookViewId="0">
      <selection activeCell="B3" sqref="B3"/>
    </sheetView>
  </sheetViews>
  <sheetFormatPr defaultColWidth="11.54296875" defaultRowHeight="14.5" x14ac:dyDescent="0.35"/>
  <cols>
    <col min="1" max="3" width="3.90625" style="5" customWidth="1"/>
    <col min="4" max="9" width="15.90625" style="5" customWidth="1"/>
    <col min="10" max="20" width="8.90625" style="5" customWidth="1"/>
    <col min="21" max="16384" width="11.54296875" style="5"/>
  </cols>
  <sheetData>
    <row r="1" spans="2:19" s="3" customFormat="1" ht="24.9" customHeight="1" x14ac:dyDescent="0.35">
      <c r="B1" s="2" t="s">
        <v>21</v>
      </c>
    </row>
    <row r="3" spans="2:19" ht="15" thickBot="1" x14ac:dyDescent="0.4">
      <c r="D3" s="38" t="str">
        <f>JESA_UploadTable(B1,D4:S50)</f>
        <v>mining_capex Saved! @08:24:20</v>
      </c>
    </row>
    <row r="4" spans="2:19" ht="30" customHeight="1" thickBot="1" x14ac:dyDescent="0.4">
      <c r="D4" s="6" t="s">
        <v>30</v>
      </c>
      <c r="E4" s="6" t="s">
        <v>49</v>
      </c>
      <c r="F4" s="54" t="s">
        <v>50</v>
      </c>
      <c r="G4" s="6" t="s">
        <v>12</v>
      </c>
      <c r="H4" s="4" t="s">
        <v>69</v>
      </c>
      <c r="I4" s="21" t="s">
        <v>149</v>
      </c>
      <c r="J4" s="21" t="s">
        <v>72</v>
      </c>
      <c r="K4" s="21" t="s">
        <v>73</v>
      </c>
      <c r="L4" s="21" t="s">
        <v>74</v>
      </c>
      <c r="M4" s="21" t="s">
        <v>75</v>
      </c>
      <c r="N4" s="21" t="s">
        <v>76</v>
      </c>
      <c r="O4" s="21" t="s">
        <v>77</v>
      </c>
      <c r="P4" s="21" t="s">
        <v>78</v>
      </c>
      <c r="Q4" s="21" t="s">
        <v>79</v>
      </c>
      <c r="R4" s="21" t="s">
        <v>80</v>
      </c>
      <c r="S4" s="21" t="s">
        <v>81</v>
      </c>
    </row>
    <row r="5" spans="2:19" x14ac:dyDescent="0.35">
      <c r="D5" s="8" t="s">
        <v>3</v>
      </c>
      <c r="E5" s="8" t="s">
        <v>151</v>
      </c>
      <c r="F5" s="13">
        <v>3.6363636363636362</v>
      </c>
      <c r="G5" s="8" t="s">
        <v>22</v>
      </c>
      <c r="H5" s="8" t="s">
        <v>82</v>
      </c>
      <c r="I5" s="47">
        <v>0</v>
      </c>
      <c r="J5" s="26"/>
      <c r="K5" s="26"/>
      <c r="L5" s="44">
        <v>0.2</v>
      </c>
      <c r="M5" s="44">
        <v>0.1</v>
      </c>
      <c r="N5" s="44">
        <v>0.1</v>
      </c>
      <c r="O5" s="44">
        <v>0.6</v>
      </c>
      <c r="P5" s="26"/>
      <c r="Q5" s="26"/>
      <c r="R5" s="26"/>
      <c r="S5" s="26"/>
    </row>
    <row r="6" spans="2:19" x14ac:dyDescent="0.35">
      <c r="D6" s="9" t="s">
        <v>3</v>
      </c>
      <c r="E6" s="9" t="s">
        <v>151</v>
      </c>
      <c r="F6" s="11">
        <v>4.545454545454545</v>
      </c>
      <c r="G6" s="9" t="s">
        <v>22</v>
      </c>
      <c r="H6" s="9" t="s">
        <v>82</v>
      </c>
      <c r="I6" s="51">
        <v>0</v>
      </c>
      <c r="J6" s="27"/>
      <c r="K6" s="27"/>
      <c r="L6" s="41">
        <v>0.2</v>
      </c>
      <c r="M6" s="41">
        <v>0.1</v>
      </c>
      <c r="N6" s="41">
        <v>0.1</v>
      </c>
      <c r="O6" s="41">
        <v>0.6</v>
      </c>
      <c r="P6" s="27"/>
      <c r="Q6" s="27"/>
      <c r="R6" s="27"/>
      <c r="S6" s="27"/>
    </row>
    <row r="7" spans="2:19" x14ac:dyDescent="0.35">
      <c r="D7" s="9" t="s">
        <v>3</v>
      </c>
      <c r="E7" s="9" t="s">
        <v>151</v>
      </c>
      <c r="F7" s="11">
        <v>5.4545454545454541</v>
      </c>
      <c r="G7" s="9" t="s">
        <v>22</v>
      </c>
      <c r="H7" s="9" t="s">
        <v>82</v>
      </c>
      <c r="I7" s="55">
        <v>1000</v>
      </c>
      <c r="J7" s="27"/>
      <c r="K7" s="27"/>
      <c r="L7" s="41">
        <v>0.2</v>
      </c>
      <c r="M7" s="41">
        <v>0.1</v>
      </c>
      <c r="N7" s="41">
        <v>0.1</v>
      </c>
      <c r="O7" s="41">
        <v>0.6</v>
      </c>
      <c r="P7" s="27"/>
      <c r="Q7" s="27"/>
      <c r="R7" s="27"/>
      <c r="S7" s="27"/>
    </row>
    <row r="8" spans="2:19" x14ac:dyDescent="0.35">
      <c r="D8" s="9" t="s">
        <v>3</v>
      </c>
      <c r="E8" s="9" t="s">
        <v>151</v>
      </c>
      <c r="F8" s="11">
        <v>6.9090909090909083</v>
      </c>
      <c r="G8" s="9" t="s">
        <v>22</v>
      </c>
      <c r="H8" s="9" t="s">
        <v>82</v>
      </c>
      <c r="I8" s="55">
        <v>1070</v>
      </c>
      <c r="J8" s="27"/>
      <c r="K8" s="27"/>
      <c r="L8" s="41">
        <v>0.2</v>
      </c>
      <c r="M8" s="41">
        <v>0.1</v>
      </c>
      <c r="N8" s="41">
        <v>0.1</v>
      </c>
      <c r="O8" s="41">
        <v>0.6</v>
      </c>
      <c r="P8" s="27"/>
      <c r="Q8" s="27"/>
      <c r="R8" s="27"/>
      <c r="S8" s="27"/>
    </row>
    <row r="9" spans="2:19" x14ac:dyDescent="0.35">
      <c r="D9" s="9" t="s">
        <v>3</v>
      </c>
      <c r="E9" s="9" t="s">
        <v>151</v>
      </c>
      <c r="F9" s="11">
        <v>8</v>
      </c>
      <c r="G9" s="9" t="s">
        <v>22</v>
      </c>
      <c r="H9" s="9" t="s">
        <v>82</v>
      </c>
      <c r="I9" s="55">
        <v>1150</v>
      </c>
      <c r="J9" s="27"/>
      <c r="K9" s="27"/>
      <c r="L9" s="41">
        <v>0.2</v>
      </c>
      <c r="M9" s="41">
        <v>0.1</v>
      </c>
      <c r="N9" s="41">
        <v>0.1</v>
      </c>
      <c r="O9" s="41">
        <v>0.6</v>
      </c>
      <c r="P9" s="27"/>
      <c r="Q9" s="27"/>
      <c r="R9" s="27"/>
      <c r="S9" s="27"/>
    </row>
    <row r="10" spans="2:19" x14ac:dyDescent="0.35">
      <c r="D10" s="9" t="s">
        <v>2</v>
      </c>
      <c r="E10" s="9" t="s">
        <v>151</v>
      </c>
      <c r="F10" s="11">
        <v>3.2727272727272725</v>
      </c>
      <c r="G10" s="9" t="s">
        <v>22</v>
      </c>
      <c r="H10" s="9" t="s">
        <v>82</v>
      </c>
      <c r="I10" s="51">
        <v>0</v>
      </c>
      <c r="J10" s="27"/>
      <c r="K10" s="27"/>
      <c r="L10" s="41">
        <v>0.2</v>
      </c>
      <c r="M10" s="41">
        <v>0.1</v>
      </c>
      <c r="N10" s="41">
        <v>0.1</v>
      </c>
      <c r="O10" s="41">
        <v>0.6</v>
      </c>
      <c r="P10" s="27"/>
      <c r="Q10" s="27"/>
      <c r="R10" s="27"/>
      <c r="S10" s="27"/>
    </row>
    <row r="11" spans="2:19" x14ac:dyDescent="0.35">
      <c r="D11" s="9" t="s">
        <v>2</v>
      </c>
      <c r="E11" s="9" t="s">
        <v>151</v>
      </c>
      <c r="F11" s="11">
        <v>5.8333333333333339</v>
      </c>
      <c r="G11" s="9" t="s">
        <v>22</v>
      </c>
      <c r="H11" s="9" t="s">
        <v>82</v>
      </c>
      <c r="I11" s="55">
        <v>1000</v>
      </c>
      <c r="J11" s="27"/>
      <c r="K11" s="27"/>
      <c r="L11" s="41">
        <v>0.2</v>
      </c>
      <c r="M11" s="41">
        <v>0.1</v>
      </c>
      <c r="N11" s="41">
        <v>0.1</v>
      </c>
      <c r="O11" s="41">
        <v>0.6</v>
      </c>
      <c r="P11" s="27"/>
      <c r="Q11" s="27"/>
      <c r="R11" s="27"/>
      <c r="S11" s="27"/>
    </row>
    <row r="12" spans="2:19" x14ac:dyDescent="0.35">
      <c r="D12" s="9" t="s">
        <v>9</v>
      </c>
      <c r="E12" s="9" t="s">
        <v>151</v>
      </c>
      <c r="F12" s="11">
        <v>4.615384615384615</v>
      </c>
      <c r="G12" s="9" t="s">
        <v>22</v>
      </c>
      <c r="H12" s="9" t="s">
        <v>82</v>
      </c>
      <c r="I12" s="55">
        <v>0</v>
      </c>
      <c r="J12" s="27"/>
      <c r="K12" s="27"/>
      <c r="L12" s="41">
        <v>0.2</v>
      </c>
      <c r="M12" s="41">
        <v>0.1</v>
      </c>
      <c r="N12" s="41">
        <v>0.1</v>
      </c>
      <c r="O12" s="41">
        <v>0.6</v>
      </c>
      <c r="P12" s="27"/>
      <c r="Q12" s="27"/>
      <c r="R12" s="27"/>
      <c r="S12" s="27"/>
    </row>
    <row r="13" spans="2:19" x14ac:dyDescent="0.35">
      <c r="D13" s="9" t="s">
        <v>9</v>
      </c>
      <c r="E13" s="9" t="s">
        <v>151</v>
      </c>
      <c r="F13" s="11">
        <v>6.1538461538461533</v>
      </c>
      <c r="G13" s="9" t="s">
        <v>22</v>
      </c>
      <c r="H13" s="9" t="s">
        <v>82</v>
      </c>
      <c r="I13" s="55">
        <v>500</v>
      </c>
      <c r="J13" s="27"/>
      <c r="K13" s="27"/>
      <c r="L13" s="41">
        <v>0.2</v>
      </c>
      <c r="M13" s="41">
        <v>0.1</v>
      </c>
      <c r="N13" s="41">
        <v>0.1</v>
      </c>
      <c r="O13" s="41">
        <v>0.6</v>
      </c>
      <c r="P13" s="27"/>
      <c r="Q13" s="27"/>
      <c r="R13" s="27"/>
      <c r="S13" s="27"/>
    </row>
    <row r="14" spans="2:19" x14ac:dyDescent="0.35">
      <c r="D14" s="9" t="s">
        <v>9</v>
      </c>
      <c r="E14" s="9" t="s">
        <v>151</v>
      </c>
      <c r="F14" s="11">
        <v>7.6923076923076916</v>
      </c>
      <c r="G14" s="9" t="s">
        <v>22</v>
      </c>
      <c r="H14" s="9" t="s">
        <v>82</v>
      </c>
      <c r="I14" s="55">
        <v>1500</v>
      </c>
      <c r="J14" s="27"/>
      <c r="K14" s="27"/>
      <c r="L14" s="41">
        <v>0.2</v>
      </c>
      <c r="M14" s="41">
        <v>0.1</v>
      </c>
      <c r="N14" s="41">
        <v>0.1</v>
      </c>
      <c r="O14" s="41">
        <v>0.6</v>
      </c>
      <c r="P14" s="27"/>
      <c r="Q14" s="27"/>
      <c r="R14" s="27"/>
      <c r="S14" s="27"/>
    </row>
    <row r="15" spans="2:19" x14ac:dyDescent="0.35">
      <c r="D15" s="9" t="s">
        <v>9</v>
      </c>
      <c r="E15" s="9" t="s">
        <v>151</v>
      </c>
      <c r="F15" s="11">
        <v>9.2307692307692299</v>
      </c>
      <c r="G15" s="9" t="s">
        <v>22</v>
      </c>
      <c r="H15" s="9" t="s">
        <v>82</v>
      </c>
      <c r="I15" s="55">
        <v>2100</v>
      </c>
      <c r="J15" s="27"/>
      <c r="K15" s="27"/>
      <c r="L15" s="41">
        <v>0.2</v>
      </c>
      <c r="M15" s="41">
        <v>0.1</v>
      </c>
      <c r="N15" s="41">
        <v>0.1</v>
      </c>
      <c r="O15" s="41">
        <v>0.6</v>
      </c>
      <c r="P15" s="27"/>
      <c r="Q15" s="27"/>
      <c r="R15" s="27"/>
      <c r="S15" s="27"/>
    </row>
    <row r="16" spans="2:19" x14ac:dyDescent="0.35">
      <c r="D16" s="9" t="s">
        <v>9</v>
      </c>
      <c r="E16" s="9" t="s">
        <v>151</v>
      </c>
      <c r="F16" s="11">
        <v>10.769230769230768</v>
      </c>
      <c r="G16" s="9" t="s">
        <v>22</v>
      </c>
      <c r="H16" s="9" t="s">
        <v>82</v>
      </c>
      <c r="I16" s="55">
        <v>2500</v>
      </c>
      <c r="J16" s="27"/>
      <c r="K16" s="27"/>
      <c r="L16" s="41">
        <v>0.2</v>
      </c>
      <c r="M16" s="41">
        <v>0.1</v>
      </c>
      <c r="N16" s="41">
        <v>0.1</v>
      </c>
      <c r="O16" s="41">
        <v>0.6</v>
      </c>
      <c r="P16" s="27"/>
      <c r="Q16" s="27"/>
      <c r="R16" s="27"/>
      <c r="S16" s="27"/>
    </row>
    <row r="17" spans="4:19" x14ac:dyDescent="0.35">
      <c r="D17" s="9" t="s">
        <v>9</v>
      </c>
      <c r="E17" s="9" t="s">
        <v>151</v>
      </c>
      <c r="F17" s="11">
        <v>12.307692307692307</v>
      </c>
      <c r="G17" s="9" t="s">
        <v>22</v>
      </c>
      <c r="H17" s="9" t="s">
        <v>82</v>
      </c>
      <c r="I17" s="55">
        <v>2800</v>
      </c>
      <c r="J17" s="27"/>
      <c r="K17" s="27"/>
      <c r="L17" s="41">
        <v>0.2</v>
      </c>
      <c r="M17" s="41">
        <v>0.1</v>
      </c>
      <c r="N17" s="41">
        <v>0.1</v>
      </c>
      <c r="O17" s="41">
        <v>0.6</v>
      </c>
      <c r="P17" s="27"/>
      <c r="Q17" s="27"/>
      <c r="R17" s="27"/>
      <c r="S17" s="27"/>
    </row>
    <row r="18" spans="4:19" x14ac:dyDescent="0.35">
      <c r="D18" s="9" t="s">
        <v>9</v>
      </c>
      <c r="E18" s="9" t="s">
        <v>151</v>
      </c>
      <c r="F18" s="11">
        <v>13.846153846153845</v>
      </c>
      <c r="G18" s="9" t="s">
        <v>22</v>
      </c>
      <c r="H18" s="9" t="s">
        <v>82</v>
      </c>
      <c r="I18" s="55">
        <v>3000</v>
      </c>
      <c r="J18" s="27"/>
      <c r="K18" s="27"/>
      <c r="L18" s="41">
        <v>0.2</v>
      </c>
      <c r="M18" s="41">
        <v>0.1</v>
      </c>
      <c r="N18" s="41">
        <v>0.1</v>
      </c>
      <c r="O18" s="41">
        <v>0.6</v>
      </c>
      <c r="P18" s="27"/>
      <c r="Q18" s="27"/>
      <c r="R18" s="27"/>
      <c r="S18" s="27"/>
    </row>
    <row r="19" spans="4:19" x14ac:dyDescent="0.35">
      <c r="D19" s="9" t="s">
        <v>6</v>
      </c>
      <c r="E19" s="9" t="s">
        <v>151</v>
      </c>
      <c r="F19" s="11">
        <v>4.615384615384615</v>
      </c>
      <c r="G19" s="9" t="s">
        <v>22</v>
      </c>
      <c r="H19" s="9" t="s">
        <v>82</v>
      </c>
      <c r="I19" s="55">
        <v>2100</v>
      </c>
      <c r="J19" s="27"/>
      <c r="K19" s="27"/>
      <c r="L19" s="41">
        <v>0.2</v>
      </c>
      <c r="M19" s="41">
        <v>0.1</v>
      </c>
      <c r="N19" s="41">
        <v>0.1</v>
      </c>
      <c r="O19" s="41">
        <v>0.6</v>
      </c>
      <c r="P19" s="27"/>
      <c r="Q19" s="27"/>
      <c r="R19" s="27"/>
      <c r="S19" s="27"/>
    </row>
    <row r="20" spans="4:19" x14ac:dyDescent="0.35">
      <c r="D20" s="9" t="s">
        <v>6</v>
      </c>
      <c r="E20" s="9" t="s">
        <v>151</v>
      </c>
      <c r="F20" s="11">
        <v>6.1538461538461533</v>
      </c>
      <c r="G20" s="9" t="s">
        <v>22</v>
      </c>
      <c r="H20" s="9" t="s">
        <v>82</v>
      </c>
      <c r="I20" s="55">
        <v>2500</v>
      </c>
      <c r="J20" s="27"/>
      <c r="K20" s="27"/>
      <c r="L20" s="41">
        <v>0.2</v>
      </c>
      <c r="M20" s="41">
        <v>0.1</v>
      </c>
      <c r="N20" s="41">
        <v>0.1</v>
      </c>
      <c r="O20" s="41">
        <v>0.6</v>
      </c>
      <c r="P20" s="27"/>
      <c r="Q20" s="27"/>
      <c r="R20" s="27"/>
      <c r="S20" s="27"/>
    </row>
    <row r="21" spans="4:19" x14ac:dyDescent="0.35">
      <c r="D21" s="9" t="s">
        <v>6</v>
      </c>
      <c r="E21" s="9" t="s">
        <v>151</v>
      </c>
      <c r="F21" s="11">
        <v>7.6923076923076916</v>
      </c>
      <c r="G21" s="9" t="s">
        <v>22</v>
      </c>
      <c r="H21" s="9" t="s">
        <v>82</v>
      </c>
      <c r="I21" s="55">
        <v>2800</v>
      </c>
      <c r="J21" s="27"/>
      <c r="K21" s="27"/>
      <c r="L21" s="41">
        <v>0.2</v>
      </c>
      <c r="M21" s="41">
        <v>0.1</v>
      </c>
      <c r="N21" s="41">
        <v>0.1</v>
      </c>
      <c r="O21" s="41">
        <v>0.6</v>
      </c>
      <c r="P21" s="27"/>
      <c r="Q21" s="27"/>
      <c r="R21" s="27"/>
      <c r="S21" s="27"/>
    </row>
    <row r="22" spans="4:19" x14ac:dyDescent="0.35">
      <c r="D22" s="9" t="s">
        <v>6</v>
      </c>
      <c r="E22" s="9" t="s">
        <v>151</v>
      </c>
      <c r="F22" s="11">
        <v>8.4615384615384617</v>
      </c>
      <c r="G22" s="9" t="s">
        <v>22</v>
      </c>
      <c r="H22" s="9" t="s">
        <v>82</v>
      </c>
      <c r="I22" s="55">
        <v>3000</v>
      </c>
      <c r="J22" s="27"/>
      <c r="K22" s="27"/>
      <c r="L22" s="41">
        <v>0.2</v>
      </c>
      <c r="M22" s="41">
        <v>0.1</v>
      </c>
      <c r="N22" s="41">
        <v>0.1</v>
      </c>
      <c r="O22" s="41">
        <v>0.6</v>
      </c>
      <c r="P22" s="27"/>
      <c r="Q22" s="27"/>
      <c r="R22" s="27"/>
      <c r="S22" s="27"/>
    </row>
    <row r="23" spans="4:19" x14ac:dyDescent="0.35">
      <c r="D23" s="9" t="s">
        <v>10</v>
      </c>
      <c r="E23" s="9" t="s">
        <v>151</v>
      </c>
      <c r="F23" s="11">
        <v>4.615384615384615</v>
      </c>
      <c r="G23" s="9" t="s">
        <v>22</v>
      </c>
      <c r="H23" s="9" t="s">
        <v>82</v>
      </c>
      <c r="I23" s="55">
        <v>2100</v>
      </c>
      <c r="J23" s="27"/>
      <c r="K23" s="27"/>
      <c r="L23" s="41">
        <v>0.2</v>
      </c>
      <c r="M23" s="41">
        <v>0.1</v>
      </c>
      <c r="N23" s="41">
        <v>0.1</v>
      </c>
      <c r="O23" s="41">
        <v>0.6</v>
      </c>
      <c r="P23" s="27"/>
      <c r="Q23" s="27"/>
      <c r="R23" s="27"/>
      <c r="S23" s="27"/>
    </row>
    <row r="24" spans="4:19" x14ac:dyDescent="0.35">
      <c r="D24" s="9" t="s">
        <v>10</v>
      </c>
      <c r="E24" s="9" t="s">
        <v>151</v>
      </c>
      <c r="F24" s="11">
        <v>6.1538461538461533</v>
      </c>
      <c r="G24" s="9" t="s">
        <v>22</v>
      </c>
      <c r="H24" s="9" t="s">
        <v>82</v>
      </c>
      <c r="I24" s="55">
        <v>2500</v>
      </c>
      <c r="J24" s="27"/>
      <c r="K24" s="27"/>
      <c r="L24" s="41">
        <v>0.2</v>
      </c>
      <c r="M24" s="41">
        <v>0.1</v>
      </c>
      <c r="N24" s="41">
        <v>0.1</v>
      </c>
      <c r="O24" s="41">
        <v>0.6</v>
      </c>
      <c r="P24" s="27"/>
      <c r="Q24" s="27"/>
      <c r="R24" s="27"/>
      <c r="S24" s="27"/>
    </row>
    <row r="25" spans="4:19" x14ac:dyDescent="0.35">
      <c r="D25" s="9" t="s">
        <v>10</v>
      </c>
      <c r="E25" s="9" t="s">
        <v>151</v>
      </c>
      <c r="F25" s="11">
        <v>7.6923076923076916</v>
      </c>
      <c r="G25" s="9" t="s">
        <v>22</v>
      </c>
      <c r="H25" s="9" t="s">
        <v>82</v>
      </c>
      <c r="I25" s="55">
        <v>2800</v>
      </c>
      <c r="J25" s="27"/>
      <c r="K25" s="27"/>
      <c r="L25" s="41">
        <v>0.2</v>
      </c>
      <c r="M25" s="41">
        <v>0.1</v>
      </c>
      <c r="N25" s="41">
        <v>0.1</v>
      </c>
      <c r="O25" s="41">
        <v>0.6</v>
      </c>
      <c r="P25" s="27"/>
      <c r="Q25" s="27"/>
      <c r="R25" s="27"/>
      <c r="S25" s="27"/>
    </row>
    <row r="26" spans="4:19" x14ac:dyDescent="0.35">
      <c r="D26" s="9" t="s">
        <v>10</v>
      </c>
      <c r="E26" s="9" t="s">
        <v>151</v>
      </c>
      <c r="F26" s="11">
        <v>8.4615384615384617</v>
      </c>
      <c r="G26" s="9" t="s">
        <v>22</v>
      </c>
      <c r="H26" s="9" t="s">
        <v>82</v>
      </c>
      <c r="I26" s="55">
        <v>3000</v>
      </c>
      <c r="J26" s="27"/>
      <c r="K26" s="27"/>
      <c r="L26" s="41">
        <v>0.2</v>
      </c>
      <c r="M26" s="41">
        <v>0.1</v>
      </c>
      <c r="N26" s="41">
        <v>0.1</v>
      </c>
      <c r="O26" s="41">
        <v>0.6</v>
      </c>
      <c r="P26" s="27"/>
      <c r="Q26" s="27"/>
      <c r="R26" s="27"/>
      <c r="S26" s="27"/>
    </row>
    <row r="27" spans="4:19" x14ac:dyDescent="0.35">
      <c r="D27" s="9" t="s">
        <v>4</v>
      </c>
      <c r="E27" s="9" t="s">
        <v>151</v>
      </c>
      <c r="F27" s="11">
        <v>4.615384615384615</v>
      </c>
      <c r="G27" s="9" t="s">
        <v>22</v>
      </c>
      <c r="H27" s="9" t="s">
        <v>82</v>
      </c>
      <c r="I27" s="55">
        <v>2100</v>
      </c>
      <c r="J27" s="27"/>
      <c r="K27" s="27"/>
      <c r="L27" s="41">
        <v>0.2</v>
      </c>
      <c r="M27" s="41">
        <v>0.1</v>
      </c>
      <c r="N27" s="41">
        <v>0.1</v>
      </c>
      <c r="O27" s="41">
        <v>0.6</v>
      </c>
      <c r="P27" s="27"/>
      <c r="Q27" s="27"/>
      <c r="R27" s="27"/>
      <c r="S27" s="27"/>
    </row>
    <row r="28" spans="4:19" x14ac:dyDescent="0.35">
      <c r="D28" s="9" t="s">
        <v>4</v>
      </c>
      <c r="E28" s="9" t="s">
        <v>151</v>
      </c>
      <c r="F28" s="11">
        <v>6.1538461538461533</v>
      </c>
      <c r="G28" s="9" t="s">
        <v>22</v>
      </c>
      <c r="H28" s="9" t="s">
        <v>82</v>
      </c>
      <c r="I28" s="55">
        <v>2500</v>
      </c>
      <c r="J28" s="27"/>
      <c r="K28" s="27"/>
      <c r="L28" s="41">
        <v>0.2</v>
      </c>
      <c r="M28" s="41">
        <v>0.1</v>
      </c>
      <c r="N28" s="41">
        <v>0.1</v>
      </c>
      <c r="O28" s="41">
        <v>0.6</v>
      </c>
      <c r="P28" s="27"/>
      <c r="Q28" s="27"/>
      <c r="R28" s="27"/>
      <c r="S28" s="27"/>
    </row>
    <row r="29" spans="4:19" x14ac:dyDescent="0.35">
      <c r="D29" s="9" t="s">
        <v>4</v>
      </c>
      <c r="E29" s="9" t="s">
        <v>151</v>
      </c>
      <c r="F29" s="11">
        <v>7.6923076923076916</v>
      </c>
      <c r="G29" s="9" t="s">
        <v>22</v>
      </c>
      <c r="H29" s="9" t="s">
        <v>82</v>
      </c>
      <c r="I29" s="55">
        <v>2800</v>
      </c>
      <c r="J29" s="27"/>
      <c r="K29" s="27"/>
      <c r="L29" s="41">
        <v>0.2</v>
      </c>
      <c r="M29" s="41">
        <v>0.1</v>
      </c>
      <c r="N29" s="41">
        <v>0.1</v>
      </c>
      <c r="O29" s="41">
        <v>0.6</v>
      </c>
      <c r="P29" s="27"/>
      <c r="Q29" s="27"/>
      <c r="R29" s="27"/>
      <c r="S29" s="27"/>
    </row>
    <row r="30" spans="4:19" x14ac:dyDescent="0.35">
      <c r="D30" s="9" t="s">
        <v>4</v>
      </c>
      <c r="E30" s="9" t="s">
        <v>151</v>
      </c>
      <c r="F30" s="11">
        <v>9.2307692307692299</v>
      </c>
      <c r="G30" s="9" t="s">
        <v>22</v>
      </c>
      <c r="H30" s="9" t="s">
        <v>82</v>
      </c>
      <c r="I30" s="55">
        <v>3000</v>
      </c>
      <c r="J30" s="27"/>
      <c r="K30" s="27"/>
      <c r="L30" s="41">
        <v>0.2</v>
      </c>
      <c r="M30" s="41">
        <v>0.1</v>
      </c>
      <c r="N30" s="41">
        <v>0.1</v>
      </c>
      <c r="O30" s="41">
        <v>0.6</v>
      </c>
      <c r="P30" s="27"/>
      <c r="Q30" s="27"/>
      <c r="R30" s="27"/>
      <c r="S30" s="27"/>
    </row>
    <row r="31" spans="4:19" x14ac:dyDescent="0.35">
      <c r="D31" s="9" t="s">
        <v>4</v>
      </c>
      <c r="E31" s="9" t="s">
        <v>151</v>
      </c>
      <c r="F31" s="11">
        <v>10.769230769230768</v>
      </c>
      <c r="G31" s="9" t="s">
        <v>22</v>
      </c>
      <c r="H31" s="9" t="s">
        <v>82</v>
      </c>
      <c r="I31" s="55">
        <v>3100</v>
      </c>
      <c r="J31" s="27"/>
      <c r="K31" s="27"/>
      <c r="L31" s="41">
        <v>0.2</v>
      </c>
      <c r="M31" s="41">
        <v>0.1</v>
      </c>
      <c r="N31" s="41">
        <v>0.1</v>
      </c>
      <c r="O31" s="41">
        <v>0.6</v>
      </c>
      <c r="P31" s="27"/>
      <c r="Q31" s="27"/>
      <c r="R31" s="27"/>
      <c r="S31" s="27"/>
    </row>
    <row r="32" spans="4:19" x14ac:dyDescent="0.35">
      <c r="D32" s="9" t="s">
        <v>4</v>
      </c>
      <c r="E32" s="9" t="s">
        <v>151</v>
      </c>
      <c r="F32" s="11">
        <v>12.307692307692307</v>
      </c>
      <c r="G32" s="9" t="s">
        <v>22</v>
      </c>
      <c r="H32" s="9" t="s">
        <v>82</v>
      </c>
      <c r="I32" s="55">
        <v>4000</v>
      </c>
      <c r="J32" s="27"/>
      <c r="K32" s="27"/>
      <c r="L32" s="41">
        <v>0.2</v>
      </c>
      <c r="M32" s="41">
        <v>0.1</v>
      </c>
      <c r="N32" s="41">
        <v>0.1</v>
      </c>
      <c r="O32" s="41">
        <v>0.6</v>
      </c>
      <c r="P32" s="27"/>
      <c r="Q32" s="27"/>
      <c r="R32" s="27"/>
      <c r="S32" s="27"/>
    </row>
    <row r="33" spans="4:19" x14ac:dyDescent="0.35">
      <c r="D33" s="9" t="s">
        <v>4</v>
      </c>
      <c r="E33" s="9" t="s">
        <v>151</v>
      </c>
      <c r="F33" s="11">
        <v>13.846153846153845</v>
      </c>
      <c r="G33" s="9" t="s">
        <v>22</v>
      </c>
      <c r="H33" s="9" t="s">
        <v>82</v>
      </c>
      <c r="I33" s="55">
        <v>4100</v>
      </c>
      <c r="J33" s="27"/>
      <c r="K33" s="27"/>
      <c r="L33" s="41">
        <v>0.2</v>
      </c>
      <c r="M33" s="41">
        <v>0.1</v>
      </c>
      <c r="N33" s="41">
        <v>0.1</v>
      </c>
      <c r="O33" s="41">
        <v>0.6</v>
      </c>
      <c r="P33" s="27"/>
      <c r="Q33" s="27"/>
      <c r="R33" s="27"/>
      <c r="S33" s="27"/>
    </row>
    <row r="34" spans="4:19" x14ac:dyDescent="0.35">
      <c r="D34" s="9"/>
      <c r="E34" s="9"/>
      <c r="F34" s="11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11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11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11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11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11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11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11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11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11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11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11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11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51" t="e">
        <v>#N/A</v>
      </c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51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51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52"/>
      <c r="G50" s="10"/>
      <c r="H50" s="10"/>
      <c r="I50" s="56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4:19" x14ac:dyDescent="0.35">
      <c r="D51" s="5" t="e">
        <v>#N/A</v>
      </c>
      <c r="E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3">
    <dataValidation type="list" allowBlank="1" showInputMessage="1" showErrorMessage="1" sqref="H5:H50">
      <formula1>Currency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G5:G50</xm:sqref>
        </x14:dataValidation>
        <x14:dataValidation type="list" allowBlank="1" showInputMessage="1" showErrorMessage="1">
          <x14:formula1>
            <xm:f>'MINING options'!$G$5:$G$46</xm:f>
          </x14:formula1>
          <xm:sqref>F5:F46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H8" sqref="H8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6384" width="11.54296875" style="1"/>
  </cols>
  <sheetData>
    <row r="1" spans="2:10" s="131" customFormat="1" ht="25" customHeight="1" x14ac:dyDescent="0.35">
      <c r="B1" s="130" t="s">
        <v>339</v>
      </c>
    </row>
    <row r="3" spans="2:10" ht="15" thickBot="1" x14ac:dyDescent="0.4">
      <c r="D3" s="38" t="str">
        <f>JESA_UploadTable(D4,D4:D40)</f>
        <v>beneficiation.name Saved! @08:24:14</v>
      </c>
      <c r="E3" s="38"/>
      <c r="F3" s="38" t="str">
        <f>JESA_UploadTable(F4,F4:F40)</f>
        <v>beneficiation.process Saved! @08:24:14</v>
      </c>
      <c r="G3" s="38"/>
      <c r="H3" s="38" t="str">
        <f>JESA_UploadTable(H4,H4:H40)</f>
        <v>beneficiation.quality Saved! @08:24:14</v>
      </c>
      <c r="I3" s="38"/>
      <c r="J3" s="38" t="str">
        <f>JESA_UploadTable(J4,J4:J40)</f>
        <v>beneficiation.capex Saved! @08:24:14</v>
      </c>
    </row>
    <row r="4" spans="2:10" ht="30" customHeight="1" thickBot="1" x14ac:dyDescent="0.4">
      <c r="D4" s="132" t="s">
        <v>340</v>
      </c>
      <c r="E4" s="31"/>
      <c r="F4" s="132" t="s">
        <v>341</v>
      </c>
      <c r="G4" s="31"/>
      <c r="H4" s="132" t="s">
        <v>342</v>
      </c>
      <c r="I4" s="31"/>
      <c r="J4" s="132" t="s">
        <v>343</v>
      </c>
    </row>
    <row r="5" spans="2:10" x14ac:dyDescent="0.35">
      <c r="D5" s="97" t="s">
        <v>351</v>
      </c>
      <c r="F5" s="97" t="s">
        <v>352</v>
      </c>
      <c r="H5" s="97" t="s">
        <v>344</v>
      </c>
      <c r="J5" s="97" t="s">
        <v>22</v>
      </c>
    </row>
    <row r="6" spans="2:10" x14ac:dyDescent="0.35">
      <c r="D6" s="98" t="s">
        <v>353</v>
      </c>
      <c r="F6" s="98" t="s">
        <v>354</v>
      </c>
      <c r="H6" s="98" t="s">
        <v>139</v>
      </c>
      <c r="J6" s="98"/>
    </row>
    <row r="7" spans="2:10" x14ac:dyDescent="0.35">
      <c r="D7" s="98" t="s">
        <v>355</v>
      </c>
      <c r="F7" s="98" t="s">
        <v>356</v>
      </c>
      <c r="H7" s="98" t="s">
        <v>357</v>
      </c>
      <c r="J7" s="98"/>
    </row>
    <row r="8" spans="2:10" x14ac:dyDescent="0.35">
      <c r="D8" s="98" t="s">
        <v>358</v>
      </c>
      <c r="F8" s="98" t="s">
        <v>359</v>
      </c>
      <c r="H8" s="98"/>
      <c r="J8" s="98"/>
    </row>
    <row r="9" spans="2:10" x14ac:dyDescent="0.35">
      <c r="D9" s="98" t="s">
        <v>360</v>
      </c>
      <c r="F9" s="98" t="s">
        <v>361</v>
      </c>
      <c r="H9" s="98"/>
      <c r="J9" s="98"/>
    </row>
    <row r="10" spans="2:10" x14ac:dyDescent="0.35">
      <c r="D10" s="98"/>
      <c r="F10" s="98" t="s">
        <v>362</v>
      </c>
      <c r="H10" s="98"/>
      <c r="J10" s="98"/>
    </row>
    <row r="11" spans="2:10" x14ac:dyDescent="0.35">
      <c r="D11" s="98"/>
      <c r="F11" s="98"/>
      <c r="H11" s="98"/>
      <c r="J11" s="98"/>
    </row>
    <row r="12" spans="2:10" x14ac:dyDescent="0.35">
      <c r="D12" s="98"/>
      <c r="F12" s="98"/>
      <c r="H12" s="98"/>
      <c r="J12" s="98"/>
    </row>
    <row r="13" spans="2:10" x14ac:dyDescent="0.35">
      <c r="D13" s="98"/>
      <c r="F13" s="98"/>
      <c r="H13" s="98"/>
      <c r="J13" s="98"/>
    </row>
    <row r="14" spans="2:10" x14ac:dyDescent="0.35">
      <c r="D14" s="98"/>
      <c r="F14" s="98"/>
      <c r="H14" s="98"/>
      <c r="J14" s="98"/>
    </row>
    <row r="15" spans="2:10" x14ac:dyDescent="0.35">
      <c r="D15" s="98"/>
      <c r="F15" s="98"/>
      <c r="H15" s="98"/>
      <c r="J15" s="98"/>
    </row>
    <row r="16" spans="2:10" x14ac:dyDescent="0.35">
      <c r="D16" s="98"/>
      <c r="F16" s="98"/>
      <c r="H16" s="98"/>
      <c r="J16" s="98"/>
    </row>
    <row r="17" spans="4:10" x14ac:dyDescent="0.35">
      <c r="D17" s="98"/>
      <c r="F17" s="98"/>
      <c r="H17" s="98"/>
      <c r="J17" s="98"/>
    </row>
    <row r="18" spans="4:10" x14ac:dyDescent="0.35">
      <c r="D18" s="98"/>
      <c r="F18" s="98"/>
      <c r="H18" s="98"/>
      <c r="J18" s="98"/>
    </row>
    <row r="19" spans="4:10" x14ac:dyDescent="0.35">
      <c r="D19" s="98"/>
      <c r="F19" s="98"/>
      <c r="H19" s="98"/>
      <c r="J19" s="98"/>
    </row>
    <row r="20" spans="4:10" x14ac:dyDescent="0.35">
      <c r="D20" s="98"/>
      <c r="F20" s="98"/>
      <c r="H20" s="98"/>
      <c r="J20" s="98"/>
    </row>
    <row r="21" spans="4:10" x14ac:dyDescent="0.35">
      <c r="D21" s="98"/>
      <c r="F21" s="98"/>
      <c r="H21" s="98"/>
      <c r="J21" s="98"/>
    </row>
    <row r="22" spans="4:10" x14ac:dyDescent="0.35">
      <c r="D22" s="98"/>
      <c r="F22" s="98"/>
      <c r="H22" s="98"/>
      <c r="J22" s="98"/>
    </row>
    <row r="23" spans="4:10" x14ac:dyDescent="0.35">
      <c r="D23" s="98"/>
      <c r="F23" s="98"/>
      <c r="H23" s="98"/>
      <c r="J23" s="98"/>
    </row>
    <row r="24" spans="4:10" x14ac:dyDescent="0.35">
      <c r="D24" s="98"/>
      <c r="F24" s="98"/>
      <c r="H24" s="98"/>
      <c r="J24" s="98"/>
    </row>
    <row r="25" spans="4:10" x14ac:dyDescent="0.35">
      <c r="D25" s="98"/>
      <c r="F25" s="98"/>
      <c r="H25" s="98"/>
      <c r="J25" s="98"/>
    </row>
    <row r="26" spans="4:10" x14ac:dyDescent="0.35">
      <c r="D26" s="98"/>
      <c r="F26" s="98"/>
      <c r="H26" s="98"/>
      <c r="J26" s="98"/>
    </row>
    <row r="27" spans="4:10" x14ac:dyDescent="0.35">
      <c r="D27" s="98"/>
      <c r="F27" s="98"/>
      <c r="H27" s="98"/>
      <c r="J27" s="98"/>
    </row>
    <row r="28" spans="4:10" x14ac:dyDescent="0.35">
      <c r="D28" s="98"/>
      <c r="F28" s="98"/>
      <c r="H28" s="98"/>
      <c r="J28" s="98"/>
    </row>
    <row r="29" spans="4:10" x14ac:dyDescent="0.35">
      <c r="D29" s="98"/>
      <c r="F29" s="98"/>
      <c r="H29" s="98"/>
      <c r="J29" s="98"/>
    </row>
    <row r="30" spans="4:10" x14ac:dyDescent="0.35">
      <c r="D30" s="98"/>
      <c r="F30" s="98"/>
      <c r="H30" s="98"/>
      <c r="J30" s="98"/>
    </row>
    <row r="31" spans="4:10" x14ac:dyDescent="0.35">
      <c r="D31" s="98"/>
      <c r="F31" s="98"/>
      <c r="H31" s="98"/>
      <c r="J31" s="98"/>
    </row>
    <row r="32" spans="4:10" x14ac:dyDescent="0.35">
      <c r="D32" s="98"/>
      <c r="F32" s="98"/>
      <c r="H32" s="98"/>
      <c r="J32" s="98"/>
    </row>
    <row r="33" spans="4:10" x14ac:dyDescent="0.35">
      <c r="D33" s="98"/>
      <c r="F33" s="98"/>
      <c r="H33" s="98"/>
      <c r="J33" s="98"/>
    </row>
    <row r="34" spans="4:10" x14ac:dyDescent="0.35">
      <c r="D34" s="98"/>
      <c r="F34" s="98"/>
      <c r="H34" s="98"/>
      <c r="J34" s="98"/>
    </row>
    <row r="35" spans="4:10" x14ac:dyDescent="0.35">
      <c r="D35" s="98"/>
      <c r="F35" s="98"/>
      <c r="H35" s="98"/>
      <c r="J35" s="98"/>
    </row>
    <row r="36" spans="4:10" x14ac:dyDescent="0.35">
      <c r="D36" s="98"/>
      <c r="F36" s="98"/>
      <c r="H36" s="98"/>
      <c r="J36" s="98"/>
    </row>
    <row r="37" spans="4:10" x14ac:dyDescent="0.35">
      <c r="D37" s="98"/>
      <c r="F37" s="98"/>
      <c r="H37" s="98"/>
      <c r="J37" s="98"/>
    </row>
    <row r="38" spans="4:10" x14ac:dyDescent="0.35">
      <c r="D38" s="98"/>
      <c r="F38" s="98"/>
      <c r="H38" s="98"/>
      <c r="J38" s="98"/>
    </row>
    <row r="39" spans="4:10" x14ac:dyDescent="0.35">
      <c r="D39" s="98"/>
      <c r="F39" s="98"/>
      <c r="H39" s="98"/>
      <c r="J39" s="98"/>
    </row>
    <row r="40" spans="4:10" ht="15" thickBot="1" x14ac:dyDescent="0.4">
      <c r="D40" s="99"/>
      <c r="F40" s="99"/>
      <c r="H40" s="99"/>
      <c r="J40" s="99"/>
    </row>
    <row r="41" spans="4:10" x14ac:dyDescent="0.35">
      <c r="D41" s="1" t="s">
        <v>94</v>
      </c>
      <c r="F41" s="1" t="s">
        <v>94</v>
      </c>
      <c r="H41" s="1" t="s">
        <v>94</v>
      </c>
      <c r="J41" s="1" t="s">
        <v>94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rgb="FF996633"/>
  </sheetPr>
  <dimension ref="B1:K60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4" width="15.81640625" style="5" customWidth="1"/>
    <col min="5" max="5" width="17.453125" style="5" bestFit="1" customWidth="1"/>
    <col min="6" max="6" width="20.81640625" style="5" customWidth="1"/>
    <col min="7" max="10" width="15.81640625" style="5" customWidth="1"/>
    <col min="11" max="11" width="67.54296875" style="5" bestFit="1" customWidth="1"/>
    <col min="12" max="16384" width="11.54296875" style="5"/>
  </cols>
  <sheetData>
    <row r="1" spans="2:11" s="131" customFormat="1" ht="25" customHeight="1" x14ac:dyDescent="0.35">
      <c r="B1" s="133" t="s">
        <v>345</v>
      </c>
      <c r="H1" s="134"/>
      <c r="I1" s="134"/>
      <c r="J1" s="134"/>
    </row>
    <row r="3" spans="2:11" ht="15" thickBot="1" x14ac:dyDescent="0.4">
      <c r="D3" s="38" t="str">
        <f>JESA_UploadTable(B1,D4:K10)</f>
        <v>beneficiation_options Saved! @08:24:12</v>
      </c>
    </row>
    <row r="4" spans="2:11" ht="30" customHeight="1" thickBot="1" x14ac:dyDescent="0.4">
      <c r="D4" s="135" t="s">
        <v>8</v>
      </c>
      <c r="E4" s="135" t="s">
        <v>30</v>
      </c>
      <c r="F4" s="136" t="s">
        <v>25</v>
      </c>
      <c r="G4" s="136" t="s">
        <v>334</v>
      </c>
      <c r="H4" s="137" t="s">
        <v>71</v>
      </c>
      <c r="I4" s="137" t="s">
        <v>147</v>
      </c>
      <c r="J4" s="137" t="s">
        <v>153</v>
      </c>
      <c r="K4" s="135" t="s">
        <v>154</v>
      </c>
    </row>
    <row r="5" spans="2:11" x14ac:dyDescent="0.35">
      <c r="D5" s="8" t="s">
        <v>92</v>
      </c>
      <c r="E5" s="8" t="s">
        <v>353</v>
      </c>
      <c r="F5" s="8" t="s">
        <v>356</v>
      </c>
      <c r="G5" s="8">
        <v>2.2000000000000002</v>
      </c>
      <c r="H5" s="13" t="s">
        <v>36</v>
      </c>
      <c r="I5" s="14">
        <v>2018</v>
      </c>
      <c r="J5" s="14">
        <v>2050</v>
      </c>
      <c r="K5" s="8" t="str">
        <f>IF(D5="","","/WP/"&amp;CONCATENATE(D5,"/",E5,"/",F5,"/",G5,"/",H5,"/",I5,"/",J5))</f>
        <v>/WP/Youssoufia/Youssoufia Benef/Youssoufia Calciné/2.2/Existing/2018/2050</v>
      </c>
    </row>
    <row r="6" spans="2:11" x14ac:dyDescent="0.35">
      <c r="D6" s="9" t="s">
        <v>92</v>
      </c>
      <c r="E6" s="9" t="s">
        <v>353</v>
      </c>
      <c r="F6" s="9" t="s">
        <v>359</v>
      </c>
      <c r="G6" s="9">
        <v>3.8</v>
      </c>
      <c r="H6" s="11" t="s">
        <v>36</v>
      </c>
      <c r="I6" s="15">
        <v>2018</v>
      </c>
      <c r="J6" s="15">
        <v>2050</v>
      </c>
      <c r="K6" s="9" t="str">
        <f t="shared" ref="K6:K60" si="0">IF(D6="","","/WP/"&amp;CONCATENATE(D6,"/",E6,"/",F6,"/",G6,"/",H6,"/",I6,"/",J6))</f>
        <v>/WP/Youssoufia/Youssoufia Benef/Youssoufia LF/3.8/Existing/2018/2050</v>
      </c>
    </row>
    <row r="7" spans="2:11" x14ac:dyDescent="0.35">
      <c r="D7" s="9" t="s">
        <v>92</v>
      </c>
      <c r="E7" s="9" t="s">
        <v>353</v>
      </c>
      <c r="F7" s="9" t="s">
        <v>361</v>
      </c>
      <c r="G7" s="9">
        <v>2.4</v>
      </c>
      <c r="H7" s="11" t="s">
        <v>36</v>
      </c>
      <c r="I7" s="15">
        <v>2018</v>
      </c>
      <c r="J7" s="15">
        <v>2050</v>
      </c>
      <c r="K7" s="9" t="str">
        <f t="shared" si="0"/>
        <v>/WP/Youssoufia/Youssoufia Benef/Youssoufia LF &amp; Séché/2.4/Existing/2018/2050</v>
      </c>
    </row>
    <row r="8" spans="2:11" x14ac:dyDescent="0.35">
      <c r="D8" s="9" t="s">
        <v>92</v>
      </c>
      <c r="E8" s="9" t="s">
        <v>353</v>
      </c>
      <c r="F8" s="9" t="s">
        <v>362</v>
      </c>
      <c r="G8" s="9">
        <v>1.4</v>
      </c>
      <c r="H8" s="11" t="s">
        <v>36</v>
      </c>
      <c r="I8" s="15">
        <v>2018</v>
      </c>
      <c r="J8" s="15">
        <v>2050</v>
      </c>
      <c r="K8" s="9" t="str">
        <f t="shared" si="0"/>
        <v>/WP/Youssoufia/Youssoufia Benef/Youssoufia LF &amp; Calciné/1.4/Existing/2018/2050</v>
      </c>
    </row>
    <row r="9" spans="2:11" x14ac:dyDescent="0.35">
      <c r="D9" s="9" t="s">
        <v>9</v>
      </c>
      <c r="E9" s="9" t="s">
        <v>351</v>
      </c>
      <c r="F9" s="9" t="s">
        <v>352</v>
      </c>
      <c r="G9" s="9">
        <v>3</v>
      </c>
      <c r="H9" s="11" t="s">
        <v>36</v>
      </c>
      <c r="I9" s="15">
        <v>2020</v>
      </c>
      <c r="J9" s="15">
        <v>2050</v>
      </c>
      <c r="K9" s="9" t="str">
        <f t="shared" si="0"/>
        <v>/WP/Benguerir/BG WP/LF/3/Existing/2020/2050</v>
      </c>
    </row>
    <row r="10" spans="2:11" x14ac:dyDescent="0.35">
      <c r="D10" s="9" t="s">
        <v>9</v>
      </c>
      <c r="E10" s="9" t="s">
        <v>351</v>
      </c>
      <c r="F10" s="9" t="s">
        <v>352</v>
      </c>
      <c r="G10" s="9">
        <v>6</v>
      </c>
      <c r="H10" s="11" t="s">
        <v>148</v>
      </c>
      <c r="I10" s="15">
        <v>2022</v>
      </c>
      <c r="J10" s="15">
        <v>2050</v>
      </c>
      <c r="K10" s="9" t="str">
        <f t="shared" si="0"/>
        <v>/WP/Benguerir/BG WP/LF/6/Extension/2022/2050</v>
      </c>
    </row>
    <row r="11" spans="2:11" x14ac:dyDescent="0.35">
      <c r="D11" s="9" t="s">
        <v>9</v>
      </c>
      <c r="E11" s="9" t="s">
        <v>351</v>
      </c>
      <c r="F11" s="9" t="s">
        <v>352</v>
      </c>
      <c r="G11" s="9">
        <v>9</v>
      </c>
      <c r="H11" s="11" t="s">
        <v>148</v>
      </c>
      <c r="I11" s="15">
        <v>2024</v>
      </c>
      <c r="J11" s="15">
        <v>2050</v>
      </c>
      <c r="K11" s="9" t="str">
        <f t="shared" si="0"/>
        <v>/WP/Benguerir/BG WP/LF/9/Extension/2024/2050</v>
      </c>
    </row>
    <row r="12" spans="2:11" x14ac:dyDescent="0.35">
      <c r="D12" s="9" t="s">
        <v>9</v>
      </c>
      <c r="E12" s="9" t="s">
        <v>351</v>
      </c>
      <c r="F12" s="9" t="s">
        <v>364</v>
      </c>
      <c r="G12" s="9">
        <v>3</v>
      </c>
      <c r="H12" s="11" t="s">
        <v>36</v>
      </c>
      <c r="I12" s="15">
        <v>2018</v>
      </c>
      <c r="J12" s="15">
        <v>2050</v>
      </c>
      <c r="K12" s="9" t="str">
        <f t="shared" si="0"/>
        <v>/WP/Benguerir/BG WP/LF + Séchage/3/Existing/2018/2050</v>
      </c>
    </row>
    <row r="13" spans="2:11" x14ac:dyDescent="0.35">
      <c r="D13" s="9" t="s">
        <v>9</v>
      </c>
      <c r="E13" s="9" t="s">
        <v>351</v>
      </c>
      <c r="F13" s="9" t="s">
        <v>365</v>
      </c>
      <c r="G13" s="9">
        <v>3</v>
      </c>
      <c r="H13" s="11" t="s">
        <v>36</v>
      </c>
      <c r="I13" s="15">
        <v>2018</v>
      </c>
      <c r="J13" s="15">
        <v>2050</v>
      </c>
      <c r="K13" s="9" t="str">
        <f t="shared" si="0"/>
        <v>/WP/Benguerir/BG WP/LF + Calcination/3/Existing/2018/2050</v>
      </c>
    </row>
    <row r="14" spans="2:11" x14ac:dyDescent="0.35">
      <c r="D14" s="9" t="s">
        <v>92</v>
      </c>
      <c r="E14" s="9" t="s">
        <v>366</v>
      </c>
      <c r="F14" s="9" t="s">
        <v>150</v>
      </c>
      <c r="G14" s="9">
        <v>3</v>
      </c>
      <c r="H14" s="11" t="s">
        <v>150</v>
      </c>
      <c r="I14" s="15">
        <v>0</v>
      </c>
      <c r="J14" s="15">
        <v>2100</v>
      </c>
      <c r="K14" s="9" t="str">
        <f t="shared" si="0"/>
        <v>/WP/Youssoufia/Youssoufia New WP/New/3/New/0/2100</v>
      </c>
    </row>
    <row r="15" spans="2:11" x14ac:dyDescent="0.35">
      <c r="D15" s="9" t="s">
        <v>92</v>
      </c>
      <c r="E15" s="9" t="s">
        <v>366</v>
      </c>
      <c r="F15" s="9" t="s">
        <v>352</v>
      </c>
      <c r="G15" s="9">
        <v>3</v>
      </c>
      <c r="H15" s="11" t="s">
        <v>150</v>
      </c>
      <c r="I15" s="15">
        <v>0</v>
      </c>
      <c r="J15" s="15">
        <v>2100</v>
      </c>
      <c r="K15" s="9" t="str">
        <f t="shared" si="0"/>
        <v>/WP/Youssoufia/Youssoufia New WP/LF/3/New/0/2100</v>
      </c>
    </row>
    <row r="16" spans="2:11" x14ac:dyDescent="0.35">
      <c r="D16" s="9" t="s">
        <v>6</v>
      </c>
      <c r="E16" s="9" t="s">
        <v>360</v>
      </c>
      <c r="F16" s="9" t="s">
        <v>352</v>
      </c>
      <c r="G16" s="9">
        <v>3</v>
      </c>
      <c r="H16" s="11" t="s">
        <v>150</v>
      </c>
      <c r="I16" s="15">
        <v>0</v>
      </c>
      <c r="J16" s="15">
        <v>2100</v>
      </c>
      <c r="K16" s="9" t="str">
        <f t="shared" si="0"/>
        <v>/WP/Louta/Louta WP/LF/3/New/0/2100</v>
      </c>
    </row>
    <row r="17" spans="4:11" x14ac:dyDescent="0.35">
      <c r="D17" s="9" t="s">
        <v>6</v>
      </c>
      <c r="E17" s="9" t="s">
        <v>360</v>
      </c>
      <c r="F17" s="9" t="s">
        <v>352</v>
      </c>
      <c r="G17" s="9">
        <v>4</v>
      </c>
      <c r="H17" s="11" t="s">
        <v>150</v>
      </c>
      <c r="I17" s="15">
        <v>0</v>
      </c>
      <c r="J17" s="15">
        <v>2100</v>
      </c>
      <c r="K17" s="9" t="str">
        <f t="shared" si="0"/>
        <v>/WP/Louta/Louta WP/LF/4/New/0/2100</v>
      </c>
    </row>
    <row r="18" spans="4:11" x14ac:dyDescent="0.35">
      <c r="D18" s="9" t="s">
        <v>6</v>
      </c>
      <c r="E18" s="9" t="s">
        <v>360</v>
      </c>
      <c r="F18" s="9" t="s">
        <v>352</v>
      </c>
      <c r="G18" s="9">
        <v>5</v>
      </c>
      <c r="H18" s="11" t="s">
        <v>150</v>
      </c>
      <c r="I18" s="15">
        <v>0</v>
      </c>
      <c r="J18" s="15">
        <v>2100</v>
      </c>
      <c r="K18" s="9" t="str">
        <f t="shared" si="0"/>
        <v>/WP/Louta/Louta WP/LF/5/New/0/2100</v>
      </c>
    </row>
    <row r="19" spans="4:11" x14ac:dyDescent="0.35">
      <c r="D19" s="9" t="s">
        <v>6</v>
      </c>
      <c r="E19" s="9" t="s">
        <v>360</v>
      </c>
      <c r="F19" s="9" t="s">
        <v>352</v>
      </c>
      <c r="G19" s="9">
        <v>6</v>
      </c>
      <c r="H19" s="11" t="s">
        <v>150</v>
      </c>
      <c r="I19" s="15">
        <v>0</v>
      </c>
      <c r="J19" s="15">
        <v>2100</v>
      </c>
      <c r="K19" s="9" t="str">
        <f t="shared" si="0"/>
        <v>/WP/Louta/Louta WP/LF/6/New/0/2100</v>
      </c>
    </row>
    <row r="20" spans="4:11" x14ac:dyDescent="0.35">
      <c r="D20" s="9" t="s">
        <v>6</v>
      </c>
      <c r="E20" s="9" t="s">
        <v>360</v>
      </c>
      <c r="F20" s="9" t="s">
        <v>150</v>
      </c>
      <c r="G20" s="9">
        <v>3</v>
      </c>
      <c r="H20" s="11" t="s">
        <v>150</v>
      </c>
      <c r="I20" s="15">
        <v>0</v>
      </c>
      <c r="J20" s="15">
        <v>2100</v>
      </c>
      <c r="K20" s="9" t="str">
        <f t="shared" si="0"/>
        <v>/WP/Louta/Louta WP/New/3/New/0/2100</v>
      </c>
    </row>
    <row r="21" spans="4:11" x14ac:dyDescent="0.35">
      <c r="D21" s="9" t="s">
        <v>6</v>
      </c>
      <c r="E21" s="9" t="s">
        <v>360</v>
      </c>
      <c r="F21" s="9" t="s">
        <v>150</v>
      </c>
      <c r="G21" s="9">
        <v>4</v>
      </c>
      <c r="H21" s="11" t="s">
        <v>150</v>
      </c>
      <c r="I21" s="15">
        <v>0</v>
      </c>
      <c r="J21" s="15">
        <v>2100</v>
      </c>
      <c r="K21" s="9" t="str">
        <f t="shared" si="0"/>
        <v>/WP/Louta/Louta WP/New/4/New/0/2100</v>
      </c>
    </row>
    <row r="22" spans="4:11" x14ac:dyDescent="0.35">
      <c r="D22" s="9" t="s">
        <v>6</v>
      </c>
      <c r="E22" s="9" t="s">
        <v>360</v>
      </c>
      <c r="F22" s="9" t="s">
        <v>150</v>
      </c>
      <c r="G22" s="9">
        <v>5</v>
      </c>
      <c r="H22" s="11" t="s">
        <v>150</v>
      </c>
      <c r="I22" s="15">
        <v>0</v>
      </c>
      <c r="J22" s="15">
        <v>2100</v>
      </c>
      <c r="K22" s="9" t="str">
        <f t="shared" si="0"/>
        <v>/WP/Louta/Louta WP/New/5/New/0/2100</v>
      </c>
    </row>
    <row r="23" spans="4:11" x14ac:dyDescent="0.35">
      <c r="D23" s="9" t="s">
        <v>6</v>
      </c>
      <c r="E23" s="9" t="s">
        <v>360</v>
      </c>
      <c r="F23" s="9" t="s">
        <v>150</v>
      </c>
      <c r="G23" s="9">
        <v>6</v>
      </c>
      <c r="H23" s="11" t="s">
        <v>150</v>
      </c>
      <c r="I23" s="15">
        <v>0</v>
      </c>
      <c r="J23" s="15">
        <v>2100</v>
      </c>
      <c r="K23" s="9" t="str">
        <f t="shared" si="0"/>
        <v>/WP/Louta/Louta WP/New/6/New/0/2100</v>
      </c>
    </row>
    <row r="24" spans="4:11" x14ac:dyDescent="0.35">
      <c r="D24" s="9" t="s">
        <v>10</v>
      </c>
      <c r="E24" s="9" t="s">
        <v>355</v>
      </c>
      <c r="F24" s="9" t="s">
        <v>352</v>
      </c>
      <c r="G24" s="9">
        <v>3</v>
      </c>
      <c r="H24" s="11" t="s">
        <v>150</v>
      </c>
      <c r="I24" s="15">
        <v>0</v>
      </c>
      <c r="J24" s="15">
        <v>2100</v>
      </c>
      <c r="K24" s="9" t="str">
        <f t="shared" si="0"/>
        <v>/WP/Nzalat/Nzalat WP/LF/3/New/0/2100</v>
      </c>
    </row>
    <row r="25" spans="4:11" x14ac:dyDescent="0.35">
      <c r="D25" s="9" t="s">
        <v>10</v>
      </c>
      <c r="E25" s="9" t="s">
        <v>355</v>
      </c>
      <c r="F25" s="9" t="s">
        <v>352</v>
      </c>
      <c r="G25" s="9">
        <v>4</v>
      </c>
      <c r="H25" s="11" t="s">
        <v>150</v>
      </c>
      <c r="I25" s="15">
        <v>0</v>
      </c>
      <c r="J25" s="15">
        <v>2100</v>
      </c>
      <c r="K25" s="9" t="str">
        <f t="shared" si="0"/>
        <v>/WP/Nzalat/Nzalat WP/LF/4/New/0/2100</v>
      </c>
    </row>
    <row r="26" spans="4:11" x14ac:dyDescent="0.35">
      <c r="D26" s="9" t="s">
        <v>10</v>
      </c>
      <c r="E26" s="9" t="s">
        <v>355</v>
      </c>
      <c r="F26" s="9" t="s">
        <v>352</v>
      </c>
      <c r="G26" s="9">
        <v>5</v>
      </c>
      <c r="H26" s="11" t="s">
        <v>150</v>
      </c>
      <c r="I26" s="15">
        <v>0</v>
      </c>
      <c r="J26" s="15">
        <v>2100</v>
      </c>
      <c r="K26" s="9" t="str">
        <f t="shared" si="0"/>
        <v>/WP/Nzalat/Nzalat WP/LF/5/New/0/2100</v>
      </c>
    </row>
    <row r="27" spans="4:11" x14ac:dyDescent="0.35">
      <c r="D27" s="9" t="s">
        <v>10</v>
      </c>
      <c r="E27" s="9" t="s">
        <v>355</v>
      </c>
      <c r="F27" s="9" t="s">
        <v>352</v>
      </c>
      <c r="G27" s="9">
        <v>6</v>
      </c>
      <c r="H27" s="11" t="s">
        <v>150</v>
      </c>
      <c r="I27" s="15">
        <v>0</v>
      </c>
      <c r="J27" s="15">
        <v>2100</v>
      </c>
      <c r="K27" s="9" t="str">
        <f t="shared" si="0"/>
        <v>/WP/Nzalat/Nzalat WP/LF/6/New/0/2100</v>
      </c>
    </row>
    <row r="28" spans="4:11" x14ac:dyDescent="0.35">
      <c r="D28" s="9" t="s">
        <v>10</v>
      </c>
      <c r="E28" s="9" t="s">
        <v>355</v>
      </c>
      <c r="F28" s="9" t="s">
        <v>352</v>
      </c>
      <c r="G28" s="9">
        <v>7</v>
      </c>
      <c r="H28" s="11" t="s">
        <v>150</v>
      </c>
      <c r="I28" s="15">
        <v>0</v>
      </c>
      <c r="J28" s="15">
        <v>2100</v>
      </c>
      <c r="K28" s="9" t="str">
        <f t="shared" si="0"/>
        <v>/WP/Nzalat/Nzalat WP/LF/7/New/0/2100</v>
      </c>
    </row>
    <row r="29" spans="4:11" x14ac:dyDescent="0.35">
      <c r="D29" s="9" t="s">
        <v>10</v>
      </c>
      <c r="E29" s="9" t="s">
        <v>355</v>
      </c>
      <c r="F29" s="9" t="s">
        <v>352</v>
      </c>
      <c r="G29" s="9">
        <v>8</v>
      </c>
      <c r="H29" s="11" t="s">
        <v>150</v>
      </c>
      <c r="I29" s="15">
        <v>0</v>
      </c>
      <c r="J29" s="15">
        <v>2100</v>
      </c>
      <c r="K29" s="9" t="str">
        <f t="shared" si="0"/>
        <v>/WP/Nzalat/Nzalat WP/LF/8/New/0/2100</v>
      </c>
    </row>
    <row r="30" spans="4:11" x14ac:dyDescent="0.35">
      <c r="D30" s="9" t="s">
        <v>10</v>
      </c>
      <c r="E30" s="9" t="s">
        <v>355</v>
      </c>
      <c r="F30" s="9" t="s">
        <v>352</v>
      </c>
      <c r="G30" s="9">
        <v>9</v>
      </c>
      <c r="H30" s="11" t="s">
        <v>150</v>
      </c>
      <c r="I30" s="15">
        <v>0</v>
      </c>
      <c r="J30" s="15">
        <v>2100</v>
      </c>
      <c r="K30" s="9" t="str">
        <f t="shared" si="0"/>
        <v>/WP/Nzalat/Nzalat WP/LF/9/New/0/2100</v>
      </c>
    </row>
    <row r="31" spans="4:11" x14ac:dyDescent="0.35">
      <c r="D31" s="9" t="s">
        <v>10</v>
      </c>
      <c r="E31" s="9" t="s">
        <v>355</v>
      </c>
      <c r="F31" s="9" t="s">
        <v>352</v>
      </c>
      <c r="G31" s="9">
        <v>10</v>
      </c>
      <c r="H31" s="11" t="s">
        <v>150</v>
      </c>
      <c r="I31" s="15">
        <v>0</v>
      </c>
      <c r="J31" s="15">
        <v>2100</v>
      </c>
      <c r="K31" s="9" t="str">
        <f t="shared" si="0"/>
        <v>/WP/Nzalat/Nzalat WP/LF/10/New/0/2100</v>
      </c>
    </row>
    <row r="32" spans="4:11" x14ac:dyDescent="0.35">
      <c r="D32" s="9" t="s">
        <v>10</v>
      </c>
      <c r="E32" s="9" t="s">
        <v>355</v>
      </c>
      <c r="F32" s="9" t="s">
        <v>352</v>
      </c>
      <c r="G32" s="9">
        <v>11</v>
      </c>
      <c r="H32" s="11" t="s">
        <v>150</v>
      </c>
      <c r="I32" s="15">
        <v>0</v>
      </c>
      <c r="J32" s="15">
        <v>2100</v>
      </c>
      <c r="K32" s="9" t="str">
        <f t="shared" si="0"/>
        <v>/WP/Nzalat/Nzalat WP/LF/11/New/0/2100</v>
      </c>
    </row>
    <row r="33" spans="4:11" x14ac:dyDescent="0.35">
      <c r="D33" s="9" t="s">
        <v>10</v>
      </c>
      <c r="E33" s="9" t="s">
        <v>355</v>
      </c>
      <c r="F33" s="9" t="s">
        <v>352</v>
      </c>
      <c r="G33" s="9">
        <v>12</v>
      </c>
      <c r="H33" s="11" t="s">
        <v>150</v>
      </c>
      <c r="I33" s="15">
        <v>0</v>
      </c>
      <c r="J33" s="15">
        <v>2100</v>
      </c>
      <c r="K33" s="9" t="str">
        <f t="shared" si="0"/>
        <v>/WP/Nzalat/Nzalat WP/LF/12/New/0/2100</v>
      </c>
    </row>
    <row r="34" spans="4:11" x14ac:dyDescent="0.35">
      <c r="D34" s="9" t="s">
        <v>10</v>
      </c>
      <c r="E34" s="9" t="s">
        <v>355</v>
      </c>
      <c r="F34" s="9" t="s">
        <v>150</v>
      </c>
      <c r="G34" s="9">
        <v>3</v>
      </c>
      <c r="H34" s="11" t="s">
        <v>150</v>
      </c>
      <c r="I34" s="15">
        <v>0</v>
      </c>
      <c r="J34" s="15">
        <v>2100</v>
      </c>
      <c r="K34" s="9" t="str">
        <f t="shared" si="0"/>
        <v>/WP/Nzalat/Nzalat WP/New/3/New/0/2100</v>
      </c>
    </row>
    <row r="35" spans="4:11" x14ac:dyDescent="0.35">
      <c r="D35" s="9" t="s">
        <v>10</v>
      </c>
      <c r="E35" s="9" t="s">
        <v>355</v>
      </c>
      <c r="F35" s="9" t="s">
        <v>150</v>
      </c>
      <c r="G35" s="9">
        <v>4</v>
      </c>
      <c r="H35" s="11" t="s">
        <v>150</v>
      </c>
      <c r="I35" s="15">
        <v>0</v>
      </c>
      <c r="J35" s="15">
        <v>2100</v>
      </c>
      <c r="K35" s="9" t="str">
        <f t="shared" si="0"/>
        <v>/WP/Nzalat/Nzalat WP/New/4/New/0/2100</v>
      </c>
    </row>
    <row r="36" spans="4:11" x14ac:dyDescent="0.35">
      <c r="D36" s="9" t="s">
        <v>10</v>
      </c>
      <c r="E36" s="9" t="s">
        <v>355</v>
      </c>
      <c r="F36" s="9" t="s">
        <v>150</v>
      </c>
      <c r="G36" s="9">
        <v>5</v>
      </c>
      <c r="H36" s="11" t="s">
        <v>150</v>
      </c>
      <c r="I36" s="15">
        <v>0</v>
      </c>
      <c r="J36" s="15">
        <v>2100</v>
      </c>
      <c r="K36" s="9" t="str">
        <f t="shared" si="0"/>
        <v>/WP/Nzalat/Nzalat WP/New/5/New/0/2100</v>
      </c>
    </row>
    <row r="37" spans="4:11" x14ac:dyDescent="0.35">
      <c r="D37" s="9" t="s">
        <v>10</v>
      </c>
      <c r="E37" s="9" t="s">
        <v>355</v>
      </c>
      <c r="F37" s="9" t="s">
        <v>150</v>
      </c>
      <c r="G37" s="9">
        <v>6</v>
      </c>
      <c r="H37" s="11" t="s">
        <v>150</v>
      </c>
      <c r="I37" s="15">
        <v>0</v>
      </c>
      <c r="J37" s="15">
        <v>2100</v>
      </c>
      <c r="K37" s="9" t="str">
        <f t="shared" si="0"/>
        <v>/WP/Nzalat/Nzalat WP/New/6/New/0/2100</v>
      </c>
    </row>
    <row r="38" spans="4:11" x14ac:dyDescent="0.35">
      <c r="D38" s="9" t="s">
        <v>10</v>
      </c>
      <c r="E38" s="9" t="s">
        <v>355</v>
      </c>
      <c r="F38" s="9" t="s">
        <v>150</v>
      </c>
      <c r="G38" s="9">
        <v>7</v>
      </c>
      <c r="H38" s="11" t="s">
        <v>150</v>
      </c>
      <c r="I38" s="15">
        <v>0</v>
      </c>
      <c r="J38" s="15">
        <v>2100</v>
      </c>
      <c r="K38" s="9" t="str">
        <f t="shared" si="0"/>
        <v>/WP/Nzalat/Nzalat WP/New/7/New/0/2100</v>
      </c>
    </row>
    <row r="39" spans="4:11" x14ac:dyDescent="0.35">
      <c r="D39" s="9" t="s">
        <v>10</v>
      </c>
      <c r="E39" s="9" t="s">
        <v>355</v>
      </c>
      <c r="F39" s="9" t="s">
        <v>150</v>
      </c>
      <c r="G39" s="9">
        <v>8</v>
      </c>
      <c r="H39" s="11" t="s">
        <v>150</v>
      </c>
      <c r="I39" s="15">
        <v>0</v>
      </c>
      <c r="J39" s="15">
        <v>2100</v>
      </c>
      <c r="K39" s="9" t="str">
        <f t="shared" si="0"/>
        <v>/WP/Nzalat/Nzalat WP/New/8/New/0/2100</v>
      </c>
    </row>
    <row r="40" spans="4:11" x14ac:dyDescent="0.35">
      <c r="D40" s="9" t="s">
        <v>10</v>
      </c>
      <c r="E40" s="9" t="s">
        <v>355</v>
      </c>
      <c r="F40" s="9" t="s">
        <v>150</v>
      </c>
      <c r="G40" s="9">
        <v>9</v>
      </c>
      <c r="H40" s="11" t="s">
        <v>150</v>
      </c>
      <c r="I40" s="15">
        <v>0</v>
      </c>
      <c r="J40" s="15">
        <v>2100</v>
      </c>
      <c r="K40" s="9" t="str">
        <f t="shared" si="0"/>
        <v>/WP/Nzalat/Nzalat WP/New/9/New/0/2100</v>
      </c>
    </row>
    <row r="41" spans="4:11" x14ac:dyDescent="0.35">
      <c r="D41" s="9" t="s">
        <v>10</v>
      </c>
      <c r="E41" s="9" t="s">
        <v>355</v>
      </c>
      <c r="F41" s="9" t="s">
        <v>150</v>
      </c>
      <c r="G41" s="9">
        <v>10</v>
      </c>
      <c r="H41" s="11" t="s">
        <v>150</v>
      </c>
      <c r="I41" s="15">
        <v>0</v>
      </c>
      <c r="J41" s="15">
        <v>2100</v>
      </c>
      <c r="K41" s="9" t="str">
        <f t="shared" si="0"/>
        <v>/WP/Nzalat/Nzalat WP/New/10/New/0/2100</v>
      </c>
    </row>
    <row r="42" spans="4:11" x14ac:dyDescent="0.35">
      <c r="D42" s="9" t="s">
        <v>10</v>
      </c>
      <c r="E42" s="9" t="s">
        <v>355</v>
      </c>
      <c r="F42" s="9" t="s">
        <v>150</v>
      </c>
      <c r="G42" s="9">
        <v>11</v>
      </c>
      <c r="H42" s="11" t="s">
        <v>150</v>
      </c>
      <c r="I42" s="15">
        <v>0</v>
      </c>
      <c r="J42" s="15">
        <v>2100</v>
      </c>
      <c r="K42" s="9" t="str">
        <f t="shared" si="0"/>
        <v>/WP/Nzalat/Nzalat WP/New/11/New/0/2100</v>
      </c>
    </row>
    <row r="43" spans="4:11" x14ac:dyDescent="0.35">
      <c r="D43" s="9" t="s">
        <v>10</v>
      </c>
      <c r="E43" s="9" t="s">
        <v>355</v>
      </c>
      <c r="F43" s="9" t="s">
        <v>150</v>
      </c>
      <c r="G43" s="9">
        <v>12</v>
      </c>
      <c r="H43" s="11" t="s">
        <v>150</v>
      </c>
      <c r="I43" s="15">
        <v>0</v>
      </c>
      <c r="J43" s="15">
        <v>2100</v>
      </c>
      <c r="K43" s="9" t="str">
        <f t="shared" si="0"/>
        <v>/WP/Nzalat/Nzalat WP/New/12/New/0/2100</v>
      </c>
    </row>
    <row r="44" spans="4:11" x14ac:dyDescent="0.35">
      <c r="D44" s="9" t="s">
        <v>4</v>
      </c>
      <c r="E44" s="9" t="s">
        <v>358</v>
      </c>
      <c r="F44" s="9" t="s">
        <v>352</v>
      </c>
      <c r="G44" s="9">
        <v>3</v>
      </c>
      <c r="H44" s="11" t="s">
        <v>150</v>
      </c>
      <c r="I44" s="15">
        <v>0</v>
      </c>
      <c r="J44" s="15">
        <v>2100</v>
      </c>
      <c r="K44" s="9" t="str">
        <f t="shared" si="0"/>
        <v>/WP/Tassaout/Tassaout WP/LF/3/New/0/2100</v>
      </c>
    </row>
    <row r="45" spans="4:11" x14ac:dyDescent="0.35">
      <c r="D45" s="9" t="s">
        <v>4</v>
      </c>
      <c r="E45" s="9" t="s">
        <v>358</v>
      </c>
      <c r="F45" s="9" t="s">
        <v>352</v>
      </c>
      <c r="G45" s="9">
        <v>4</v>
      </c>
      <c r="H45" s="11" t="s">
        <v>150</v>
      </c>
      <c r="I45" s="15">
        <v>0</v>
      </c>
      <c r="J45" s="15">
        <v>2100</v>
      </c>
      <c r="K45" s="9" t="str">
        <f t="shared" si="0"/>
        <v>/WP/Tassaout/Tassaout WP/LF/4/New/0/2100</v>
      </c>
    </row>
    <row r="46" spans="4:11" x14ac:dyDescent="0.35">
      <c r="D46" s="9" t="s">
        <v>4</v>
      </c>
      <c r="E46" s="9" t="s">
        <v>358</v>
      </c>
      <c r="F46" s="9" t="s">
        <v>352</v>
      </c>
      <c r="G46" s="9">
        <v>5</v>
      </c>
      <c r="H46" s="9" t="s">
        <v>150</v>
      </c>
      <c r="I46" s="9">
        <v>0</v>
      </c>
      <c r="J46" s="9">
        <v>2100</v>
      </c>
      <c r="K46" s="9" t="str">
        <f t="shared" si="0"/>
        <v>/WP/Tassaout/Tassaout WP/LF/5/New/0/2100</v>
      </c>
    </row>
    <row r="47" spans="4:11" x14ac:dyDescent="0.35">
      <c r="D47" s="9" t="s">
        <v>4</v>
      </c>
      <c r="E47" s="9" t="s">
        <v>358</v>
      </c>
      <c r="F47" s="9" t="s">
        <v>352</v>
      </c>
      <c r="G47" s="9">
        <v>6</v>
      </c>
      <c r="H47" s="9" t="s">
        <v>150</v>
      </c>
      <c r="I47" s="9">
        <v>0</v>
      </c>
      <c r="J47" s="9">
        <v>2100</v>
      </c>
      <c r="K47" s="9" t="str">
        <f t="shared" si="0"/>
        <v>/WP/Tassaout/Tassaout WP/LF/6/New/0/2100</v>
      </c>
    </row>
    <row r="48" spans="4:11" x14ac:dyDescent="0.35">
      <c r="D48" s="9" t="s">
        <v>4</v>
      </c>
      <c r="E48" s="9" t="s">
        <v>358</v>
      </c>
      <c r="F48" s="9" t="s">
        <v>352</v>
      </c>
      <c r="G48" s="9">
        <v>7</v>
      </c>
      <c r="H48" s="9" t="s">
        <v>150</v>
      </c>
      <c r="I48" s="9">
        <v>0</v>
      </c>
      <c r="J48" s="9">
        <v>2100</v>
      </c>
      <c r="K48" s="9" t="str">
        <f t="shared" si="0"/>
        <v>/WP/Tassaout/Tassaout WP/LF/7/New/0/2100</v>
      </c>
    </row>
    <row r="49" spans="4:11" x14ac:dyDescent="0.35">
      <c r="D49" s="9" t="s">
        <v>4</v>
      </c>
      <c r="E49" s="9" t="s">
        <v>358</v>
      </c>
      <c r="F49" s="9" t="s">
        <v>352</v>
      </c>
      <c r="G49" s="9">
        <v>8</v>
      </c>
      <c r="H49" s="9" t="s">
        <v>150</v>
      </c>
      <c r="I49" s="9">
        <v>0</v>
      </c>
      <c r="J49" s="9">
        <v>2100</v>
      </c>
      <c r="K49" s="9" t="str">
        <f t="shared" si="0"/>
        <v>/WP/Tassaout/Tassaout WP/LF/8/New/0/2100</v>
      </c>
    </row>
    <row r="50" spans="4:11" x14ac:dyDescent="0.35">
      <c r="D50" s="9" t="s">
        <v>4</v>
      </c>
      <c r="E50" s="9" t="s">
        <v>358</v>
      </c>
      <c r="F50" s="9" t="s">
        <v>352</v>
      </c>
      <c r="G50" s="9">
        <v>9</v>
      </c>
      <c r="H50" s="9" t="s">
        <v>150</v>
      </c>
      <c r="I50" s="9">
        <v>0</v>
      </c>
      <c r="J50" s="9">
        <v>2100</v>
      </c>
      <c r="K50" s="9" t="str">
        <f t="shared" si="0"/>
        <v>/WP/Tassaout/Tassaout WP/LF/9/New/0/2100</v>
      </c>
    </row>
    <row r="51" spans="4:11" x14ac:dyDescent="0.35">
      <c r="D51" s="9" t="s">
        <v>4</v>
      </c>
      <c r="E51" s="9" t="s">
        <v>358</v>
      </c>
      <c r="F51" s="9" t="s">
        <v>150</v>
      </c>
      <c r="G51" s="9">
        <v>3</v>
      </c>
      <c r="H51" s="9" t="s">
        <v>150</v>
      </c>
      <c r="I51" s="9">
        <v>0</v>
      </c>
      <c r="J51" s="9">
        <v>2100</v>
      </c>
      <c r="K51" s="9" t="str">
        <f t="shared" si="0"/>
        <v>/WP/Tassaout/Tassaout WP/New/3/New/0/2100</v>
      </c>
    </row>
    <row r="52" spans="4:11" x14ac:dyDescent="0.35">
      <c r="D52" s="9" t="s">
        <v>4</v>
      </c>
      <c r="E52" s="9" t="s">
        <v>358</v>
      </c>
      <c r="F52" s="9" t="s">
        <v>150</v>
      </c>
      <c r="G52" s="9">
        <v>4</v>
      </c>
      <c r="H52" s="9" t="s">
        <v>150</v>
      </c>
      <c r="I52" s="9">
        <v>0</v>
      </c>
      <c r="J52" s="9">
        <v>2100</v>
      </c>
      <c r="K52" s="9" t="str">
        <f t="shared" si="0"/>
        <v>/WP/Tassaout/Tassaout WP/New/4/New/0/2100</v>
      </c>
    </row>
    <row r="53" spans="4:11" x14ac:dyDescent="0.35">
      <c r="D53" s="9" t="s">
        <v>4</v>
      </c>
      <c r="E53" s="9" t="s">
        <v>358</v>
      </c>
      <c r="F53" s="9" t="s">
        <v>150</v>
      </c>
      <c r="G53" s="9">
        <v>5</v>
      </c>
      <c r="H53" s="9" t="s">
        <v>150</v>
      </c>
      <c r="I53" s="9">
        <v>0</v>
      </c>
      <c r="J53" s="9">
        <v>2100</v>
      </c>
      <c r="K53" s="9" t="str">
        <f t="shared" si="0"/>
        <v>/WP/Tassaout/Tassaout WP/New/5/New/0/2100</v>
      </c>
    </row>
    <row r="54" spans="4:11" x14ac:dyDescent="0.35">
      <c r="D54" s="9" t="s">
        <v>4</v>
      </c>
      <c r="E54" s="9" t="s">
        <v>358</v>
      </c>
      <c r="F54" s="9" t="s">
        <v>150</v>
      </c>
      <c r="G54" s="9">
        <v>6</v>
      </c>
      <c r="H54" s="9" t="s">
        <v>150</v>
      </c>
      <c r="I54" s="9">
        <v>0</v>
      </c>
      <c r="J54" s="9">
        <v>2100</v>
      </c>
      <c r="K54" s="9" t="str">
        <f t="shared" si="0"/>
        <v>/WP/Tassaout/Tassaout WP/New/6/New/0/2100</v>
      </c>
    </row>
    <row r="55" spans="4:11" x14ac:dyDescent="0.35">
      <c r="D55" s="9" t="s">
        <v>4</v>
      </c>
      <c r="E55" s="9" t="s">
        <v>358</v>
      </c>
      <c r="F55" s="9" t="s">
        <v>150</v>
      </c>
      <c r="G55" s="9">
        <v>7</v>
      </c>
      <c r="H55" s="9" t="s">
        <v>150</v>
      </c>
      <c r="I55" s="9">
        <v>0</v>
      </c>
      <c r="J55" s="9">
        <v>2100</v>
      </c>
      <c r="K55" s="9" t="str">
        <f t="shared" si="0"/>
        <v>/WP/Tassaout/Tassaout WP/New/7/New/0/2100</v>
      </c>
    </row>
    <row r="56" spans="4:11" x14ac:dyDescent="0.35">
      <c r="D56" s="9" t="s">
        <v>4</v>
      </c>
      <c r="E56" s="9" t="s">
        <v>358</v>
      </c>
      <c r="F56" s="9" t="s">
        <v>150</v>
      </c>
      <c r="G56" s="9">
        <v>8</v>
      </c>
      <c r="H56" s="9" t="s">
        <v>150</v>
      </c>
      <c r="I56" s="9">
        <v>0</v>
      </c>
      <c r="J56" s="9">
        <v>2100</v>
      </c>
      <c r="K56" s="9" t="str">
        <f t="shared" si="0"/>
        <v>/WP/Tassaout/Tassaout WP/New/8/New/0/2100</v>
      </c>
    </row>
    <row r="57" spans="4:11" x14ac:dyDescent="0.35">
      <c r="D57" s="9" t="s">
        <v>4</v>
      </c>
      <c r="E57" s="9" t="s">
        <v>358</v>
      </c>
      <c r="F57" s="9" t="s">
        <v>150</v>
      </c>
      <c r="G57" s="9">
        <v>9</v>
      </c>
      <c r="H57" s="9" t="s">
        <v>150</v>
      </c>
      <c r="I57" s="9">
        <v>0</v>
      </c>
      <c r="J57" s="9">
        <v>2100</v>
      </c>
      <c r="K57" s="9" t="str">
        <f t="shared" si="0"/>
        <v>/WP/Tassaout/Tassaout WP/New/9/New/0/2100</v>
      </c>
    </row>
    <row r="58" spans="4:11" x14ac:dyDescent="0.35">
      <c r="D58" s="9"/>
      <c r="E58" s="9"/>
      <c r="F58" s="9"/>
      <c r="G58" s="9"/>
      <c r="H58" s="9"/>
      <c r="I58" s="9"/>
      <c r="J58" s="9"/>
      <c r="K58" s="9" t="str">
        <f t="shared" si="0"/>
        <v/>
      </c>
    </row>
    <row r="59" spans="4:11" x14ac:dyDescent="0.35">
      <c r="D59" s="9"/>
      <c r="E59" s="9"/>
      <c r="F59" s="9"/>
      <c r="G59" s="9"/>
      <c r="H59" s="9"/>
      <c r="I59" s="9"/>
      <c r="J59" s="9"/>
      <c r="K59" s="9" t="str">
        <f t="shared" si="0"/>
        <v/>
      </c>
    </row>
    <row r="60" spans="4:11" ht="15" thickBot="1" x14ac:dyDescent="0.4">
      <c r="D60" s="10"/>
      <c r="E60" s="10"/>
      <c r="F60" s="10"/>
      <c r="G60" s="10"/>
      <c r="H60" s="10"/>
      <c r="I60" s="10"/>
      <c r="J60" s="10"/>
      <c r="K60" s="10" t="str">
        <f t="shared" si="0"/>
        <v/>
      </c>
    </row>
  </sheetData>
  <dataValidations count="4">
    <dataValidation type="list" allowBlank="1" showInputMessage="1" showErrorMessage="1" sqref="H5:H45">
      <formula1>"Existing,New"</formula1>
    </dataValidation>
    <dataValidation type="list" allowBlank="1" showInputMessage="1" showErrorMessage="1" sqref="D5:D45">
      <formula1>Location</formula1>
    </dataValidation>
    <dataValidation type="list" allowBlank="1" showInputMessage="1" showErrorMessage="1" sqref="E5:E60">
      <formula1>BeneficiationNames</formula1>
    </dataValidation>
    <dataValidation type="list" allowBlank="1" showInputMessage="1" showErrorMessage="1" sqref="F5:F60">
      <formula1>BeneficiationProcess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T34" sqref="T34"/>
    </sheetView>
  </sheetViews>
  <sheetFormatPr defaultColWidth="11.54296875" defaultRowHeight="14.5" outlineLevelCol="1" x14ac:dyDescent="0.35"/>
  <cols>
    <col min="1" max="3" width="3.81640625" style="5" customWidth="1"/>
    <col min="4" max="4" width="20.81640625" style="5" customWidth="1"/>
    <col min="5" max="6" width="15.81640625" style="5" customWidth="1"/>
    <col min="7" max="7" width="10.63281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9" s="131" customFormat="1" ht="25" customHeight="1" x14ac:dyDescent="0.35">
      <c r="B1" s="133" t="s">
        <v>346</v>
      </c>
    </row>
    <row r="2" spans="2:19" x14ac:dyDescent="0.35">
      <c r="G2" s="140"/>
    </row>
    <row r="3" spans="2:19" ht="15" thickBot="1" x14ac:dyDescent="0.4">
      <c r="D3" s="38" t="str">
        <f>JESA_UploadTable(B1,D4:S50)</f>
        <v>beneficiation_production Saved! @08:24:13</v>
      </c>
    </row>
    <row r="4" spans="2:19" ht="30" customHeight="1" thickBot="1" x14ac:dyDescent="0.4">
      <c r="D4" s="136" t="s">
        <v>25</v>
      </c>
      <c r="E4" s="136" t="s">
        <v>347</v>
      </c>
      <c r="F4" s="135" t="s">
        <v>348</v>
      </c>
      <c r="G4" s="135" t="s">
        <v>367</v>
      </c>
      <c r="H4" s="137" t="s">
        <v>17</v>
      </c>
      <c r="I4" s="138" t="s">
        <v>37</v>
      </c>
      <c r="J4" s="138" t="s">
        <v>38</v>
      </c>
      <c r="K4" s="138" t="s">
        <v>39</v>
      </c>
      <c r="L4" s="138" t="s">
        <v>40</v>
      </c>
      <c r="M4" s="138" t="s">
        <v>41</v>
      </c>
      <c r="N4" s="138" t="s">
        <v>42</v>
      </c>
      <c r="O4" s="138" t="s">
        <v>43</v>
      </c>
      <c r="P4" s="138" t="s">
        <v>44</v>
      </c>
      <c r="Q4" s="138" t="s">
        <v>45</v>
      </c>
      <c r="R4" s="138" t="s">
        <v>46</v>
      </c>
      <c r="S4" s="138" t="s">
        <v>47</v>
      </c>
    </row>
    <row r="5" spans="2:19" x14ac:dyDescent="0.35">
      <c r="D5" s="8" t="s">
        <v>356</v>
      </c>
      <c r="E5" s="147" t="s">
        <v>20</v>
      </c>
      <c r="F5" s="8" t="s">
        <v>344</v>
      </c>
      <c r="G5" s="8" t="s">
        <v>368</v>
      </c>
      <c r="H5" s="8" t="s">
        <v>152</v>
      </c>
      <c r="I5" s="19">
        <v>0.9</v>
      </c>
      <c r="J5" s="19">
        <v>0.9</v>
      </c>
      <c r="K5" s="19">
        <v>0.9</v>
      </c>
      <c r="L5" s="19">
        <v>0.9</v>
      </c>
      <c r="M5" s="19">
        <v>0.9</v>
      </c>
      <c r="N5" s="19">
        <v>0.9</v>
      </c>
      <c r="O5" s="19">
        <v>0.9</v>
      </c>
      <c r="P5" s="19">
        <v>0.9</v>
      </c>
      <c r="Q5" s="19">
        <v>0.9</v>
      </c>
      <c r="R5" s="19">
        <v>0.9</v>
      </c>
      <c r="S5" s="19">
        <v>0.9</v>
      </c>
    </row>
    <row r="6" spans="2:19" x14ac:dyDescent="0.35">
      <c r="D6" s="9" t="s">
        <v>359</v>
      </c>
      <c r="E6" s="9" t="s">
        <v>20</v>
      </c>
      <c r="F6" s="9" t="s">
        <v>357</v>
      </c>
      <c r="G6" s="9" t="s">
        <v>369</v>
      </c>
      <c r="H6" s="9" t="s">
        <v>152</v>
      </c>
      <c r="I6" s="20">
        <v>0.63</v>
      </c>
      <c r="J6" s="20">
        <v>0.63</v>
      </c>
      <c r="K6" s="20">
        <v>0.63</v>
      </c>
      <c r="L6" s="20">
        <v>0.63</v>
      </c>
      <c r="M6" s="20">
        <v>0.63</v>
      </c>
      <c r="N6" s="20">
        <v>0.63</v>
      </c>
      <c r="O6" s="20">
        <v>0.63</v>
      </c>
      <c r="P6" s="20">
        <v>0.63</v>
      </c>
      <c r="Q6" s="20">
        <v>0.63</v>
      </c>
      <c r="R6" s="20">
        <v>0.63</v>
      </c>
      <c r="S6" s="20">
        <v>0.63</v>
      </c>
    </row>
    <row r="7" spans="2:19" x14ac:dyDescent="0.35">
      <c r="D7" s="9" t="s">
        <v>361</v>
      </c>
      <c r="E7" s="9" t="s">
        <v>20</v>
      </c>
      <c r="F7" s="9" t="s">
        <v>139</v>
      </c>
      <c r="G7" s="9" t="s">
        <v>368</v>
      </c>
      <c r="H7" s="9" t="s">
        <v>152</v>
      </c>
      <c r="I7" s="146">
        <v>0.3</v>
      </c>
      <c r="J7" s="146">
        <f>IF($I$7="","",$I$7)</f>
        <v>0.3</v>
      </c>
      <c r="K7" s="146">
        <f t="shared" ref="K7:S7" si="0">IF($I$7="","",$I$7)</f>
        <v>0.3</v>
      </c>
      <c r="L7" s="146">
        <f t="shared" si="0"/>
        <v>0.3</v>
      </c>
      <c r="M7" s="146">
        <f t="shared" si="0"/>
        <v>0.3</v>
      </c>
      <c r="N7" s="146">
        <f t="shared" si="0"/>
        <v>0.3</v>
      </c>
      <c r="O7" s="146">
        <f t="shared" si="0"/>
        <v>0.3</v>
      </c>
      <c r="P7" s="146">
        <f t="shared" si="0"/>
        <v>0.3</v>
      </c>
      <c r="Q7" s="146">
        <f t="shared" si="0"/>
        <v>0.3</v>
      </c>
      <c r="R7" s="146">
        <f t="shared" si="0"/>
        <v>0.3</v>
      </c>
      <c r="S7" s="146">
        <f t="shared" si="0"/>
        <v>0.3</v>
      </c>
    </row>
    <row r="8" spans="2:19" x14ac:dyDescent="0.35">
      <c r="D8" s="9" t="s">
        <v>362</v>
      </c>
      <c r="E8" s="9" t="s">
        <v>20</v>
      </c>
      <c r="F8" s="9" t="s">
        <v>139</v>
      </c>
      <c r="G8" s="9" t="s">
        <v>368</v>
      </c>
      <c r="H8" s="9" t="s">
        <v>152</v>
      </c>
      <c r="I8" s="146">
        <v>0.4</v>
      </c>
      <c r="J8" s="146">
        <f>IF($I$8="","",$I$8)</f>
        <v>0.4</v>
      </c>
      <c r="K8" s="146">
        <f t="shared" ref="K8:S8" si="1">IF($I$8="","",$I$8)</f>
        <v>0.4</v>
      </c>
      <c r="L8" s="146">
        <f t="shared" si="1"/>
        <v>0.4</v>
      </c>
      <c r="M8" s="146">
        <f t="shared" si="1"/>
        <v>0.4</v>
      </c>
      <c r="N8" s="146">
        <f t="shared" si="1"/>
        <v>0.4</v>
      </c>
      <c r="O8" s="146">
        <f t="shared" si="1"/>
        <v>0.4</v>
      </c>
      <c r="P8" s="146">
        <f t="shared" si="1"/>
        <v>0.4</v>
      </c>
      <c r="Q8" s="146">
        <f t="shared" si="1"/>
        <v>0.4</v>
      </c>
      <c r="R8" s="146">
        <f t="shared" si="1"/>
        <v>0.4</v>
      </c>
      <c r="S8" s="146">
        <f t="shared" si="1"/>
        <v>0.4</v>
      </c>
    </row>
    <row r="9" spans="2:19" x14ac:dyDescent="0.35">
      <c r="D9" s="9" t="s">
        <v>352</v>
      </c>
      <c r="E9" s="9" t="s">
        <v>20</v>
      </c>
      <c r="F9" s="9" t="s">
        <v>357</v>
      </c>
      <c r="G9" s="9" t="s">
        <v>368</v>
      </c>
      <c r="H9" s="9" t="s">
        <v>152</v>
      </c>
      <c r="I9" s="20">
        <v>0.625</v>
      </c>
      <c r="J9" s="20">
        <v>0.625</v>
      </c>
      <c r="K9" s="20">
        <v>0.625</v>
      </c>
      <c r="L9" s="20">
        <v>0.625</v>
      </c>
      <c r="M9" s="20">
        <v>0.625</v>
      </c>
      <c r="N9" s="20">
        <v>0.625</v>
      </c>
      <c r="O9" s="20">
        <v>0.625</v>
      </c>
      <c r="P9" s="20">
        <v>0.625</v>
      </c>
      <c r="Q9" s="20">
        <v>0.625</v>
      </c>
      <c r="R9" s="20">
        <v>0.625</v>
      </c>
      <c r="S9" s="20">
        <v>0.625</v>
      </c>
    </row>
    <row r="10" spans="2:19" x14ac:dyDescent="0.35">
      <c r="D10" s="9" t="s">
        <v>352</v>
      </c>
      <c r="E10" s="9" t="s">
        <v>18</v>
      </c>
      <c r="F10" s="9" t="s">
        <v>357</v>
      </c>
      <c r="G10" s="9" t="s">
        <v>368</v>
      </c>
      <c r="H10" s="9" t="s">
        <v>152</v>
      </c>
      <c r="I10" s="20">
        <v>0.66600000000000004</v>
      </c>
      <c r="J10" s="20">
        <v>0.66600000000000004</v>
      </c>
      <c r="K10" s="20">
        <v>0.66600000000000004</v>
      </c>
      <c r="L10" s="20">
        <v>0.66600000000000004</v>
      </c>
      <c r="M10" s="20">
        <v>0.66600000000000004</v>
      </c>
      <c r="N10" s="20">
        <v>0.66600000000000004</v>
      </c>
      <c r="O10" s="20">
        <v>0.66600000000000004</v>
      </c>
      <c r="P10" s="20">
        <v>0.66600000000000004</v>
      </c>
      <c r="Q10" s="20">
        <v>0.66600000000000004</v>
      </c>
      <c r="R10" s="20">
        <v>0.66600000000000004</v>
      </c>
      <c r="S10" s="20">
        <v>0.66600000000000004</v>
      </c>
    </row>
    <row r="11" spans="2:19" x14ac:dyDescent="0.35">
      <c r="D11" s="9" t="s">
        <v>352</v>
      </c>
      <c r="E11" s="9" t="s">
        <v>19</v>
      </c>
      <c r="F11" s="9" t="s">
        <v>357</v>
      </c>
      <c r="G11" s="9" t="s">
        <v>368</v>
      </c>
      <c r="H11" s="9" t="s">
        <v>152</v>
      </c>
      <c r="I11" s="20">
        <v>0.75</v>
      </c>
      <c r="J11" s="20">
        <v>0.75</v>
      </c>
      <c r="K11" s="20">
        <v>0.75</v>
      </c>
      <c r="L11" s="20">
        <v>0.75</v>
      </c>
      <c r="M11" s="20">
        <v>0.75</v>
      </c>
      <c r="N11" s="20">
        <v>0.75</v>
      </c>
      <c r="O11" s="20">
        <v>0.75</v>
      </c>
      <c r="P11" s="20">
        <v>0.75</v>
      </c>
      <c r="Q11" s="20">
        <v>0.75</v>
      </c>
      <c r="R11" s="20">
        <v>0.75</v>
      </c>
      <c r="S11" s="20">
        <v>0.75</v>
      </c>
    </row>
    <row r="12" spans="2:19" x14ac:dyDescent="0.35">
      <c r="D12" s="9" t="s">
        <v>352</v>
      </c>
      <c r="E12" s="9" t="s">
        <v>20</v>
      </c>
      <c r="F12" s="9" t="s">
        <v>357</v>
      </c>
      <c r="G12" s="9" t="s">
        <v>368</v>
      </c>
      <c r="H12" s="9" t="s">
        <v>152</v>
      </c>
      <c r="I12" s="20">
        <v>0.625</v>
      </c>
      <c r="J12" s="20">
        <v>0.625</v>
      </c>
      <c r="K12" s="20">
        <v>0.625</v>
      </c>
      <c r="L12" s="20">
        <v>0.625</v>
      </c>
      <c r="M12" s="20">
        <v>0.625</v>
      </c>
      <c r="N12" s="20">
        <v>0.625</v>
      </c>
      <c r="O12" s="20">
        <v>0.625</v>
      </c>
      <c r="P12" s="20">
        <v>0.625</v>
      </c>
      <c r="Q12" s="20">
        <v>0.625</v>
      </c>
      <c r="R12" s="20">
        <v>0.625</v>
      </c>
      <c r="S12" s="20">
        <v>0.625</v>
      </c>
    </row>
    <row r="13" spans="2:19" x14ac:dyDescent="0.35">
      <c r="D13" s="9" t="s">
        <v>352</v>
      </c>
      <c r="E13" s="9" t="s">
        <v>18</v>
      </c>
      <c r="F13" s="9" t="s">
        <v>357</v>
      </c>
      <c r="G13" s="9" t="s">
        <v>368</v>
      </c>
      <c r="H13" s="9" t="s">
        <v>152</v>
      </c>
      <c r="I13" s="20">
        <v>0.66600000000000004</v>
      </c>
      <c r="J13" s="20">
        <v>0.66600000000000004</v>
      </c>
      <c r="K13" s="20">
        <v>0.66600000000000004</v>
      </c>
      <c r="L13" s="20">
        <v>0.66600000000000004</v>
      </c>
      <c r="M13" s="20">
        <v>0.66600000000000004</v>
      </c>
      <c r="N13" s="20">
        <v>0.66600000000000004</v>
      </c>
      <c r="O13" s="20">
        <v>0.66600000000000004</v>
      </c>
      <c r="P13" s="20">
        <v>0.66600000000000004</v>
      </c>
      <c r="Q13" s="20">
        <v>0.66600000000000004</v>
      </c>
      <c r="R13" s="20">
        <v>0.66600000000000004</v>
      </c>
      <c r="S13" s="20">
        <v>0.66600000000000004</v>
      </c>
    </row>
    <row r="14" spans="2:19" x14ac:dyDescent="0.35">
      <c r="D14" s="9" t="s">
        <v>352</v>
      </c>
      <c r="E14" s="9" t="s">
        <v>19</v>
      </c>
      <c r="F14" s="9" t="s">
        <v>357</v>
      </c>
      <c r="G14" s="9" t="s">
        <v>368</v>
      </c>
      <c r="H14" s="9" t="s">
        <v>152</v>
      </c>
      <c r="I14" s="20">
        <v>0.75</v>
      </c>
      <c r="J14" s="20">
        <v>0.75</v>
      </c>
      <c r="K14" s="20">
        <v>0.75</v>
      </c>
      <c r="L14" s="20">
        <v>0.75</v>
      </c>
      <c r="M14" s="20">
        <v>0.75</v>
      </c>
      <c r="N14" s="20">
        <v>0.75</v>
      </c>
      <c r="O14" s="20">
        <v>0.75</v>
      </c>
      <c r="P14" s="20">
        <v>0.75</v>
      </c>
      <c r="Q14" s="20">
        <v>0.75</v>
      </c>
      <c r="R14" s="20">
        <v>0.75</v>
      </c>
      <c r="S14" s="20">
        <v>0.75</v>
      </c>
    </row>
    <row r="15" spans="2:19" x14ac:dyDescent="0.35">
      <c r="D15" s="9" t="s">
        <v>150</v>
      </c>
      <c r="E15" s="9" t="s">
        <v>18</v>
      </c>
      <c r="F15" s="9" t="s">
        <v>357</v>
      </c>
      <c r="G15" s="9"/>
      <c r="H15" s="9" t="s">
        <v>152</v>
      </c>
      <c r="I15" s="20">
        <v>1</v>
      </c>
      <c r="J15" s="20">
        <v>1</v>
      </c>
      <c r="K15" s="20">
        <v>1</v>
      </c>
      <c r="L15" s="20">
        <v>1</v>
      </c>
      <c r="M15" s="20">
        <v>1</v>
      </c>
      <c r="N15" s="20">
        <v>1</v>
      </c>
      <c r="O15" s="20">
        <v>1</v>
      </c>
      <c r="P15" s="20">
        <v>1</v>
      </c>
      <c r="Q15" s="20">
        <v>1</v>
      </c>
      <c r="R15" s="20">
        <v>1</v>
      </c>
      <c r="S15" s="20">
        <v>1</v>
      </c>
    </row>
    <row r="16" spans="2:19" x14ac:dyDescent="0.35">
      <c r="D16" s="9" t="s">
        <v>150</v>
      </c>
      <c r="E16" s="9" t="s">
        <v>19</v>
      </c>
      <c r="F16" s="9" t="s">
        <v>357</v>
      </c>
      <c r="G16" s="9"/>
      <c r="H16" s="9" t="s">
        <v>152</v>
      </c>
      <c r="I16" s="20">
        <v>1</v>
      </c>
      <c r="J16" s="20">
        <v>1</v>
      </c>
      <c r="K16" s="20">
        <v>1</v>
      </c>
      <c r="L16" s="20">
        <v>1</v>
      </c>
      <c r="M16" s="20">
        <v>1</v>
      </c>
      <c r="N16" s="20">
        <v>1</v>
      </c>
      <c r="O16" s="20">
        <v>1</v>
      </c>
      <c r="P16" s="20">
        <v>1</v>
      </c>
      <c r="Q16" s="20">
        <v>1</v>
      </c>
      <c r="R16" s="20">
        <v>1</v>
      </c>
      <c r="S16" s="20">
        <v>1</v>
      </c>
    </row>
    <row r="17" spans="4:19" x14ac:dyDescent="0.35">
      <c r="D17" s="9" t="s">
        <v>150</v>
      </c>
      <c r="E17" s="9" t="s">
        <v>20</v>
      </c>
      <c r="F17" s="9" t="s">
        <v>357</v>
      </c>
      <c r="G17" s="9"/>
      <c r="H17" s="9" t="s">
        <v>152</v>
      </c>
      <c r="I17" s="20">
        <v>1</v>
      </c>
      <c r="J17" s="20">
        <v>1</v>
      </c>
      <c r="K17" s="20">
        <v>1</v>
      </c>
      <c r="L17" s="20">
        <v>1</v>
      </c>
      <c r="M17" s="20">
        <v>1</v>
      </c>
      <c r="N17" s="20">
        <v>1</v>
      </c>
      <c r="O17" s="20">
        <v>1</v>
      </c>
      <c r="P17" s="20">
        <v>1</v>
      </c>
      <c r="Q17" s="20">
        <v>1</v>
      </c>
      <c r="R17" s="20">
        <v>1</v>
      </c>
      <c r="S17" s="20">
        <v>1</v>
      </c>
    </row>
    <row r="18" spans="4:19" x14ac:dyDescent="0.35">
      <c r="D18" s="9"/>
      <c r="E18" s="9"/>
      <c r="F18" s="9"/>
      <c r="G18" s="9"/>
      <c r="H18" s="9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4:19" x14ac:dyDescent="0.35">
      <c r="D19" s="9"/>
      <c r="E19" s="9"/>
      <c r="F19" s="9"/>
      <c r="G19" s="9"/>
      <c r="H19" s="9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4:19" x14ac:dyDescent="0.35">
      <c r="D20" s="9"/>
      <c r="E20" s="9"/>
      <c r="F20" s="9"/>
      <c r="G20" s="9"/>
      <c r="H20" s="9"/>
      <c r="I20" s="20"/>
      <c r="J20" s="20" t="str">
        <f t="shared" ref="J20:S26" si="2">IF(I20="","",I20)</f>
        <v/>
      </c>
      <c r="K20" s="20" t="str">
        <f t="shared" si="2"/>
        <v/>
      </c>
      <c r="L20" s="20" t="str">
        <f t="shared" si="2"/>
        <v/>
      </c>
      <c r="M20" s="20" t="str">
        <f t="shared" si="2"/>
        <v/>
      </c>
      <c r="N20" s="20" t="str">
        <f t="shared" si="2"/>
        <v/>
      </c>
      <c r="O20" s="20" t="str">
        <f t="shared" si="2"/>
        <v/>
      </c>
      <c r="P20" s="20" t="str">
        <f t="shared" si="2"/>
        <v/>
      </c>
      <c r="Q20" s="20" t="str">
        <f t="shared" si="2"/>
        <v/>
      </c>
      <c r="R20" s="20" t="str">
        <f t="shared" si="2"/>
        <v/>
      </c>
      <c r="S20" s="20" t="str">
        <f t="shared" si="2"/>
        <v/>
      </c>
    </row>
    <row r="21" spans="4:19" x14ac:dyDescent="0.35">
      <c r="D21" s="9"/>
      <c r="E21" s="9"/>
      <c r="F21" s="9"/>
      <c r="G21" s="9"/>
      <c r="H21" s="9"/>
      <c r="I21" s="20"/>
      <c r="J21" s="20" t="str">
        <f t="shared" si="2"/>
        <v/>
      </c>
      <c r="K21" s="20" t="str">
        <f t="shared" si="2"/>
        <v/>
      </c>
      <c r="L21" s="20" t="str">
        <f t="shared" si="2"/>
        <v/>
      </c>
      <c r="M21" s="20" t="str">
        <f t="shared" si="2"/>
        <v/>
      </c>
      <c r="N21" s="20" t="str">
        <f t="shared" si="2"/>
        <v/>
      </c>
      <c r="O21" s="20" t="str">
        <f t="shared" si="2"/>
        <v/>
      </c>
      <c r="P21" s="20" t="str">
        <f t="shared" si="2"/>
        <v/>
      </c>
      <c r="Q21" s="20" t="str">
        <f t="shared" si="2"/>
        <v/>
      </c>
      <c r="R21" s="20" t="str">
        <f t="shared" si="2"/>
        <v/>
      </c>
      <c r="S21" s="20" t="str">
        <f t="shared" si="2"/>
        <v/>
      </c>
    </row>
    <row r="22" spans="4:19" x14ac:dyDescent="0.35">
      <c r="D22" s="9"/>
      <c r="E22" s="9"/>
      <c r="F22" s="9"/>
      <c r="G22" s="9"/>
      <c r="H22" s="9"/>
      <c r="I22" s="20"/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  <c r="S22" s="20" t="str">
        <f t="shared" si="2"/>
        <v/>
      </c>
    </row>
    <row r="23" spans="4:19" x14ac:dyDescent="0.35">
      <c r="D23" s="9"/>
      <c r="E23" s="9"/>
      <c r="F23" s="9"/>
      <c r="G23" s="9"/>
      <c r="H23" s="9"/>
      <c r="I23" s="20"/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  <c r="S23" s="20" t="str">
        <f t="shared" si="2"/>
        <v/>
      </c>
    </row>
    <row r="24" spans="4:19" x14ac:dyDescent="0.35">
      <c r="D24" s="9"/>
      <c r="E24" s="9"/>
      <c r="F24" s="9"/>
      <c r="G24" s="9"/>
      <c r="H24" s="9"/>
      <c r="I24" s="20"/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  <c r="S24" s="20" t="str">
        <f t="shared" si="2"/>
        <v/>
      </c>
    </row>
    <row r="25" spans="4:19" x14ac:dyDescent="0.35">
      <c r="D25" s="9"/>
      <c r="E25" s="9"/>
      <c r="F25" s="9"/>
      <c r="G25" s="9"/>
      <c r="H25" s="9"/>
      <c r="I25" s="20"/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  <c r="S25" s="20" t="str">
        <f t="shared" si="2"/>
        <v/>
      </c>
    </row>
    <row r="26" spans="4:19" x14ac:dyDescent="0.35">
      <c r="D26" s="9"/>
      <c r="E26" s="9"/>
      <c r="F26" s="9"/>
      <c r="G26" s="9"/>
      <c r="H26" s="9"/>
      <c r="I26" s="20"/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  <c r="S26" s="20" t="str">
        <f t="shared" si="2"/>
        <v/>
      </c>
    </row>
    <row r="27" spans="4:19" x14ac:dyDescent="0.35">
      <c r="D27" s="9"/>
      <c r="E27" s="9"/>
      <c r="F27" s="9"/>
      <c r="G27" s="9"/>
      <c r="H27" s="9"/>
      <c r="I27" s="20"/>
      <c r="J27" s="20" t="str">
        <f t="shared" ref="J27:S42" si="3">IF(I27="","",I27)</f>
        <v/>
      </c>
      <c r="K27" s="20" t="str">
        <f t="shared" si="3"/>
        <v/>
      </c>
      <c r="L27" s="20" t="str">
        <f t="shared" si="3"/>
        <v/>
      </c>
      <c r="M27" s="20" t="str">
        <f t="shared" si="3"/>
        <v/>
      </c>
      <c r="N27" s="20" t="str">
        <f t="shared" si="3"/>
        <v/>
      </c>
      <c r="O27" s="20" t="str">
        <f t="shared" si="3"/>
        <v/>
      </c>
      <c r="P27" s="20" t="str">
        <f t="shared" si="3"/>
        <v/>
      </c>
      <c r="Q27" s="20" t="str">
        <f t="shared" si="3"/>
        <v/>
      </c>
      <c r="R27" s="20" t="str">
        <f t="shared" si="3"/>
        <v/>
      </c>
      <c r="S27" s="20" t="str">
        <f t="shared" si="3"/>
        <v/>
      </c>
    </row>
    <row r="28" spans="4:19" x14ac:dyDescent="0.35">
      <c r="D28" s="9"/>
      <c r="E28" s="9"/>
      <c r="F28" s="9"/>
      <c r="G28" s="9"/>
      <c r="H28" s="9"/>
      <c r="I28" s="20"/>
      <c r="J28" s="20" t="str">
        <f t="shared" si="3"/>
        <v/>
      </c>
      <c r="K28" s="20" t="str">
        <f t="shared" si="3"/>
        <v/>
      </c>
      <c r="L28" s="20" t="str">
        <f t="shared" si="3"/>
        <v/>
      </c>
      <c r="M28" s="20" t="str">
        <f t="shared" si="3"/>
        <v/>
      </c>
      <c r="N28" s="20" t="str">
        <f t="shared" si="3"/>
        <v/>
      </c>
      <c r="O28" s="20" t="str">
        <f t="shared" si="3"/>
        <v/>
      </c>
      <c r="P28" s="20" t="str">
        <f t="shared" si="3"/>
        <v/>
      </c>
      <c r="Q28" s="20" t="str">
        <f t="shared" si="3"/>
        <v/>
      </c>
      <c r="R28" s="20" t="str">
        <f t="shared" si="3"/>
        <v/>
      </c>
      <c r="S28" s="20" t="str">
        <f t="shared" si="3"/>
        <v/>
      </c>
    </row>
    <row r="29" spans="4:19" x14ac:dyDescent="0.35">
      <c r="D29" s="9"/>
      <c r="E29" s="9"/>
      <c r="F29" s="9"/>
      <c r="G29" s="9"/>
      <c r="H29" s="9"/>
      <c r="I29" s="20"/>
      <c r="J29" s="20" t="str">
        <f t="shared" si="3"/>
        <v/>
      </c>
      <c r="K29" s="20" t="str">
        <f t="shared" si="3"/>
        <v/>
      </c>
      <c r="L29" s="20" t="str">
        <f t="shared" si="3"/>
        <v/>
      </c>
      <c r="M29" s="20" t="str">
        <f t="shared" si="3"/>
        <v/>
      </c>
      <c r="N29" s="20" t="str">
        <f t="shared" si="3"/>
        <v/>
      </c>
      <c r="O29" s="20" t="str">
        <f t="shared" si="3"/>
        <v/>
      </c>
      <c r="P29" s="20" t="str">
        <f t="shared" si="3"/>
        <v/>
      </c>
      <c r="Q29" s="20" t="str">
        <f t="shared" si="3"/>
        <v/>
      </c>
      <c r="R29" s="20" t="str">
        <f t="shared" si="3"/>
        <v/>
      </c>
      <c r="S29" s="20" t="str">
        <f t="shared" si="3"/>
        <v/>
      </c>
    </row>
    <row r="30" spans="4:19" x14ac:dyDescent="0.35">
      <c r="D30" s="9"/>
      <c r="E30" s="9"/>
      <c r="F30" s="9"/>
      <c r="G30" s="9"/>
      <c r="H30" s="9"/>
      <c r="I30" s="20"/>
      <c r="J30" s="20" t="str">
        <f t="shared" si="3"/>
        <v/>
      </c>
      <c r="K30" s="20" t="str">
        <f t="shared" si="3"/>
        <v/>
      </c>
      <c r="L30" s="20" t="str">
        <f t="shared" si="3"/>
        <v/>
      </c>
      <c r="M30" s="20" t="str">
        <f t="shared" si="3"/>
        <v/>
      </c>
      <c r="N30" s="20" t="str">
        <f t="shared" si="3"/>
        <v/>
      </c>
      <c r="O30" s="20" t="str">
        <f t="shared" si="3"/>
        <v/>
      </c>
      <c r="P30" s="20" t="str">
        <f t="shared" si="3"/>
        <v/>
      </c>
      <c r="Q30" s="20" t="str">
        <f t="shared" si="3"/>
        <v/>
      </c>
      <c r="R30" s="20" t="str">
        <f t="shared" si="3"/>
        <v/>
      </c>
      <c r="S30" s="20" t="str">
        <f t="shared" si="3"/>
        <v/>
      </c>
    </row>
    <row r="31" spans="4:19" x14ac:dyDescent="0.35">
      <c r="D31" s="9"/>
      <c r="E31" s="9"/>
      <c r="F31" s="9"/>
      <c r="G31" s="9"/>
      <c r="H31" s="9"/>
      <c r="I31" s="20"/>
      <c r="J31" s="20" t="str">
        <f t="shared" si="3"/>
        <v/>
      </c>
      <c r="K31" s="20" t="str">
        <f t="shared" si="3"/>
        <v/>
      </c>
      <c r="L31" s="20" t="str">
        <f t="shared" si="3"/>
        <v/>
      </c>
      <c r="M31" s="20" t="str">
        <f t="shared" si="3"/>
        <v/>
      </c>
      <c r="N31" s="20" t="str">
        <f t="shared" si="3"/>
        <v/>
      </c>
      <c r="O31" s="20" t="str">
        <f t="shared" si="3"/>
        <v/>
      </c>
      <c r="P31" s="20" t="str">
        <f t="shared" si="3"/>
        <v/>
      </c>
      <c r="Q31" s="20" t="str">
        <f t="shared" si="3"/>
        <v/>
      </c>
      <c r="R31" s="20" t="str">
        <f t="shared" si="3"/>
        <v/>
      </c>
      <c r="S31" s="20" t="str">
        <f t="shared" si="3"/>
        <v/>
      </c>
    </row>
    <row r="32" spans="4:19" x14ac:dyDescent="0.35">
      <c r="D32" s="9"/>
      <c r="E32" s="9"/>
      <c r="F32" s="9"/>
      <c r="G32" s="9"/>
      <c r="H32" s="9"/>
      <c r="I32" s="20"/>
      <c r="J32" s="20" t="str">
        <f t="shared" si="3"/>
        <v/>
      </c>
      <c r="K32" s="20" t="str">
        <f t="shared" si="3"/>
        <v/>
      </c>
      <c r="L32" s="20" t="str">
        <f t="shared" si="3"/>
        <v/>
      </c>
      <c r="M32" s="20" t="str">
        <f t="shared" si="3"/>
        <v/>
      </c>
      <c r="N32" s="20" t="str">
        <f t="shared" si="3"/>
        <v/>
      </c>
      <c r="O32" s="20" t="str">
        <f t="shared" si="3"/>
        <v/>
      </c>
      <c r="P32" s="20" t="str">
        <f t="shared" si="3"/>
        <v/>
      </c>
      <c r="Q32" s="20" t="str">
        <f t="shared" si="3"/>
        <v/>
      </c>
      <c r="R32" s="20" t="str">
        <f t="shared" si="3"/>
        <v/>
      </c>
      <c r="S32" s="20" t="str">
        <f t="shared" si="3"/>
        <v/>
      </c>
    </row>
    <row r="33" spans="4:19" x14ac:dyDescent="0.35">
      <c r="D33" s="9"/>
      <c r="E33" s="9"/>
      <c r="F33" s="9"/>
      <c r="G33" s="9"/>
      <c r="H33" s="9"/>
      <c r="I33" s="20"/>
      <c r="J33" s="20" t="str">
        <f t="shared" si="3"/>
        <v/>
      </c>
      <c r="K33" s="20" t="str">
        <f t="shared" si="3"/>
        <v/>
      </c>
      <c r="L33" s="20" t="str">
        <f t="shared" si="3"/>
        <v/>
      </c>
      <c r="M33" s="20" t="str">
        <f t="shared" si="3"/>
        <v/>
      </c>
      <c r="N33" s="20" t="str">
        <f t="shared" si="3"/>
        <v/>
      </c>
      <c r="O33" s="20" t="str">
        <f t="shared" si="3"/>
        <v/>
      </c>
      <c r="P33" s="20" t="str">
        <f t="shared" si="3"/>
        <v/>
      </c>
      <c r="Q33" s="20" t="str">
        <f t="shared" si="3"/>
        <v/>
      </c>
      <c r="R33" s="20" t="str">
        <f t="shared" si="3"/>
        <v/>
      </c>
      <c r="S33" s="20" t="str">
        <f t="shared" si="3"/>
        <v/>
      </c>
    </row>
    <row r="34" spans="4:19" x14ac:dyDescent="0.35">
      <c r="D34" s="9"/>
      <c r="E34" s="9"/>
      <c r="F34" s="9"/>
      <c r="G34" s="9"/>
      <c r="H34" s="9"/>
      <c r="I34" s="20"/>
      <c r="J34" s="20" t="str">
        <f t="shared" si="3"/>
        <v/>
      </c>
      <c r="K34" s="20" t="str">
        <f t="shared" si="3"/>
        <v/>
      </c>
      <c r="L34" s="20" t="str">
        <f t="shared" si="3"/>
        <v/>
      </c>
      <c r="M34" s="20" t="str">
        <f t="shared" si="3"/>
        <v/>
      </c>
      <c r="N34" s="20" t="str">
        <f t="shared" si="3"/>
        <v/>
      </c>
      <c r="O34" s="20" t="str">
        <f t="shared" si="3"/>
        <v/>
      </c>
      <c r="P34" s="20" t="str">
        <f t="shared" si="3"/>
        <v/>
      </c>
      <c r="Q34" s="20" t="str">
        <f t="shared" si="3"/>
        <v/>
      </c>
      <c r="R34" s="20" t="str">
        <f t="shared" si="3"/>
        <v/>
      </c>
      <c r="S34" s="20" t="str">
        <f t="shared" si="3"/>
        <v/>
      </c>
    </row>
    <row r="35" spans="4:19" x14ac:dyDescent="0.35">
      <c r="D35" s="9"/>
      <c r="E35" s="9"/>
      <c r="F35" s="9"/>
      <c r="G35" s="9"/>
      <c r="H35" s="9"/>
      <c r="I35" s="20"/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20" t="str">
        <f t="shared" si="3"/>
        <v/>
      </c>
      <c r="R35" s="20" t="str">
        <f t="shared" si="3"/>
        <v/>
      </c>
      <c r="S35" s="20" t="str">
        <f t="shared" si="3"/>
        <v/>
      </c>
    </row>
    <row r="36" spans="4:19" x14ac:dyDescent="0.35">
      <c r="D36" s="9"/>
      <c r="E36" s="9"/>
      <c r="F36" s="9"/>
      <c r="G36" s="9"/>
      <c r="H36" s="9"/>
      <c r="I36" s="20"/>
      <c r="J36" s="20" t="str">
        <f t="shared" si="3"/>
        <v/>
      </c>
      <c r="K36" s="20" t="str">
        <f t="shared" si="3"/>
        <v/>
      </c>
      <c r="L36" s="20" t="str">
        <f t="shared" si="3"/>
        <v/>
      </c>
      <c r="M36" s="20" t="str">
        <f t="shared" si="3"/>
        <v/>
      </c>
      <c r="N36" s="20" t="str">
        <f t="shared" si="3"/>
        <v/>
      </c>
      <c r="O36" s="20" t="str">
        <f t="shared" si="3"/>
        <v/>
      </c>
      <c r="P36" s="20" t="str">
        <f t="shared" si="3"/>
        <v/>
      </c>
      <c r="Q36" s="20" t="str">
        <f t="shared" si="3"/>
        <v/>
      </c>
      <c r="R36" s="20" t="str">
        <f t="shared" si="3"/>
        <v/>
      </c>
      <c r="S36" s="20" t="str">
        <f t="shared" si="3"/>
        <v/>
      </c>
    </row>
    <row r="37" spans="4:19" x14ac:dyDescent="0.35">
      <c r="D37" s="9"/>
      <c r="E37" s="9"/>
      <c r="F37" s="9"/>
      <c r="G37" s="9"/>
      <c r="H37" s="9"/>
      <c r="I37" s="20"/>
      <c r="J37" s="20" t="str">
        <f t="shared" si="3"/>
        <v/>
      </c>
      <c r="K37" s="20" t="str">
        <f t="shared" si="3"/>
        <v/>
      </c>
      <c r="L37" s="20" t="str">
        <f t="shared" si="3"/>
        <v/>
      </c>
      <c r="M37" s="20" t="str">
        <f t="shared" si="3"/>
        <v/>
      </c>
      <c r="N37" s="20" t="str">
        <f t="shared" si="3"/>
        <v/>
      </c>
      <c r="O37" s="20" t="str">
        <f t="shared" si="3"/>
        <v/>
      </c>
      <c r="P37" s="20" t="str">
        <f t="shared" si="3"/>
        <v/>
      </c>
      <c r="Q37" s="20" t="str">
        <f t="shared" si="3"/>
        <v/>
      </c>
      <c r="R37" s="20" t="str">
        <f t="shared" si="3"/>
        <v/>
      </c>
      <c r="S37" s="20" t="str">
        <f t="shared" si="3"/>
        <v/>
      </c>
    </row>
    <row r="38" spans="4:19" x14ac:dyDescent="0.35">
      <c r="D38" s="9"/>
      <c r="E38" s="9"/>
      <c r="F38" s="9"/>
      <c r="G38" s="9"/>
      <c r="H38" s="9"/>
      <c r="I38" s="20"/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  <c r="S38" s="20" t="str">
        <f t="shared" si="3"/>
        <v/>
      </c>
    </row>
    <row r="39" spans="4:19" x14ac:dyDescent="0.35">
      <c r="D39" s="9"/>
      <c r="E39" s="9"/>
      <c r="F39" s="9"/>
      <c r="G39" s="9"/>
      <c r="H39" s="9"/>
      <c r="I39" s="20"/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  <c r="S39" s="20" t="str">
        <f t="shared" si="3"/>
        <v/>
      </c>
    </row>
    <row r="40" spans="4:19" x14ac:dyDescent="0.35">
      <c r="D40" s="9"/>
      <c r="E40" s="9"/>
      <c r="F40" s="9"/>
      <c r="G40" s="9"/>
      <c r="H40" s="9"/>
      <c r="I40" s="20"/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  <c r="S40" s="20" t="str">
        <f t="shared" si="3"/>
        <v/>
      </c>
    </row>
    <row r="41" spans="4:19" x14ac:dyDescent="0.35">
      <c r="D41" s="9"/>
      <c r="E41" s="9"/>
      <c r="F41" s="9"/>
      <c r="G41" s="9"/>
      <c r="H41" s="9"/>
      <c r="I41" s="20"/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  <c r="S41" s="20" t="str">
        <f t="shared" si="3"/>
        <v/>
      </c>
    </row>
    <row r="42" spans="4:19" x14ac:dyDescent="0.35">
      <c r="D42" s="9"/>
      <c r="E42" s="9"/>
      <c r="F42" s="9"/>
      <c r="G42" s="9"/>
      <c r="H42" s="9"/>
      <c r="I42" s="20"/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  <c r="S42" s="20" t="str">
        <f t="shared" si="3"/>
        <v/>
      </c>
    </row>
    <row r="43" spans="4:19" x14ac:dyDescent="0.35">
      <c r="D43" s="9"/>
      <c r="E43" s="9"/>
      <c r="F43" s="9"/>
      <c r="G43" s="9"/>
      <c r="H43" s="9"/>
      <c r="I43" s="20"/>
      <c r="J43" s="20" t="str">
        <f t="shared" ref="J43:S50" si="4">IF(I43="","",I43)</f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20" t="str">
        <f t="shared" si="4"/>
        <v/>
      </c>
      <c r="R43" s="20" t="str">
        <f t="shared" si="4"/>
        <v/>
      </c>
      <c r="S43" s="20" t="str">
        <f t="shared" si="4"/>
        <v/>
      </c>
    </row>
    <row r="44" spans="4:19" x14ac:dyDescent="0.35">
      <c r="D44" s="9"/>
      <c r="E44" s="9"/>
      <c r="F44" s="9"/>
      <c r="G44" s="9"/>
      <c r="H44" s="9"/>
      <c r="I44" s="20"/>
      <c r="J44" s="20" t="str">
        <f t="shared" si="4"/>
        <v/>
      </c>
      <c r="K44" s="20" t="str">
        <f t="shared" si="4"/>
        <v/>
      </c>
      <c r="L44" s="20" t="str">
        <f t="shared" si="4"/>
        <v/>
      </c>
      <c r="M44" s="20" t="str">
        <f t="shared" si="4"/>
        <v/>
      </c>
      <c r="N44" s="20" t="str">
        <f t="shared" si="4"/>
        <v/>
      </c>
      <c r="O44" s="20" t="str">
        <f t="shared" si="4"/>
        <v/>
      </c>
      <c r="P44" s="20" t="str">
        <f t="shared" si="4"/>
        <v/>
      </c>
      <c r="Q44" s="20" t="str">
        <f t="shared" si="4"/>
        <v/>
      </c>
      <c r="R44" s="20" t="str">
        <f t="shared" si="4"/>
        <v/>
      </c>
      <c r="S44" s="20" t="str">
        <f t="shared" si="4"/>
        <v/>
      </c>
    </row>
    <row r="45" spans="4:19" x14ac:dyDescent="0.35">
      <c r="D45" s="9"/>
      <c r="E45" s="9"/>
      <c r="F45" s="9"/>
      <c r="G45" s="9"/>
      <c r="H45" s="9"/>
      <c r="I45" s="20"/>
      <c r="J45" s="20" t="str">
        <f t="shared" si="4"/>
        <v/>
      </c>
      <c r="K45" s="20" t="str">
        <f t="shared" si="4"/>
        <v/>
      </c>
      <c r="L45" s="20" t="str">
        <f t="shared" si="4"/>
        <v/>
      </c>
      <c r="M45" s="20" t="str">
        <f t="shared" si="4"/>
        <v/>
      </c>
      <c r="N45" s="20" t="str">
        <f t="shared" si="4"/>
        <v/>
      </c>
      <c r="O45" s="20" t="str">
        <f t="shared" si="4"/>
        <v/>
      </c>
      <c r="P45" s="20" t="str">
        <f t="shared" si="4"/>
        <v/>
      </c>
      <c r="Q45" s="20" t="str">
        <f t="shared" si="4"/>
        <v/>
      </c>
      <c r="R45" s="20" t="str">
        <f t="shared" si="4"/>
        <v/>
      </c>
      <c r="S45" s="20" t="str">
        <f t="shared" si="4"/>
        <v/>
      </c>
    </row>
    <row r="46" spans="4:19" x14ac:dyDescent="0.35">
      <c r="D46" s="9"/>
      <c r="E46" s="9"/>
      <c r="F46" s="9"/>
      <c r="G46" s="9"/>
      <c r="H46" s="9"/>
      <c r="I46" s="20"/>
      <c r="J46" s="20" t="str">
        <f t="shared" si="4"/>
        <v/>
      </c>
      <c r="K46" s="20" t="str">
        <f t="shared" si="4"/>
        <v/>
      </c>
      <c r="L46" s="20" t="str">
        <f t="shared" si="4"/>
        <v/>
      </c>
      <c r="M46" s="20" t="str">
        <f t="shared" si="4"/>
        <v/>
      </c>
      <c r="N46" s="20" t="str">
        <f t="shared" si="4"/>
        <v/>
      </c>
      <c r="O46" s="20" t="str">
        <f t="shared" si="4"/>
        <v/>
      </c>
      <c r="P46" s="20" t="str">
        <f t="shared" si="4"/>
        <v/>
      </c>
      <c r="Q46" s="20" t="str">
        <f t="shared" si="4"/>
        <v/>
      </c>
      <c r="R46" s="20" t="str">
        <f t="shared" si="4"/>
        <v/>
      </c>
      <c r="S46" s="20" t="str">
        <f t="shared" si="4"/>
        <v/>
      </c>
    </row>
    <row r="47" spans="4:19" x14ac:dyDescent="0.35">
      <c r="D47" s="9"/>
      <c r="E47" s="9"/>
      <c r="F47" s="9"/>
      <c r="G47" s="9"/>
      <c r="H47" s="9"/>
      <c r="I47" s="20"/>
      <c r="J47" s="20" t="str">
        <f t="shared" si="4"/>
        <v/>
      </c>
      <c r="K47" s="20" t="str">
        <f t="shared" si="4"/>
        <v/>
      </c>
      <c r="L47" s="20" t="str">
        <f t="shared" si="4"/>
        <v/>
      </c>
      <c r="M47" s="20" t="str">
        <f t="shared" si="4"/>
        <v/>
      </c>
      <c r="N47" s="20" t="str">
        <f t="shared" si="4"/>
        <v/>
      </c>
      <c r="O47" s="20" t="str">
        <f t="shared" si="4"/>
        <v/>
      </c>
      <c r="P47" s="20" t="str">
        <f t="shared" si="4"/>
        <v/>
      </c>
      <c r="Q47" s="20" t="str">
        <f t="shared" si="4"/>
        <v/>
      </c>
      <c r="R47" s="20" t="str">
        <f t="shared" si="4"/>
        <v/>
      </c>
      <c r="S47" s="20" t="str">
        <f t="shared" si="4"/>
        <v/>
      </c>
    </row>
    <row r="48" spans="4:19" x14ac:dyDescent="0.35">
      <c r="D48" s="9"/>
      <c r="E48" s="9"/>
      <c r="F48" s="9"/>
      <c r="G48" s="9"/>
      <c r="H48" s="9"/>
      <c r="I48" s="20"/>
      <c r="J48" s="20" t="str">
        <f t="shared" si="4"/>
        <v/>
      </c>
      <c r="K48" s="20" t="str">
        <f t="shared" si="4"/>
        <v/>
      </c>
      <c r="L48" s="20" t="str">
        <f t="shared" si="4"/>
        <v/>
      </c>
      <c r="M48" s="20" t="str">
        <f t="shared" si="4"/>
        <v/>
      </c>
      <c r="N48" s="20" t="str">
        <f t="shared" si="4"/>
        <v/>
      </c>
      <c r="O48" s="20" t="str">
        <f t="shared" si="4"/>
        <v/>
      </c>
      <c r="P48" s="20" t="str">
        <f t="shared" si="4"/>
        <v/>
      </c>
      <c r="Q48" s="20" t="str">
        <f t="shared" si="4"/>
        <v/>
      </c>
      <c r="R48" s="20" t="str">
        <f t="shared" si="4"/>
        <v/>
      </c>
      <c r="S48" s="20" t="str">
        <f t="shared" si="4"/>
        <v/>
      </c>
    </row>
    <row r="49" spans="4:19" x14ac:dyDescent="0.35">
      <c r="D49" s="9"/>
      <c r="E49" s="9"/>
      <c r="F49" s="9"/>
      <c r="G49" s="9"/>
      <c r="H49" s="9"/>
      <c r="I49" s="20"/>
      <c r="J49" s="20" t="str">
        <f t="shared" si="4"/>
        <v/>
      </c>
      <c r="K49" s="20" t="str">
        <f t="shared" si="4"/>
        <v/>
      </c>
      <c r="L49" s="20" t="str">
        <f t="shared" si="4"/>
        <v/>
      </c>
      <c r="M49" s="20" t="str">
        <f t="shared" si="4"/>
        <v/>
      </c>
      <c r="N49" s="20" t="str">
        <f t="shared" si="4"/>
        <v/>
      </c>
      <c r="O49" s="20" t="str">
        <f t="shared" si="4"/>
        <v/>
      </c>
      <c r="P49" s="20" t="str">
        <f t="shared" si="4"/>
        <v/>
      </c>
      <c r="Q49" s="20" t="str">
        <f t="shared" si="4"/>
        <v/>
      </c>
      <c r="R49" s="20" t="str">
        <f t="shared" si="4"/>
        <v/>
      </c>
      <c r="S49" s="20" t="str">
        <f t="shared" si="4"/>
        <v/>
      </c>
    </row>
    <row r="50" spans="4:19" ht="15" thickBot="1" x14ac:dyDescent="0.4">
      <c r="D50" s="10"/>
      <c r="E50" s="10"/>
      <c r="F50" s="10"/>
      <c r="G50" s="10"/>
      <c r="H50" s="10"/>
      <c r="I50" s="28"/>
      <c r="J50" s="28" t="str">
        <f t="shared" si="4"/>
        <v/>
      </c>
      <c r="K50" s="28" t="str">
        <f t="shared" si="4"/>
        <v/>
      </c>
      <c r="L50" s="28" t="str">
        <f t="shared" si="4"/>
        <v/>
      </c>
      <c r="M50" s="28" t="str">
        <f t="shared" si="4"/>
        <v/>
      </c>
      <c r="N50" s="28" t="str">
        <f t="shared" si="4"/>
        <v/>
      </c>
      <c r="O50" s="28" t="str">
        <f t="shared" si="4"/>
        <v/>
      </c>
      <c r="P50" s="28" t="str">
        <f t="shared" si="4"/>
        <v/>
      </c>
      <c r="Q50" s="28" t="str">
        <f t="shared" si="4"/>
        <v/>
      </c>
      <c r="R50" s="28" t="str">
        <f t="shared" si="4"/>
        <v/>
      </c>
      <c r="S50" s="28" t="str">
        <f t="shared" si="4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5">
    <dataValidation type="list" allowBlank="1" showInputMessage="1" showErrorMessage="1" sqref="E5:E50">
      <formula1>MineQuality</formula1>
    </dataValidation>
    <dataValidation type="list" allowBlank="1" showInputMessage="1" showErrorMessage="1" sqref="D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A2" sqref="A2"/>
    </sheetView>
  </sheetViews>
  <sheetFormatPr defaultColWidth="11.54296875" defaultRowHeight="14.5" outlineLevelCol="1" x14ac:dyDescent="0.35"/>
  <cols>
    <col min="1" max="3" width="3.81640625" style="5" customWidth="1"/>
    <col min="4" max="4" width="20.81640625" style="5" customWidth="1"/>
    <col min="5" max="7" width="15.816406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9" s="131" customFormat="1" ht="25" customHeight="1" x14ac:dyDescent="0.35">
      <c r="B1" s="133" t="s">
        <v>349</v>
      </c>
    </row>
    <row r="3" spans="2:19" ht="15" thickBot="1" x14ac:dyDescent="0.4">
      <c r="D3" s="38" t="str">
        <f>JESA_UploadTable(B1,D4:S70)</f>
        <v>beneficiation_opex___specific_consumptions Saved! @08:24:13</v>
      </c>
    </row>
    <row r="4" spans="2:19" ht="30" customHeight="1" thickBot="1" x14ac:dyDescent="0.4">
      <c r="D4" s="136" t="s">
        <v>25</v>
      </c>
      <c r="E4" s="136" t="s">
        <v>347</v>
      </c>
      <c r="F4" s="135" t="s">
        <v>348</v>
      </c>
      <c r="G4" s="135" t="s">
        <v>12</v>
      </c>
      <c r="H4" s="137" t="s">
        <v>17</v>
      </c>
      <c r="I4" s="138" t="s">
        <v>37</v>
      </c>
      <c r="J4" s="138" t="s">
        <v>38</v>
      </c>
      <c r="K4" s="138" t="s">
        <v>39</v>
      </c>
      <c r="L4" s="138" t="s">
        <v>40</v>
      </c>
      <c r="M4" s="138" t="s">
        <v>41</v>
      </c>
      <c r="N4" s="138" t="s">
        <v>42</v>
      </c>
      <c r="O4" s="138" t="s">
        <v>43</v>
      </c>
      <c r="P4" s="138" t="s">
        <v>44</v>
      </c>
      <c r="Q4" s="138" t="s">
        <v>45</v>
      </c>
      <c r="R4" s="138" t="s">
        <v>46</v>
      </c>
      <c r="S4" s="138" t="s">
        <v>47</v>
      </c>
    </row>
    <row r="5" spans="2:19" x14ac:dyDescent="0.35">
      <c r="D5" s="8" t="s">
        <v>352</v>
      </c>
      <c r="E5" s="8" t="s">
        <v>20</v>
      </c>
      <c r="F5" s="8" t="s">
        <v>371</v>
      </c>
      <c r="G5" s="8" t="s">
        <v>22</v>
      </c>
      <c r="H5" s="8" t="s">
        <v>132</v>
      </c>
      <c r="I5" s="17">
        <v>5.3</v>
      </c>
      <c r="J5" s="17">
        <v>5.3</v>
      </c>
      <c r="K5" s="17">
        <v>5.3</v>
      </c>
      <c r="L5" s="17">
        <v>5.3</v>
      </c>
      <c r="M5" s="17">
        <v>5.3</v>
      </c>
      <c r="N5" s="17">
        <v>5.3</v>
      </c>
      <c r="O5" s="17">
        <v>5.3</v>
      </c>
      <c r="P5" s="17">
        <v>5.3</v>
      </c>
      <c r="Q5" s="17">
        <v>5.3</v>
      </c>
      <c r="R5" s="17">
        <v>5.3</v>
      </c>
      <c r="S5" s="17">
        <v>5.3</v>
      </c>
    </row>
    <row r="6" spans="2:19" x14ac:dyDescent="0.35">
      <c r="D6" s="9" t="s">
        <v>352</v>
      </c>
      <c r="E6" s="9" t="s">
        <v>20</v>
      </c>
      <c r="F6" s="9" t="s">
        <v>371</v>
      </c>
      <c r="G6" s="9" t="s">
        <v>15</v>
      </c>
      <c r="H6" s="9" t="s">
        <v>65</v>
      </c>
      <c r="I6" s="18">
        <v>6</v>
      </c>
      <c r="J6" s="18">
        <v>6</v>
      </c>
      <c r="K6" s="18">
        <v>6</v>
      </c>
      <c r="L6" s="18">
        <v>6</v>
      </c>
      <c r="M6" s="18">
        <v>6</v>
      </c>
      <c r="N6" s="18">
        <v>6</v>
      </c>
      <c r="O6" s="18">
        <v>6</v>
      </c>
      <c r="P6" s="18">
        <v>6</v>
      </c>
      <c r="Q6" s="18">
        <v>6</v>
      </c>
      <c r="R6" s="18">
        <v>6</v>
      </c>
      <c r="S6" s="18">
        <v>6</v>
      </c>
    </row>
    <row r="7" spans="2:19" x14ac:dyDescent="0.35">
      <c r="D7" s="9" t="s">
        <v>352</v>
      </c>
      <c r="E7" s="9" t="s">
        <v>20</v>
      </c>
      <c r="F7" s="9" t="s">
        <v>371</v>
      </c>
      <c r="G7" s="9" t="s">
        <v>22</v>
      </c>
      <c r="H7" s="9" t="s">
        <v>132</v>
      </c>
      <c r="I7" s="18">
        <v>5.5</v>
      </c>
      <c r="J7" s="18">
        <v>5.5</v>
      </c>
      <c r="K7" s="18">
        <v>5.5</v>
      </c>
      <c r="L7" s="18">
        <v>5.5</v>
      </c>
      <c r="M7" s="18">
        <v>5.5</v>
      </c>
      <c r="N7" s="18">
        <v>5.5</v>
      </c>
      <c r="O7" s="18">
        <v>5.5</v>
      </c>
      <c r="P7" s="18">
        <v>5.5</v>
      </c>
      <c r="Q7" s="18">
        <v>5.5</v>
      </c>
      <c r="R7" s="18">
        <v>5.5</v>
      </c>
      <c r="S7" s="18">
        <v>5.5</v>
      </c>
    </row>
    <row r="8" spans="2:19" x14ac:dyDescent="0.35">
      <c r="D8" s="9" t="s">
        <v>352</v>
      </c>
      <c r="E8" s="9" t="s">
        <v>19</v>
      </c>
      <c r="F8" s="9" t="s">
        <v>372</v>
      </c>
      <c r="G8" s="9" t="s">
        <v>13</v>
      </c>
      <c r="H8" s="9" t="s">
        <v>61</v>
      </c>
      <c r="I8" s="18">
        <v>4</v>
      </c>
      <c r="J8" s="18">
        <v>4</v>
      </c>
      <c r="K8" s="18">
        <v>4</v>
      </c>
      <c r="L8" s="18">
        <v>4</v>
      </c>
      <c r="M8" s="18">
        <v>4</v>
      </c>
      <c r="N8" s="18">
        <v>4</v>
      </c>
      <c r="O8" s="18">
        <v>4</v>
      </c>
      <c r="P8" s="18">
        <v>4</v>
      </c>
      <c r="Q8" s="18">
        <v>4</v>
      </c>
      <c r="R8" s="18">
        <v>4</v>
      </c>
      <c r="S8" s="18">
        <v>4</v>
      </c>
    </row>
    <row r="9" spans="2:19" x14ac:dyDescent="0.35">
      <c r="D9" s="9" t="s">
        <v>352</v>
      </c>
      <c r="E9" s="9" t="s">
        <v>19</v>
      </c>
      <c r="F9" s="9" t="s">
        <v>372</v>
      </c>
      <c r="G9" s="9" t="s">
        <v>15</v>
      </c>
      <c r="H9" s="9" t="s">
        <v>65</v>
      </c>
      <c r="I9" s="18">
        <v>6</v>
      </c>
      <c r="J9" s="18">
        <v>6</v>
      </c>
      <c r="K9" s="18">
        <v>6</v>
      </c>
      <c r="L9" s="18">
        <v>6</v>
      </c>
      <c r="M9" s="18">
        <v>6</v>
      </c>
      <c r="N9" s="18">
        <v>6</v>
      </c>
      <c r="O9" s="18">
        <v>6</v>
      </c>
      <c r="P9" s="18">
        <v>6</v>
      </c>
      <c r="Q9" s="18">
        <v>6</v>
      </c>
      <c r="R9" s="18">
        <v>6</v>
      </c>
      <c r="S9" s="18">
        <v>6</v>
      </c>
    </row>
    <row r="10" spans="2:19" x14ac:dyDescent="0.35">
      <c r="D10" s="9" t="s">
        <v>352</v>
      </c>
      <c r="E10" s="9" t="s">
        <v>19</v>
      </c>
      <c r="F10" s="9" t="s">
        <v>372</v>
      </c>
      <c r="G10" s="9" t="s">
        <v>22</v>
      </c>
      <c r="H10" s="9" t="s">
        <v>132</v>
      </c>
      <c r="I10" s="18">
        <v>5.5</v>
      </c>
      <c r="J10" s="18">
        <v>5.5</v>
      </c>
      <c r="K10" s="18">
        <v>5.5</v>
      </c>
      <c r="L10" s="18">
        <v>5.5</v>
      </c>
      <c r="M10" s="18">
        <v>5.5</v>
      </c>
      <c r="N10" s="18">
        <v>5.5</v>
      </c>
      <c r="O10" s="18">
        <v>5.5</v>
      </c>
      <c r="P10" s="18">
        <v>5.5</v>
      </c>
      <c r="Q10" s="18">
        <v>5.5</v>
      </c>
      <c r="R10" s="18">
        <v>5.5</v>
      </c>
      <c r="S10" s="18">
        <v>5.5</v>
      </c>
    </row>
    <row r="11" spans="2:19" x14ac:dyDescent="0.35">
      <c r="D11" s="9" t="s">
        <v>352</v>
      </c>
      <c r="E11" s="9" t="s">
        <v>18</v>
      </c>
      <c r="F11" s="9" t="s">
        <v>373</v>
      </c>
      <c r="G11" s="9" t="s">
        <v>13</v>
      </c>
      <c r="H11" s="9" t="s">
        <v>61</v>
      </c>
      <c r="I11" s="18">
        <v>4</v>
      </c>
      <c r="J11" s="18">
        <v>4</v>
      </c>
      <c r="K11" s="18">
        <v>4</v>
      </c>
      <c r="L11" s="18">
        <v>4</v>
      </c>
      <c r="M11" s="18">
        <v>4</v>
      </c>
      <c r="N11" s="18">
        <v>4</v>
      </c>
      <c r="O11" s="18">
        <v>4</v>
      </c>
      <c r="P11" s="18">
        <v>4</v>
      </c>
      <c r="Q11" s="18">
        <v>4</v>
      </c>
      <c r="R11" s="18">
        <v>4</v>
      </c>
      <c r="S11" s="18">
        <v>4</v>
      </c>
    </row>
    <row r="12" spans="2:19" x14ac:dyDescent="0.35">
      <c r="D12" s="9" t="s">
        <v>352</v>
      </c>
      <c r="E12" s="9" t="s">
        <v>18</v>
      </c>
      <c r="F12" s="9" t="s">
        <v>373</v>
      </c>
      <c r="G12" s="9" t="s">
        <v>15</v>
      </c>
      <c r="H12" s="9" t="s">
        <v>65</v>
      </c>
      <c r="I12" s="18">
        <v>6</v>
      </c>
      <c r="J12" s="18">
        <v>6</v>
      </c>
      <c r="K12" s="18">
        <v>6</v>
      </c>
      <c r="L12" s="18">
        <v>6</v>
      </c>
      <c r="M12" s="18">
        <v>6</v>
      </c>
      <c r="N12" s="18">
        <v>6</v>
      </c>
      <c r="O12" s="18">
        <v>6</v>
      </c>
      <c r="P12" s="18">
        <v>6</v>
      </c>
      <c r="Q12" s="18">
        <v>6</v>
      </c>
      <c r="R12" s="18">
        <v>6</v>
      </c>
      <c r="S12" s="18">
        <v>6</v>
      </c>
    </row>
    <row r="13" spans="2:19" x14ac:dyDescent="0.35">
      <c r="D13" s="9" t="s">
        <v>352</v>
      </c>
      <c r="E13" s="9" t="s">
        <v>18</v>
      </c>
      <c r="F13" s="9" t="s">
        <v>373</v>
      </c>
      <c r="G13" s="9" t="s">
        <v>22</v>
      </c>
      <c r="H13" s="9" t="s">
        <v>132</v>
      </c>
      <c r="I13" s="18">
        <v>5.5</v>
      </c>
      <c r="J13" s="18">
        <v>5.5</v>
      </c>
      <c r="K13" s="18">
        <v>5.5</v>
      </c>
      <c r="L13" s="18">
        <v>5.5</v>
      </c>
      <c r="M13" s="18">
        <v>5.5</v>
      </c>
      <c r="N13" s="18">
        <v>5.5</v>
      </c>
      <c r="O13" s="18">
        <v>5.5</v>
      </c>
      <c r="P13" s="18">
        <v>5.5</v>
      </c>
      <c r="Q13" s="18">
        <v>5.5</v>
      </c>
      <c r="R13" s="18">
        <v>5.5</v>
      </c>
      <c r="S13" s="18">
        <v>5.5</v>
      </c>
    </row>
    <row r="14" spans="2:19" x14ac:dyDescent="0.35">
      <c r="D14" s="9" t="s">
        <v>352</v>
      </c>
      <c r="E14" s="9" t="s">
        <v>20</v>
      </c>
      <c r="F14" s="9" t="s">
        <v>371</v>
      </c>
      <c r="G14" s="9" t="s">
        <v>13</v>
      </c>
      <c r="H14" s="9" t="s">
        <v>61</v>
      </c>
      <c r="I14" s="18">
        <v>4</v>
      </c>
      <c r="J14" s="18">
        <v>4</v>
      </c>
      <c r="K14" s="18">
        <v>4</v>
      </c>
      <c r="L14" s="18">
        <v>4</v>
      </c>
      <c r="M14" s="18">
        <v>4</v>
      </c>
      <c r="N14" s="18">
        <v>4</v>
      </c>
      <c r="O14" s="18">
        <v>4</v>
      </c>
      <c r="P14" s="18">
        <v>4</v>
      </c>
      <c r="Q14" s="18">
        <v>4</v>
      </c>
      <c r="R14" s="18">
        <v>4</v>
      </c>
      <c r="S14" s="18">
        <v>4</v>
      </c>
    </row>
    <row r="15" spans="2:19" x14ac:dyDescent="0.35">
      <c r="D15" s="9" t="s">
        <v>352</v>
      </c>
      <c r="E15" s="9" t="s">
        <v>20</v>
      </c>
      <c r="F15" s="9" t="s">
        <v>371</v>
      </c>
      <c r="G15" s="9" t="s">
        <v>15</v>
      </c>
      <c r="H15" s="9" t="s">
        <v>65</v>
      </c>
      <c r="I15" s="18">
        <v>6</v>
      </c>
      <c r="J15" s="18">
        <v>6</v>
      </c>
      <c r="K15" s="18">
        <v>6</v>
      </c>
      <c r="L15" s="18">
        <v>6</v>
      </c>
      <c r="M15" s="18">
        <v>6</v>
      </c>
      <c r="N15" s="18">
        <v>6</v>
      </c>
      <c r="O15" s="18">
        <v>6</v>
      </c>
      <c r="P15" s="18">
        <v>6</v>
      </c>
      <c r="Q15" s="18">
        <v>6</v>
      </c>
      <c r="R15" s="18">
        <v>6</v>
      </c>
      <c r="S15" s="18">
        <v>6</v>
      </c>
    </row>
    <row r="16" spans="2:19" x14ac:dyDescent="0.35">
      <c r="D16" s="9" t="s">
        <v>352</v>
      </c>
      <c r="E16" s="9" t="s">
        <v>20</v>
      </c>
      <c r="F16" s="9" t="s">
        <v>371</v>
      </c>
      <c r="G16" s="9" t="s">
        <v>22</v>
      </c>
      <c r="H16" s="9" t="s">
        <v>132</v>
      </c>
      <c r="I16" s="18">
        <v>5.5</v>
      </c>
      <c r="J16" s="18">
        <v>5.5</v>
      </c>
      <c r="K16" s="18">
        <v>5.5</v>
      </c>
      <c r="L16" s="18">
        <v>5.5</v>
      </c>
      <c r="M16" s="18">
        <v>5.5</v>
      </c>
      <c r="N16" s="18">
        <v>5.5</v>
      </c>
      <c r="O16" s="18">
        <v>5.5</v>
      </c>
      <c r="P16" s="18">
        <v>5.5</v>
      </c>
      <c r="Q16" s="18">
        <v>5.5</v>
      </c>
      <c r="R16" s="18">
        <v>5.5</v>
      </c>
      <c r="S16" s="18">
        <v>5.5</v>
      </c>
    </row>
    <row r="17" spans="4:19" x14ac:dyDescent="0.35">
      <c r="D17" s="9" t="s">
        <v>352</v>
      </c>
      <c r="E17" s="9" t="s">
        <v>19</v>
      </c>
      <c r="F17" s="9" t="s">
        <v>372</v>
      </c>
      <c r="G17" s="9" t="s">
        <v>13</v>
      </c>
      <c r="H17" s="9" t="s">
        <v>61</v>
      </c>
      <c r="I17" s="18">
        <v>4</v>
      </c>
      <c r="J17" s="18">
        <v>4</v>
      </c>
      <c r="K17" s="18">
        <v>4</v>
      </c>
      <c r="L17" s="18">
        <v>4</v>
      </c>
      <c r="M17" s="18">
        <v>4</v>
      </c>
      <c r="N17" s="18">
        <v>4</v>
      </c>
      <c r="O17" s="18">
        <v>4</v>
      </c>
      <c r="P17" s="18">
        <v>4</v>
      </c>
      <c r="Q17" s="18">
        <v>4</v>
      </c>
      <c r="R17" s="18">
        <v>4</v>
      </c>
      <c r="S17" s="18">
        <v>4</v>
      </c>
    </row>
    <row r="18" spans="4:19" x14ac:dyDescent="0.35">
      <c r="D18" s="9" t="s">
        <v>352</v>
      </c>
      <c r="E18" s="9" t="s">
        <v>19</v>
      </c>
      <c r="F18" s="9" t="s">
        <v>372</v>
      </c>
      <c r="G18" s="9" t="s">
        <v>15</v>
      </c>
      <c r="H18" s="9" t="s">
        <v>65</v>
      </c>
      <c r="I18" s="18">
        <v>6</v>
      </c>
      <c r="J18" s="18">
        <v>6</v>
      </c>
      <c r="K18" s="18">
        <v>6</v>
      </c>
      <c r="L18" s="18">
        <v>6</v>
      </c>
      <c r="M18" s="18">
        <v>6</v>
      </c>
      <c r="N18" s="18">
        <v>6</v>
      </c>
      <c r="O18" s="18">
        <v>6</v>
      </c>
      <c r="P18" s="18">
        <v>6</v>
      </c>
      <c r="Q18" s="18">
        <v>6</v>
      </c>
      <c r="R18" s="18">
        <v>6</v>
      </c>
      <c r="S18" s="18">
        <v>6</v>
      </c>
    </row>
    <row r="19" spans="4:19" x14ac:dyDescent="0.35">
      <c r="D19" s="9" t="s">
        <v>352</v>
      </c>
      <c r="E19" s="9" t="s">
        <v>19</v>
      </c>
      <c r="F19" s="9" t="s">
        <v>372</v>
      </c>
      <c r="G19" s="9" t="s">
        <v>22</v>
      </c>
      <c r="H19" s="9" t="s">
        <v>132</v>
      </c>
      <c r="I19" s="18">
        <v>5.5</v>
      </c>
      <c r="J19" s="18">
        <v>5.5</v>
      </c>
      <c r="K19" s="18">
        <v>5.5</v>
      </c>
      <c r="L19" s="18">
        <v>5.5</v>
      </c>
      <c r="M19" s="18">
        <v>5.5</v>
      </c>
      <c r="N19" s="18">
        <v>5.5</v>
      </c>
      <c r="O19" s="18">
        <v>5.5</v>
      </c>
      <c r="P19" s="18">
        <v>5.5</v>
      </c>
      <c r="Q19" s="18">
        <v>5.5</v>
      </c>
      <c r="R19" s="18">
        <v>5.5</v>
      </c>
      <c r="S19" s="18">
        <v>5.5</v>
      </c>
    </row>
    <row r="20" spans="4:19" x14ac:dyDescent="0.35">
      <c r="D20" s="9" t="s">
        <v>352</v>
      </c>
      <c r="E20" s="9" t="s">
        <v>18</v>
      </c>
      <c r="F20" s="9" t="s">
        <v>373</v>
      </c>
      <c r="G20" s="9" t="s">
        <v>13</v>
      </c>
      <c r="H20" s="9" t="s">
        <v>61</v>
      </c>
      <c r="I20" s="18">
        <v>4</v>
      </c>
      <c r="J20" s="18">
        <v>4</v>
      </c>
      <c r="K20" s="18">
        <v>4</v>
      </c>
      <c r="L20" s="18">
        <v>4</v>
      </c>
      <c r="M20" s="18">
        <v>4</v>
      </c>
      <c r="N20" s="18">
        <v>4</v>
      </c>
      <c r="O20" s="18">
        <v>4</v>
      </c>
      <c r="P20" s="18">
        <v>4</v>
      </c>
      <c r="Q20" s="18">
        <v>4</v>
      </c>
      <c r="R20" s="18">
        <v>4</v>
      </c>
      <c r="S20" s="18">
        <v>4</v>
      </c>
    </row>
    <row r="21" spans="4:19" x14ac:dyDescent="0.35">
      <c r="D21" s="9" t="s">
        <v>352</v>
      </c>
      <c r="E21" s="9" t="s">
        <v>18</v>
      </c>
      <c r="F21" s="9" t="s">
        <v>373</v>
      </c>
      <c r="G21" s="9" t="s">
        <v>15</v>
      </c>
      <c r="H21" s="9" t="s">
        <v>65</v>
      </c>
      <c r="I21" s="18">
        <v>6</v>
      </c>
      <c r="J21" s="18">
        <v>6</v>
      </c>
      <c r="K21" s="18">
        <v>6</v>
      </c>
      <c r="L21" s="18">
        <v>6</v>
      </c>
      <c r="M21" s="18">
        <v>6</v>
      </c>
      <c r="N21" s="18">
        <v>6</v>
      </c>
      <c r="O21" s="18">
        <v>6</v>
      </c>
      <c r="P21" s="18">
        <v>6</v>
      </c>
      <c r="Q21" s="18">
        <v>6</v>
      </c>
      <c r="R21" s="18">
        <v>6</v>
      </c>
      <c r="S21" s="18">
        <v>6</v>
      </c>
    </row>
    <row r="22" spans="4:19" x14ac:dyDescent="0.35">
      <c r="D22" s="9" t="s">
        <v>352</v>
      </c>
      <c r="E22" s="9" t="s">
        <v>18</v>
      </c>
      <c r="F22" s="9" t="s">
        <v>373</v>
      </c>
      <c r="G22" s="9" t="s">
        <v>22</v>
      </c>
      <c r="H22" s="9" t="s">
        <v>132</v>
      </c>
      <c r="I22" s="18">
        <v>5.5</v>
      </c>
      <c r="J22" s="18">
        <v>5.5</v>
      </c>
      <c r="K22" s="18">
        <v>5.5</v>
      </c>
      <c r="L22" s="18">
        <v>5.5</v>
      </c>
      <c r="M22" s="18">
        <v>5.5</v>
      </c>
      <c r="N22" s="18">
        <v>5.5</v>
      </c>
      <c r="O22" s="18">
        <v>5.5</v>
      </c>
      <c r="P22" s="18">
        <v>5.5</v>
      </c>
      <c r="Q22" s="18">
        <v>5.5</v>
      </c>
      <c r="R22" s="18">
        <v>5.5</v>
      </c>
      <c r="S22" s="18">
        <v>5.5</v>
      </c>
    </row>
    <row r="23" spans="4:19" x14ac:dyDescent="0.35">
      <c r="D23" s="9" t="s">
        <v>352</v>
      </c>
      <c r="E23" s="9" t="s">
        <v>20</v>
      </c>
      <c r="F23" s="9" t="s">
        <v>371</v>
      </c>
      <c r="G23" s="9" t="s">
        <v>13</v>
      </c>
      <c r="H23" s="9" t="s">
        <v>61</v>
      </c>
      <c r="I23" s="18">
        <v>4</v>
      </c>
      <c r="J23" s="18">
        <v>4</v>
      </c>
      <c r="K23" s="18">
        <v>4</v>
      </c>
      <c r="L23" s="18">
        <v>4</v>
      </c>
      <c r="M23" s="18">
        <v>4</v>
      </c>
      <c r="N23" s="18">
        <v>4</v>
      </c>
      <c r="O23" s="18">
        <v>4</v>
      </c>
      <c r="P23" s="18">
        <v>4</v>
      </c>
      <c r="Q23" s="18">
        <v>4</v>
      </c>
      <c r="R23" s="18">
        <v>4</v>
      </c>
      <c r="S23" s="18">
        <v>4</v>
      </c>
    </row>
    <row r="24" spans="4:19" x14ac:dyDescent="0.35">
      <c r="D24" s="9" t="s">
        <v>352</v>
      </c>
      <c r="E24" s="9" t="s">
        <v>20</v>
      </c>
      <c r="F24" s="9" t="s">
        <v>371</v>
      </c>
      <c r="G24" s="9" t="s">
        <v>15</v>
      </c>
      <c r="H24" s="9" t="s">
        <v>65</v>
      </c>
      <c r="I24" s="18">
        <v>6</v>
      </c>
      <c r="J24" s="18">
        <v>6</v>
      </c>
      <c r="K24" s="18">
        <v>6</v>
      </c>
      <c r="L24" s="18">
        <v>6</v>
      </c>
      <c r="M24" s="18">
        <v>6</v>
      </c>
      <c r="N24" s="18">
        <v>6</v>
      </c>
      <c r="O24" s="18">
        <v>6</v>
      </c>
      <c r="P24" s="18">
        <v>6</v>
      </c>
      <c r="Q24" s="18">
        <v>6</v>
      </c>
      <c r="R24" s="18">
        <v>6</v>
      </c>
      <c r="S24" s="18">
        <v>6</v>
      </c>
    </row>
    <row r="25" spans="4:19" x14ac:dyDescent="0.35">
      <c r="D25" s="9" t="s">
        <v>352</v>
      </c>
      <c r="E25" s="9" t="s">
        <v>20</v>
      </c>
      <c r="F25" s="9" t="s">
        <v>371</v>
      </c>
      <c r="G25" s="9" t="s">
        <v>22</v>
      </c>
      <c r="H25" s="9" t="s">
        <v>132</v>
      </c>
      <c r="I25" s="18">
        <v>5.5</v>
      </c>
      <c r="J25" s="18">
        <v>5.5</v>
      </c>
      <c r="K25" s="18">
        <v>5.5</v>
      </c>
      <c r="L25" s="18">
        <v>5.5</v>
      </c>
      <c r="M25" s="18">
        <v>5.5</v>
      </c>
      <c r="N25" s="18">
        <v>5.5</v>
      </c>
      <c r="O25" s="18">
        <v>5.5</v>
      </c>
      <c r="P25" s="18">
        <v>5.5</v>
      </c>
      <c r="Q25" s="18">
        <v>5.5</v>
      </c>
      <c r="R25" s="18">
        <v>5.5</v>
      </c>
      <c r="S25" s="18">
        <v>5.5</v>
      </c>
    </row>
    <row r="26" spans="4:19" x14ac:dyDescent="0.35">
      <c r="D26" s="9" t="s">
        <v>352</v>
      </c>
      <c r="E26" s="9" t="s">
        <v>19</v>
      </c>
      <c r="F26" s="9" t="s">
        <v>372</v>
      </c>
      <c r="G26" s="9" t="s">
        <v>13</v>
      </c>
      <c r="H26" s="9" t="s">
        <v>61</v>
      </c>
      <c r="I26" s="18">
        <v>4</v>
      </c>
      <c r="J26" s="18">
        <v>4</v>
      </c>
      <c r="K26" s="18">
        <v>4</v>
      </c>
      <c r="L26" s="18">
        <v>4</v>
      </c>
      <c r="M26" s="18">
        <v>4</v>
      </c>
      <c r="N26" s="18">
        <v>4</v>
      </c>
      <c r="O26" s="18">
        <v>4</v>
      </c>
      <c r="P26" s="18">
        <v>4</v>
      </c>
      <c r="Q26" s="18">
        <v>4</v>
      </c>
      <c r="R26" s="18">
        <v>4</v>
      </c>
      <c r="S26" s="18">
        <v>4</v>
      </c>
    </row>
    <row r="27" spans="4:19" x14ac:dyDescent="0.35">
      <c r="D27" s="9" t="s">
        <v>352</v>
      </c>
      <c r="E27" s="9" t="s">
        <v>19</v>
      </c>
      <c r="F27" s="9" t="s">
        <v>372</v>
      </c>
      <c r="G27" s="9" t="s">
        <v>15</v>
      </c>
      <c r="H27" s="9" t="s">
        <v>65</v>
      </c>
      <c r="I27" s="18">
        <v>6</v>
      </c>
      <c r="J27" s="18">
        <v>6</v>
      </c>
      <c r="K27" s="18">
        <v>6</v>
      </c>
      <c r="L27" s="18">
        <v>6</v>
      </c>
      <c r="M27" s="18">
        <v>6</v>
      </c>
      <c r="N27" s="18">
        <v>6</v>
      </c>
      <c r="O27" s="18">
        <v>6</v>
      </c>
      <c r="P27" s="18">
        <v>6</v>
      </c>
      <c r="Q27" s="18">
        <v>6</v>
      </c>
      <c r="R27" s="18">
        <v>6</v>
      </c>
      <c r="S27" s="18">
        <v>6</v>
      </c>
    </row>
    <row r="28" spans="4:19" x14ac:dyDescent="0.35">
      <c r="D28" s="9" t="s">
        <v>352</v>
      </c>
      <c r="E28" s="9" t="s">
        <v>19</v>
      </c>
      <c r="F28" s="9" t="s">
        <v>372</v>
      </c>
      <c r="G28" s="9" t="s">
        <v>22</v>
      </c>
      <c r="H28" s="9" t="s">
        <v>132</v>
      </c>
      <c r="I28" s="18">
        <v>5.5</v>
      </c>
      <c r="J28" s="18">
        <v>5.5</v>
      </c>
      <c r="K28" s="18">
        <v>5.5</v>
      </c>
      <c r="L28" s="18">
        <v>5.5</v>
      </c>
      <c r="M28" s="18">
        <v>5.5</v>
      </c>
      <c r="N28" s="18">
        <v>5.5</v>
      </c>
      <c r="O28" s="18">
        <v>5.5</v>
      </c>
      <c r="P28" s="18">
        <v>5.5</v>
      </c>
      <c r="Q28" s="18">
        <v>5.5</v>
      </c>
      <c r="R28" s="18">
        <v>5.5</v>
      </c>
      <c r="S28" s="18">
        <v>5.5</v>
      </c>
    </row>
    <row r="29" spans="4:19" x14ac:dyDescent="0.35">
      <c r="D29" s="9" t="s">
        <v>352</v>
      </c>
      <c r="E29" s="9" t="s">
        <v>18</v>
      </c>
      <c r="F29" s="9" t="s">
        <v>373</v>
      </c>
      <c r="G29" s="9" t="s">
        <v>13</v>
      </c>
      <c r="H29" s="9" t="s">
        <v>61</v>
      </c>
      <c r="I29" s="18">
        <v>4</v>
      </c>
      <c r="J29" s="18">
        <v>4</v>
      </c>
      <c r="K29" s="18">
        <v>4</v>
      </c>
      <c r="L29" s="18">
        <v>4</v>
      </c>
      <c r="M29" s="18">
        <v>4</v>
      </c>
      <c r="N29" s="18">
        <v>4</v>
      </c>
      <c r="O29" s="18">
        <v>4</v>
      </c>
      <c r="P29" s="18">
        <v>4</v>
      </c>
      <c r="Q29" s="18">
        <v>4</v>
      </c>
      <c r="R29" s="18">
        <v>4</v>
      </c>
      <c r="S29" s="18">
        <v>4</v>
      </c>
    </row>
    <row r="30" spans="4:19" x14ac:dyDescent="0.35">
      <c r="D30" s="9" t="s">
        <v>352</v>
      </c>
      <c r="E30" s="9" t="s">
        <v>18</v>
      </c>
      <c r="F30" s="9" t="s">
        <v>373</v>
      </c>
      <c r="G30" s="9" t="s">
        <v>15</v>
      </c>
      <c r="H30" s="9" t="s">
        <v>65</v>
      </c>
      <c r="I30" s="18">
        <v>6</v>
      </c>
      <c r="J30" s="18">
        <v>6</v>
      </c>
      <c r="K30" s="18">
        <v>6</v>
      </c>
      <c r="L30" s="18">
        <v>6</v>
      </c>
      <c r="M30" s="18">
        <v>6</v>
      </c>
      <c r="N30" s="18">
        <v>6</v>
      </c>
      <c r="O30" s="18">
        <v>6</v>
      </c>
      <c r="P30" s="18">
        <v>6</v>
      </c>
      <c r="Q30" s="18">
        <v>6</v>
      </c>
      <c r="R30" s="18">
        <v>6</v>
      </c>
      <c r="S30" s="18">
        <v>6</v>
      </c>
    </row>
    <row r="31" spans="4:19" x14ac:dyDescent="0.35">
      <c r="D31" s="9" t="s">
        <v>352</v>
      </c>
      <c r="E31" s="9" t="s">
        <v>18</v>
      </c>
      <c r="F31" s="9" t="s">
        <v>373</v>
      </c>
      <c r="G31" s="9" t="s">
        <v>22</v>
      </c>
      <c r="H31" s="9" t="s">
        <v>132</v>
      </c>
      <c r="I31" s="18">
        <v>5.5</v>
      </c>
      <c r="J31" s="18">
        <v>5.5</v>
      </c>
      <c r="K31" s="18">
        <v>5.5</v>
      </c>
      <c r="L31" s="18">
        <v>5.5</v>
      </c>
      <c r="M31" s="18">
        <v>5.5</v>
      </c>
      <c r="N31" s="18">
        <v>5.5</v>
      </c>
      <c r="O31" s="18">
        <v>5.5</v>
      </c>
      <c r="P31" s="18">
        <v>5.5</v>
      </c>
      <c r="Q31" s="18">
        <v>5.5</v>
      </c>
      <c r="R31" s="18">
        <v>5.5</v>
      </c>
      <c r="S31" s="18">
        <v>5.5</v>
      </c>
    </row>
    <row r="32" spans="4:19" x14ac:dyDescent="0.35">
      <c r="D32" s="9" t="s">
        <v>361</v>
      </c>
      <c r="E32" s="9" t="s">
        <v>20</v>
      </c>
      <c r="F32" s="9" t="s">
        <v>139</v>
      </c>
      <c r="G32" s="9" t="s">
        <v>13</v>
      </c>
      <c r="H32" s="9" t="s">
        <v>61</v>
      </c>
      <c r="I32" s="18">
        <v>4</v>
      </c>
      <c r="J32" s="18">
        <v>4</v>
      </c>
      <c r="K32" s="18">
        <v>4</v>
      </c>
      <c r="L32" s="18">
        <v>4</v>
      </c>
      <c r="M32" s="18">
        <v>4</v>
      </c>
      <c r="N32" s="18">
        <v>4</v>
      </c>
      <c r="O32" s="18">
        <v>4</v>
      </c>
      <c r="P32" s="18">
        <v>4</v>
      </c>
      <c r="Q32" s="18">
        <v>4</v>
      </c>
      <c r="R32" s="18">
        <v>4</v>
      </c>
      <c r="S32" s="18">
        <v>4</v>
      </c>
    </row>
    <row r="33" spans="4:19" x14ac:dyDescent="0.35">
      <c r="D33" s="9" t="s">
        <v>361</v>
      </c>
      <c r="E33" s="9" t="s">
        <v>20</v>
      </c>
      <c r="F33" s="9" t="s">
        <v>139</v>
      </c>
      <c r="G33" s="9" t="s">
        <v>15</v>
      </c>
      <c r="H33" s="9" t="s">
        <v>65</v>
      </c>
      <c r="I33" s="18">
        <v>6</v>
      </c>
      <c r="J33" s="18">
        <v>6</v>
      </c>
      <c r="K33" s="18">
        <v>6</v>
      </c>
      <c r="L33" s="18">
        <v>6</v>
      </c>
      <c r="M33" s="18">
        <v>6</v>
      </c>
      <c r="N33" s="18">
        <v>6</v>
      </c>
      <c r="O33" s="18">
        <v>6</v>
      </c>
      <c r="P33" s="18">
        <v>6</v>
      </c>
      <c r="Q33" s="18">
        <v>6</v>
      </c>
      <c r="R33" s="18">
        <v>6</v>
      </c>
      <c r="S33" s="18">
        <v>6</v>
      </c>
    </row>
    <row r="34" spans="4:19" x14ac:dyDescent="0.35">
      <c r="D34" s="9" t="s">
        <v>361</v>
      </c>
      <c r="E34" s="9" t="s">
        <v>20</v>
      </c>
      <c r="F34" s="9" t="s">
        <v>139</v>
      </c>
      <c r="G34" s="9" t="s">
        <v>22</v>
      </c>
      <c r="H34" s="9" t="s">
        <v>132</v>
      </c>
      <c r="I34" s="18">
        <v>11.5</v>
      </c>
      <c r="J34" s="18">
        <v>11.5</v>
      </c>
      <c r="K34" s="18">
        <v>11.5</v>
      </c>
      <c r="L34" s="18">
        <v>11.5</v>
      </c>
      <c r="M34" s="18">
        <v>11.5</v>
      </c>
      <c r="N34" s="18">
        <v>11.5</v>
      </c>
      <c r="O34" s="18">
        <v>11.5</v>
      </c>
      <c r="P34" s="18">
        <v>11.5</v>
      </c>
      <c r="Q34" s="18">
        <v>11.5</v>
      </c>
      <c r="R34" s="18">
        <v>11.5</v>
      </c>
      <c r="S34" s="18">
        <v>11.5</v>
      </c>
    </row>
    <row r="35" spans="4:19" x14ac:dyDescent="0.35">
      <c r="D35" s="9" t="s">
        <v>362</v>
      </c>
      <c r="E35" s="9" t="s">
        <v>20</v>
      </c>
      <c r="F35" s="9" t="s">
        <v>344</v>
      </c>
      <c r="G35" s="9" t="s">
        <v>13</v>
      </c>
      <c r="H35" s="9" t="s">
        <v>61</v>
      </c>
      <c r="I35" s="18">
        <v>4</v>
      </c>
      <c r="J35" s="18">
        <v>4</v>
      </c>
      <c r="K35" s="18">
        <v>4</v>
      </c>
      <c r="L35" s="18">
        <v>4</v>
      </c>
      <c r="M35" s="18">
        <v>4</v>
      </c>
      <c r="N35" s="18">
        <v>4</v>
      </c>
      <c r="O35" s="18">
        <v>4</v>
      </c>
      <c r="P35" s="18">
        <v>4</v>
      </c>
      <c r="Q35" s="18">
        <v>4</v>
      </c>
      <c r="R35" s="18">
        <v>4</v>
      </c>
      <c r="S35" s="18">
        <v>4</v>
      </c>
    </row>
    <row r="36" spans="4:19" x14ac:dyDescent="0.35">
      <c r="D36" s="9" t="s">
        <v>362</v>
      </c>
      <c r="E36" s="9" t="s">
        <v>20</v>
      </c>
      <c r="F36" s="9" t="s">
        <v>344</v>
      </c>
      <c r="G36" s="9" t="s">
        <v>15</v>
      </c>
      <c r="H36" s="9" t="s">
        <v>65</v>
      </c>
      <c r="I36" s="18">
        <v>6</v>
      </c>
      <c r="J36" s="18">
        <v>6</v>
      </c>
      <c r="K36" s="18">
        <v>6</v>
      </c>
      <c r="L36" s="18">
        <v>6</v>
      </c>
      <c r="M36" s="18">
        <v>6</v>
      </c>
      <c r="N36" s="18">
        <v>6</v>
      </c>
      <c r="O36" s="18">
        <v>6</v>
      </c>
      <c r="P36" s="18">
        <v>6</v>
      </c>
      <c r="Q36" s="18">
        <v>6</v>
      </c>
      <c r="R36" s="18">
        <v>6</v>
      </c>
      <c r="S36" s="18">
        <v>6</v>
      </c>
    </row>
    <row r="37" spans="4:19" x14ac:dyDescent="0.35">
      <c r="D37" s="9" t="s">
        <v>362</v>
      </c>
      <c r="E37" s="9" t="s">
        <v>20</v>
      </c>
      <c r="F37" s="9" t="s">
        <v>344</v>
      </c>
      <c r="G37" s="9" t="s">
        <v>22</v>
      </c>
      <c r="H37" s="9" t="s">
        <v>132</v>
      </c>
      <c r="I37" s="18">
        <v>14</v>
      </c>
      <c r="J37" s="18">
        <v>14</v>
      </c>
      <c r="K37" s="18">
        <v>14</v>
      </c>
      <c r="L37" s="18">
        <v>14</v>
      </c>
      <c r="M37" s="18">
        <v>14</v>
      </c>
      <c r="N37" s="18">
        <v>14</v>
      </c>
      <c r="O37" s="18">
        <v>14</v>
      </c>
      <c r="P37" s="18">
        <v>14</v>
      </c>
      <c r="Q37" s="18">
        <v>14</v>
      </c>
      <c r="R37" s="18">
        <v>14</v>
      </c>
      <c r="S37" s="18">
        <v>14</v>
      </c>
    </row>
    <row r="38" spans="4:19" x14ac:dyDescent="0.35">
      <c r="D38" s="9" t="s">
        <v>356</v>
      </c>
      <c r="E38" s="9" t="s">
        <v>18</v>
      </c>
      <c r="F38" s="9" t="s">
        <v>344</v>
      </c>
      <c r="G38" s="9" t="s">
        <v>13</v>
      </c>
      <c r="H38" s="9" t="s">
        <v>61</v>
      </c>
      <c r="I38" s="18">
        <v>4</v>
      </c>
      <c r="J38" s="18">
        <v>4</v>
      </c>
      <c r="K38" s="18">
        <v>4</v>
      </c>
      <c r="L38" s="18">
        <v>4</v>
      </c>
      <c r="M38" s="18">
        <v>4</v>
      </c>
      <c r="N38" s="18">
        <v>4</v>
      </c>
      <c r="O38" s="18">
        <v>4</v>
      </c>
      <c r="P38" s="18">
        <v>4</v>
      </c>
      <c r="Q38" s="18">
        <v>4</v>
      </c>
      <c r="R38" s="18">
        <v>4</v>
      </c>
      <c r="S38" s="18">
        <v>4</v>
      </c>
    </row>
    <row r="39" spans="4:19" x14ac:dyDescent="0.35">
      <c r="D39" s="9" t="s">
        <v>356</v>
      </c>
      <c r="E39" s="9" t="s">
        <v>18</v>
      </c>
      <c r="F39" s="9" t="s">
        <v>344</v>
      </c>
      <c r="G39" s="9" t="s">
        <v>15</v>
      </c>
      <c r="H39" s="9" t="s">
        <v>65</v>
      </c>
      <c r="I39" s="18">
        <v>6</v>
      </c>
      <c r="J39" s="18">
        <v>6</v>
      </c>
      <c r="K39" s="18">
        <v>6</v>
      </c>
      <c r="L39" s="18">
        <v>6</v>
      </c>
      <c r="M39" s="18">
        <v>6</v>
      </c>
      <c r="N39" s="18">
        <v>6</v>
      </c>
      <c r="O39" s="18">
        <v>6</v>
      </c>
      <c r="P39" s="18">
        <v>6</v>
      </c>
      <c r="Q39" s="18">
        <v>6</v>
      </c>
      <c r="R39" s="18">
        <v>6</v>
      </c>
      <c r="S39" s="18">
        <v>6</v>
      </c>
    </row>
    <row r="40" spans="4:19" x14ac:dyDescent="0.35">
      <c r="D40" s="9" t="s">
        <v>356</v>
      </c>
      <c r="E40" s="9" t="s">
        <v>18</v>
      </c>
      <c r="F40" s="9" t="s">
        <v>344</v>
      </c>
      <c r="G40" s="9" t="s">
        <v>22</v>
      </c>
      <c r="H40" s="9" t="s">
        <v>132</v>
      </c>
      <c r="I40" s="18">
        <v>8.4</v>
      </c>
      <c r="J40" s="18">
        <v>8.4</v>
      </c>
      <c r="K40" s="18">
        <v>8.4</v>
      </c>
      <c r="L40" s="18">
        <v>8.4</v>
      </c>
      <c r="M40" s="18">
        <v>8.4</v>
      </c>
      <c r="N40" s="18">
        <v>8.4</v>
      </c>
      <c r="O40" s="18">
        <v>8.4</v>
      </c>
      <c r="P40" s="18">
        <v>8.4</v>
      </c>
      <c r="Q40" s="18">
        <v>8.4</v>
      </c>
      <c r="R40" s="18">
        <v>8.4</v>
      </c>
      <c r="S40" s="18">
        <v>8.4</v>
      </c>
    </row>
    <row r="41" spans="4:19" x14ac:dyDescent="0.35">
      <c r="D41" s="9" t="s">
        <v>359</v>
      </c>
      <c r="E41" s="9" t="s">
        <v>20</v>
      </c>
      <c r="F41" s="9" t="s">
        <v>371</v>
      </c>
      <c r="G41" s="9" t="s">
        <v>13</v>
      </c>
      <c r="H41" s="9" t="s">
        <v>61</v>
      </c>
      <c r="I41" s="18">
        <v>4</v>
      </c>
      <c r="J41" s="18">
        <v>4</v>
      </c>
      <c r="K41" s="18">
        <v>4</v>
      </c>
      <c r="L41" s="18">
        <v>4</v>
      </c>
      <c r="M41" s="18">
        <v>4</v>
      </c>
      <c r="N41" s="18">
        <v>4</v>
      </c>
      <c r="O41" s="18">
        <v>4</v>
      </c>
      <c r="P41" s="18">
        <v>4</v>
      </c>
      <c r="Q41" s="18">
        <v>4</v>
      </c>
      <c r="R41" s="18">
        <v>4</v>
      </c>
      <c r="S41" s="18">
        <v>4</v>
      </c>
    </row>
    <row r="42" spans="4:19" x14ac:dyDescent="0.35">
      <c r="D42" s="9" t="s">
        <v>359</v>
      </c>
      <c r="E42" s="9" t="s">
        <v>20</v>
      </c>
      <c r="F42" s="9" t="s">
        <v>371</v>
      </c>
      <c r="G42" s="9" t="s">
        <v>15</v>
      </c>
      <c r="H42" s="9" t="s">
        <v>65</v>
      </c>
      <c r="I42" s="18">
        <v>6</v>
      </c>
      <c r="J42" s="18">
        <v>6</v>
      </c>
      <c r="K42" s="18">
        <v>6</v>
      </c>
      <c r="L42" s="18">
        <v>6</v>
      </c>
      <c r="M42" s="18">
        <v>6</v>
      </c>
      <c r="N42" s="18">
        <v>6</v>
      </c>
      <c r="O42" s="18">
        <v>6</v>
      </c>
      <c r="P42" s="18">
        <v>6</v>
      </c>
      <c r="Q42" s="18">
        <v>6</v>
      </c>
      <c r="R42" s="18">
        <v>6</v>
      </c>
      <c r="S42" s="18">
        <v>6</v>
      </c>
    </row>
    <row r="43" spans="4:19" x14ac:dyDescent="0.35">
      <c r="D43" s="9" t="s">
        <v>359</v>
      </c>
      <c r="E43" s="9" t="s">
        <v>20</v>
      </c>
      <c r="F43" s="9" t="s">
        <v>371</v>
      </c>
      <c r="G43" s="9" t="s">
        <v>22</v>
      </c>
      <c r="H43" s="9" t="s">
        <v>132</v>
      </c>
      <c r="I43" s="18">
        <v>5.5</v>
      </c>
      <c r="J43" s="18">
        <v>5.5</v>
      </c>
      <c r="K43" s="18">
        <v>5.5</v>
      </c>
      <c r="L43" s="18">
        <v>5.5</v>
      </c>
      <c r="M43" s="18">
        <v>5.5</v>
      </c>
      <c r="N43" s="18">
        <v>5.5</v>
      </c>
      <c r="O43" s="18">
        <v>5.5</v>
      </c>
      <c r="P43" s="18">
        <v>5.5</v>
      </c>
      <c r="Q43" s="18">
        <v>5.5</v>
      </c>
      <c r="R43" s="18">
        <v>5.5</v>
      </c>
      <c r="S43" s="18">
        <v>5.5</v>
      </c>
    </row>
    <row r="44" spans="4:19" x14ac:dyDescent="0.35">
      <c r="D44" s="9" t="s">
        <v>150</v>
      </c>
      <c r="E44" s="9" t="s">
        <v>20</v>
      </c>
      <c r="F44" s="9" t="s">
        <v>371</v>
      </c>
      <c r="G44" s="9" t="s">
        <v>13</v>
      </c>
      <c r="H44" s="9" t="s">
        <v>61</v>
      </c>
      <c r="I44" s="18">
        <v>4</v>
      </c>
      <c r="J44" s="18">
        <v>4</v>
      </c>
      <c r="K44" s="18">
        <v>4</v>
      </c>
      <c r="L44" s="18">
        <v>4</v>
      </c>
      <c r="M44" s="18">
        <v>4</v>
      </c>
      <c r="N44" s="18">
        <v>4</v>
      </c>
      <c r="O44" s="18">
        <v>4</v>
      </c>
      <c r="P44" s="18">
        <v>4</v>
      </c>
      <c r="Q44" s="18">
        <v>4</v>
      </c>
      <c r="R44" s="18">
        <v>4</v>
      </c>
      <c r="S44" s="18">
        <v>4</v>
      </c>
    </row>
    <row r="45" spans="4:19" x14ac:dyDescent="0.35">
      <c r="D45" s="9" t="s">
        <v>150</v>
      </c>
      <c r="E45" s="9" t="s">
        <v>20</v>
      </c>
      <c r="F45" s="9" t="s">
        <v>371</v>
      </c>
      <c r="G45" s="9" t="s">
        <v>15</v>
      </c>
      <c r="H45" s="9" t="s">
        <v>65</v>
      </c>
      <c r="I45" s="18">
        <v>6</v>
      </c>
      <c r="J45" s="18">
        <v>6</v>
      </c>
      <c r="K45" s="18">
        <v>6</v>
      </c>
      <c r="L45" s="18">
        <v>6</v>
      </c>
      <c r="M45" s="18">
        <v>6</v>
      </c>
      <c r="N45" s="18">
        <v>6</v>
      </c>
      <c r="O45" s="18">
        <v>6</v>
      </c>
      <c r="P45" s="18">
        <v>6</v>
      </c>
      <c r="Q45" s="18">
        <v>6</v>
      </c>
      <c r="R45" s="18">
        <v>6</v>
      </c>
      <c r="S45" s="18">
        <v>6</v>
      </c>
    </row>
    <row r="46" spans="4:19" x14ac:dyDescent="0.35">
      <c r="D46" s="9" t="s">
        <v>150</v>
      </c>
      <c r="E46" s="9" t="s">
        <v>20</v>
      </c>
      <c r="F46" s="9" t="s">
        <v>371</v>
      </c>
      <c r="G46" s="9" t="s">
        <v>22</v>
      </c>
      <c r="H46" s="9" t="s">
        <v>132</v>
      </c>
      <c r="I46" s="18">
        <v>5.5</v>
      </c>
      <c r="J46" s="18">
        <v>5.5</v>
      </c>
      <c r="K46" s="18">
        <v>5.5</v>
      </c>
      <c r="L46" s="18">
        <v>5.5</v>
      </c>
      <c r="M46" s="18">
        <v>5.5</v>
      </c>
      <c r="N46" s="18">
        <v>5.5</v>
      </c>
      <c r="O46" s="18">
        <v>5.5</v>
      </c>
      <c r="P46" s="18">
        <v>5.5</v>
      </c>
      <c r="Q46" s="18">
        <v>5.5</v>
      </c>
      <c r="R46" s="18">
        <v>5.5</v>
      </c>
      <c r="S46" s="18">
        <v>5.5</v>
      </c>
    </row>
    <row r="47" spans="4:19" x14ac:dyDescent="0.35">
      <c r="D47" s="9" t="s">
        <v>150</v>
      </c>
      <c r="E47" s="9" t="s">
        <v>19</v>
      </c>
      <c r="F47" s="9" t="s">
        <v>372</v>
      </c>
      <c r="G47" s="9" t="s">
        <v>13</v>
      </c>
      <c r="H47" s="9" t="s">
        <v>61</v>
      </c>
      <c r="I47" s="18">
        <v>4</v>
      </c>
      <c r="J47" s="18">
        <v>4</v>
      </c>
      <c r="K47" s="18">
        <v>4</v>
      </c>
      <c r="L47" s="18">
        <v>4</v>
      </c>
      <c r="M47" s="18">
        <v>4</v>
      </c>
      <c r="N47" s="18">
        <v>4</v>
      </c>
      <c r="O47" s="18">
        <v>4</v>
      </c>
      <c r="P47" s="18">
        <v>4</v>
      </c>
      <c r="Q47" s="18">
        <v>4</v>
      </c>
      <c r="R47" s="18">
        <v>4</v>
      </c>
      <c r="S47" s="18">
        <v>4</v>
      </c>
    </row>
    <row r="48" spans="4:19" x14ac:dyDescent="0.35">
      <c r="D48" s="9" t="s">
        <v>150</v>
      </c>
      <c r="E48" s="9" t="s">
        <v>19</v>
      </c>
      <c r="F48" s="9" t="s">
        <v>372</v>
      </c>
      <c r="G48" s="9" t="s">
        <v>15</v>
      </c>
      <c r="H48" s="9" t="s">
        <v>65</v>
      </c>
      <c r="I48" s="18">
        <v>6</v>
      </c>
      <c r="J48" s="18">
        <v>6</v>
      </c>
      <c r="K48" s="18">
        <v>6</v>
      </c>
      <c r="L48" s="18">
        <v>6</v>
      </c>
      <c r="M48" s="18">
        <v>6</v>
      </c>
      <c r="N48" s="18">
        <v>6</v>
      </c>
      <c r="O48" s="18">
        <v>6</v>
      </c>
      <c r="P48" s="18">
        <v>6</v>
      </c>
      <c r="Q48" s="18">
        <v>6</v>
      </c>
      <c r="R48" s="18">
        <v>6</v>
      </c>
      <c r="S48" s="18">
        <v>6</v>
      </c>
    </row>
    <row r="49" spans="4:19" x14ac:dyDescent="0.35">
      <c r="D49" s="9" t="s">
        <v>150</v>
      </c>
      <c r="E49" s="9" t="s">
        <v>19</v>
      </c>
      <c r="F49" s="9" t="s">
        <v>372</v>
      </c>
      <c r="G49" s="9" t="s">
        <v>22</v>
      </c>
      <c r="H49" s="9" t="s">
        <v>132</v>
      </c>
      <c r="I49" s="18">
        <v>5.5</v>
      </c>
      <c r="J49" s="18">
        <v>5.5</v>
      </c>
      <c r="K49" s="18">
        <v>5.5</v>
      </c>
      <c r="L49" s="18">
        <v>5.5</v>
      </c>
      <c r="M49" s="18">
        <v>5.5</v>
      </c>
      <c r="N49" s="18">
        <v>5.5</v>
      </c>
      <c r="O49" s="18">
        <v>5.5</v>
      </c>
      <c r="P49" s="18">
        <v>5.5</v>
      </c>
      <c r="Q49" s="18">
        <v>5.5</v>
      </c>
      <c r="R49" s="18">
        <v>5.5</v>
      </c>
      <c r="S49" s="18">
        <v>5.5</v>
      </c>
    </row>
    <row r="50" spans="4:19" x14ac:dyDescent="0.35">
      <c r="D50" s="9" t="s">
        <v>150</v>
      </c>
      <c r="E50" s="9" t="s">
        <v>18</v>
      </c>
      <c r="F50" s="9" t="s">
        <v>373</v>
      </c>
      <c r="G50" s="9" t="s">
        <v>13</v>
      </c>
      <c r="H50" s="9" t="s">
        <v>61</v>
      </c>
      <c r="I50" s="18">
        <v>4</v>
      </c>
      <c r="J50" s="18">
        <v>4</v>
      </c>
      <c r="K50" s="18">
        <v>4</v>
      </c>
      <c r="L50" s="18">
        <v>4</v>
      </c>
      <c r="M50" s="18">
        <v>4</v>
      </c>
      <c r="N50" s="18">
        <v>4</v>
      </c>
      <c r="O50" s="18">
        <v>4</v>
      </c>
      <c r="P50" s="18">
        <v>4</v>
      </c>
      <c r="Q50" s="18">
        <v>4</v>
      </c>
      <c r="R50" s="18">
        <v>4</v>
      </c>
      <c r="S50" s="18">
        <v>4</v>
      </c>
    </row>
    <row r="51" spans="4:19" x14ac:dyDescent="0.35">
      <c r="D51" s="9" t="s">
        <v>150</v>
      </c>
      <c r="E51" s="9" t="s">
        <v>18</v>
      </c>
      <c r="F51" s="9" t="s">
        <v>373</v>
      </c>
      <c r="G51" s="9" t="s">
        <v>15</v>
      </c>
      <c r="H51" s="9" t="s">
        <v>65</v>
      </c>
      <c r="I51" s="9">
        <v>6</v>
      </c>
      <c r="J51" s="9">
        <v>6</v>
      </c>
      <c r="K51" s="9">
        <v>6</v>
      </c>
      <c r="L51" s="9">
        <v>6</v>
      </c>
      <c r="M51" s="9">
        <v>6</v>
      </c>
      <c r="N51" s="9">
        <v>6</v>
      </c>
      <c r="O51" s="9">
        <v>6</v>
      </c>
      <c r="P51" s="9">
        <v>6</v>
      </c>
      <c r="Q51" s="9">
        <v>6</v>
      </c>
      <c r="R51" s="9">
        <v>6</v>
      </c>
      <c r="S51" s="9">
        <v>6</v>
      </c>
    </row>
    <row r="52" spans="4:19" ht="15" thickBot="1" x14ac:dyDescent="0.4">
      <c r="D52" s="10" t="s">
        <v>150</v>
      </c>
      <c r="E52" s="10" t="s">
        <v>18</v>
      </c>
      <c r="F52" s="10" t="s">
        <v>373</v>
      </c>
      <c r="G52" s="10" t="s">
        <v>22</v>
      </c>
      <c r="H52" s="10" t="s">
        <v>132</v>
      </c>
      <c r="I52" s="10">
        <v>5.5</v>
      </c>
      <c r="J52" s="10">
        <v>5.5</v>
      </c>
      <c r="K52" s="10">
        <v>5.5</v>
      </c>
      <c r="L52" s="10">
        <v>5.5</v>
      </c>
      <c r="M52" s="10">
        <v>5.5</v>
      </c>
      <c r="N52" s="10">
        <v>5.5</v>
      </c>
      <c r="O52" s="10">
        <v>5.5</v>
      </c>
      <c r="P52" s="10">
        <v>5.5</v>
      </c>
      <c r="Q52" s="10">
        <v>5.5</v>
      </c>
      <c r="R52" s="10">
        <v>5.5</v>
      </c>
      <c r="S52" s="10">
        <v>5.5</v>
      </c>
    </row>
    <row r="53" spans="4:19" x14ac:dyDescent="0.35">
      <c r="J53" s="5" t="s">
        <v>370</v>
      </c>
      <c r="K53" s="5" t="s">
        <v>370</v>
      </c>
      <c r="L53" s="5" t="s">
        <v>370</v>
      </c>
      <c r="M53" s="5" t="s">
        <v>370</v>
      </c>
      <c r="N53" s="5" t="s">
        <v>370</v>
      </c>
      <c r="O53" s="5" t="s">
        <v>370</v>
      </c>
      <c r="P53" s="5" t="s">
        <v>370</v>
      </c>
      <c r="Q53" s="5" t="s">
        <v>370</v>
      </c>
      <c r="R53" s="5" t="s">
        <v>370</v>
      </c>
      <c r="S53" s="5" t="s">
        <v>370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>
    <tabColor rgb="FF996633"/>
  </sheetPr>
  <dimension ref="B1:S60"/>
  <sheetViews>
    <sheetView workbookViewId="0">
      <selection activeCell="H17" sqref="H17"/>
    </sheetView>
  </sheetViews>
  <sheetFormatPr defaultColWidth="11.54296875" defaultRowHeight="14.5" x14ac:dyDescent="0.35"/>
  <cols>
    <col min="1" max="3" width="3.81640625" style="5" customWidth="1"/>
    <col min="4" max="4" width="25.81640625" style="5" customWidth="1"/>
    <col min="5" max="5" width="20.81640625" style="5" customWidth="1"/>
    <col min="6" max="8" width="15.81640625" style="5" customWidth="1"/>
    <col min="9" max="9" width="15.81640625" style="142" customWidth="1"/>
    <col min="10" max="19" width="8.81640625" style="5" customWidth="1"/>
    <col min="20" max="16384" width="11.54296875" style="5"/>
  </cols>
  <sheetData>
    <row r="1" spans="2:19" s="131" customFormat="1" ht="25" customHeight="1" x14ac:dyDescent="0.35">
      <c r="B1" s="133" t="s">
        <v>350</v>
      </c>
      <c r="I1" s="141"/>
    </row>
    <row r="3" spans="2:19" ht="15" thickBot="1" x14ac:dyDescent="0.4">
      <c r="D3" s="38" t="str">
        <f>JESA_UploadTable(B1,D4:S70)</f>
        <v>beneficiation_capex Saved! @08:24:13</v>
      </c>
    </row>
    <row r="4" spans="2:19" ht="30" customHeight="1" thickBot="1" x14ac:dyDescent="0.4">
      <c r="D4" s="135" t="s">
        <v>30</v>
      </c>
      <c r="E4" s="136" t="s">
        <v>25</v>
      </c>
      <c r="F4" s="136" t="s">
        <v>334</v>
      </c>
      <c r="G4" s="135" t="s">
        <v>12</v>
      </c>
      <c r="H4" s="137" t="s">
        <v>69</v>
      </c>
      <c r="I4" s="143" t="s">
        <v>149</v>
      </c>
      <c r="J4" s="138" t="s">
        <v>72</v>
      </c>
      <c r="K4" s="138" t="s">
        <v>73</v>
      </c>
      <c r="L4" s="138" t="s">
        <v>74</v>
      </c>
      <c r="M4" s="138" t="s">
        <v>75</v>
      </c>
      <c r="N4" s="138" t="s">
        <v>76</v>
      </c>
      <c r="O4" s="138" t="s">
        <v>77</v>
      </c>
      <c r="P4" s="138" t="s">
        <v>78</v>
      </c>
      <c r="Q4" s="138" t="s">
        <v>79</v>
      </c>
      <c r="R4" s="138" t="s">
        <v>80</v>
      </c>
      <c r="S4" s="138" t="s">
        <v>81</v>
      </c>
    </row>
    <row r="5" spans="2:19" x14ac:dyDescent="0.35">
      <c r="D5" s="8" t="s">
        <v>351</v>
      </c>
      <c r="E5" s="8" t="s">
        <v>352</v>
      </c>
      <c r="F5" s="8">
        <v>3</v>
      </c>
      <c r="G5" s="8" t="s">
        <v>22</v>
      </c>
      <c r="H5" s="8" t="s">
        <v>374</v>
      </c>
      <c r="I5" s="14">
        <v>0</v>
      </c>
      <c r="J5" s="26"/>
      <c r="K5" s="26" t="str">
        <f>IF(J5="","",J5)</f>
        <v/>
      </c>
      <c r="L5" s="26" t="str">
        <f>IF(K5="","",K5)</f>
        <v/>
      </c>
      <c r="M5" s="26">
        <v>0.1</v>
      </c>
      <c r="N5" s="26">
        <v>0.15</v>
      </c>
      <c r="O5" s="26">
        <v>0.35</v>
      </c>
      <c r="P5" s="26">
        <v>0.25</v>
      </c>
      <c r="Q5" s="26">
        <v>0.15</v>
      </c>
      <c r="R5" s="26"/>
      <c r="S5" s="26"/>
    </row>
    <row r="6" spans="2:19" x14ac:dyDescent="0.35">
      <c r="D6" s="9" t="s">
        <v>351</v>
      </c>
      <c r="E6" s="9" t="s">
        <v>352</v>
      </c>
      <c r="F6" s="9">
        <v>6</v>
      </c>
      <c r="G6" s="9" t="s">
        <v>22</v>
      </c>
      <c r="H6" s="9"/>
      <c r="I6" s="15">
        <v>1154</v>
      </c>
      <c r="J6" s="27"/>
      <c r="K6" s="27" t="str">
        <f>IF(J6="","",J6)</f>
        <v/>
      </c>
      <c r="L6" s="27" t="str">
        <f>IF(K6="","",K6)</f>
        <v/>
      </c>
      <c r="M6" s="27">
        <v>0.1</v>
      </c>
      <c r="N6" s="27">
        <v>0.15</v>
      </c>
      <c r="O6" s="27">
        <v>0.35</v>
      </c>
      <c r="P6" s="27">
        <v>0.25</v>
      </c>
      <c r="Q6" s="27">
        <v>0.15</v>
      </c>
      <c r="R6" s="27"/>
      <c r="S6" s="27"/>
    </row>
    <row r="7" spans="2:19" x14ac:dyDescent="0.35">
      <c r="D7" s="9" t="s">
        <v>351</v>
      </c>
      <c r="E7" s="9" t="s">
        <v>352</v>
      </c>
      <c r="F7" s="9">
        <v>9</v>
      </c>
      <c r="G7" s="9" t="s">
        <v>22</v>
      </c>
      <c r="H7" s="9"/>
      <c r="I7" s="15">
        <v>2182</v>
      </c>
      <c r="J7" s="27"/>
      <c r="K7" s="27"/>
      <c r="L7" s="27"/>
      <c r="M7" s="27">
        <v>0.1</v>
      </c>
      <c r="N7" s="27">
        <v>0.15</v>
      </c>
      <c r="O7" s="27">
        <v>0.35</v>
      </c>
      <c r="P7" s="27">
        <v>0.25</v>
      </c>
      <c r="Q7" s="27">
        <v>0.15</v>
      </c>
      <c r="R7" s="27"/>
      <c r="S7" s="27"/>
    </row>
    <row r="8" spans="2:19" x14ac:dyDescent="0.35">
      <c r="D8" s="9" t="s">
        <v>363</v>
      </c>
      <c r="E8" s="9" t="s">
        <v>352</v>
      </c>
      <c r="F8" s="9">
        <v>3.8</v>
      </c>
      <c r="G8" s="9" t="s">
        <v>22</v>
      </c>
      <c r="H8" s="9"/>
      <c r="I8" s="15"/>
      <c r="J8" s="27"/>
      <c r="K8" s="27"/>
      <c r="L8" s="27"/>
      <c r="M8" s="27">
        <v>0.1</v>
      </c>
      <c r="N8" s="27">
        <v>0.15</v>
      </c>
      <c r="O8" s="27">
        <v>0.35</v>
      </c>
      <c r="P8" s="27">
        <v>0.25</v>
      </c>
      <c r="Q8" s="27">
        <v>0.15</v>
      </c>
      <c r="R8" s="27"/>
      <c r="S8" s="27"/>
    </row>
    <row r="9" spans="2:19" x14ac:dyDescent="0.35">
      <c r="D9" s="9" t="s">
        <v>375</v>
      </c>
      <c r="E9" s="9" t="s">
        <v>361</v>
      </c>
      <c r="F9" s="9">
        <v>2.4</v>
      </c>
      <c r="G9" s="9" t="s">
        <v>22</v>
      </c>
      <c r="H9" s="9"/>
      <c r="I9" s="15">
        <v>0</v>
      </c>
      <c r="J9" s="27"/>
      <c r="K9" s="27"/>
      <c r="L9" s="27"/>
      <c r="M9" s="27">
        <v>0.1</v>
      </c>
      <c r="N9" s="27">
        <v>0.15</v>
      </c>
      <c r="O9" s="27">
        <v>0.35</v>
      </c>
      <c r="P9" s="27">
        <v>0.25</v>
      </c>
      <c r="Q9" s="27">
        <v>0.15</v>
      </c>
      <c r="R9" s="27"/>
      <c r="S9" s="27"/>
    </row>
    <row r="10" spans="2:19" x14ac:dyDescent="0.35">
      <c r="D10" s="9" t="s">
        <v>376</v>
      </c>
      <c r="E10" s="9" t="s">
        <v>365</v>
      </c>
      <c r="F10" s="9">
        <v>1.4</v>
      </c>
      <c r="G10" s="9" t="s">
        <v>22</v>
      </c>
      <c r="H10" s="9"/>
      <c r="I10" s="15">
        <v>0</v>
      </c>
      <c r="J10" s="27"/>
      <c r="K10" s="27"/>
      <c r="L10" s="27"/>
      <c r="M10" s="27">
        <v>0.1</v>
      </c>
      <c r="N10" s="27">
        <v>0.15</v>
      </c>
      <c r="O10" s="27">
        <v>0.35</v>
      </c>
      <c r="P10" s="27">
        <v>0.25</v>
      </c>
      <c r="Q10" s="27">
        <v>0.15</v>
      </c>
      <c r="R10" s="27"/>
      <c r="S10" s="27"/>
    </row>
    <row r="11" spans="2:19" x14ac:dyDescent="0.35">
      <c r="D11" s="9" t="s">
        <v>363</v>
      </c>
      <c r="E11" s="9" t="s">
        <v>150</v>
      </c>
      <c r="F11" s="9">
        <v>3</v>
      </c>
      <c r="G11" s="9" t="s">
        <v>22</v>
      </c>
      <c r="H11" s="9"/>
      <c r="I11" s="15">
        <v>1828</v>
      </c>
      <c r="J11" s="27"/>
      <c r="K11" s="27"/>
      <c r="L11" s="27"/>
      <c r="M11" s="27">
        <v>0.1</v>
      </c>
      <c r="N11" s="27">
        <v>0.15</v>
      </c>
      <c r="O11" s="27">
        <v>0.35</v>
      </c>
      <c r="P11" s="27">
        <v>0.25</v>
      </c>
      <c r="Q11" s="27">
        <v>0.15</v>
      </c>
      <c r="R11" s="27"/>
      <c r="S11" s="27"/>
    </row>
    <row r="12" spans="2:19" x14ac:dyDescent="0.35">
      <c r="D12" s="9" t="s">
        <v>363</v>
      </c>
      <c r="E12" s="9" t="s">
        <v>352</v>
      </c>
      <c r="F12" s="9">
        <v>3</v>
      </c>
      <c r="G12" s="9" t="s">
        <v>22</v>
      </c>
      <c r="H12" s="9"/>
      <c r="I12" s="15">
        <v>1828</v>
      </c>
      <c r="J12" s="27"/>
      <c r="K12" s="27"/>
      <c r="L12" s="27"/>
      <c r="M12" s="27">
        <v>0.1</v>
      </c>
      <c r="N12" s="27">
        <v>0.15</v>
      </c>
      <c r="O12" s="27">
        <v>0.35</v>
      </c>
      <c r="P12" s="27">
        <v>0.25</v>
      </c>
      <c r="Q12" s="27">
        <v>0.15</v>
      </c>
      <c r="R12" s="27"/>
      <c r="S12" s="27"/>
    </row>
    <row r="13" spans="2:19" x14ac:dyDescent="0.35">
      <c r="D13" s="9" t="s">
        <v>360</v>
      </c>
      <c r="E13" s="9" t="s">
        <v>352</v>
      </c>
      <c r="F13" s="9">
        <v>3</v>
      </c>
      <c r="G13" s="9" t="s">
        <v>22</v>
      </c>
      <c r="H13" s="9"/>
      <c r="I13" s="15">
        <v>2065</v>
      </c>
      <c r="J13" s="27"/>
      <c r="K13" s="27"/>
      <c r="L13" s="27"/>
      <c r="M13" s="27">
        <v>0.1</v>
      </c>
      <c r="N13" s="27">
        <v>0.15</v>
      </c>
      <c r="O13" s="27">
        <v>0.35</v>
      </c>
      <c r="P13" s="27">
        <v>0.25</v>
      </c>
      <c r="Q13" s="27">
        <v>0.15</v>
      </c>
      <c r="R13" s="27"/>
      <c r="S13" s="27"/>
    </row>
    <row r="14" spans="2:19" x14ac:dyDescent="0.35">
      <c r="D14" s="9" t="s">
        <v>360</v>
      </c>
      <c r="E14" s="9" t="s">
        <v>352</v>
      </c>
      <c r="F14" s="9">
        <v>4</v>
      </c>
      <c r="G14" s="9" t="s">
        <v>22</v>
      </c>
      <c r="H14" s="9"/>
      <c r="I14" s="15">
        <v>2450</v>
      </c>
      <c r="J14" s="27"/>
      <c r="K14" s="27"/>
      <c r="L14" s="27"/>
      <c r="M14" s="27">
        <v>0.1</v>
      </c>
      <c r="N14" s="27">
        <v>0.15</v>
      </c>
      <c r="O14" s="27">
        <v>0.35</v>
      </c>
      <c r="P14" s="27">
        <v>0.25</v>
      </c>
      <c r="Q14" s="27">
        <v>0.15</v>
      </c>
      <c r="R14" s="27"/>
      <c r="S14" s="27"/>
    </row>
    <row r="15" spans="2:19" x14ac:dyDescent="0.35">
      <c r="D15" s="9" t="s">
        <v>360</v>
      </c>
      <c r="E15" s="9" t="s">
        <v>352</v>
      </c>
      <c r="F15" s="9">
        <v>5</v>
      </c>
      <c r="G15" s="9" t="s">
        <v>22</v>
      </c>
      <c r="H15" s="9"/>
      <c r="I15" s="15">
        <v>2705</v>
      </c>
      <c r="J15" s="27"/>
      <c r="K15" s="27"/>
      <c r="L15" s="27"/>
      <c r="M15" s="27">
        <v>0.1</v>
      </c>
      <c r="N15" s="27">
        <v>0.15</v>
      </c>
      <c r="O15" s="27">
        <v>0.35</v>
      </c>
      <c r="P15" s="27">
        <v>0.25</v>
      </c>
      <c r="Q15" s="27">
        <v>0.15</v>
      </c>
      <c r="R15" s="27"/>
      <c r="S15" s="27"/>
    </row>
    <row r="16" spans="2:19" x14ac:dyDescent="0.35">
      <c r="D16" s="9" t="s">
        <v>360</v>
      </c>
      <c r="E16" s="9" t="s">
        <v>352</v>
      </c>
      <c r="F16" s="9">
        <v>6</v>
      </c>
      <c r="G16" s="9" t="s">
        <v>22</v>
      </c>
      <c r="H16" s="9"/>
      <c r="I16" s="15">
        <v>3219</v>
      </c>
      <c r="J16" s="27"/>
      <c r="K16" s="27"/>
      <c r="L16" s="27"/>
      <c r="M16" s="27">
        <v>0.1</v>
      </c>
      <c r="N16" s="27">
        <v>0.15</v>
      </c>
      <c r="O16" s="27">
        <v>0.35</v>
      </c>
      <c r="P16" s="27">
        <v>0.25</v>
      </c>
      <c r="Q16" s="27">
        <v>0.15</v>
      </c>
      <c r="R16" s="27"/>
      <c r="S16" s="27"/>
    </row>
    <row r="17" spans="4:19" x14ac:dyDescent="0.35">
      <c r="D17" s="9" t="s">
        <v>360</v>
      </c>
      <c r="E17" s="9" t="s">
        <v>150</v>
      </c>
      <c r="F17" s="9">
        <v>3</v>
      </c>
      <c r="G17" s="9" t="s">
        <v>22</v>
      </c>
      <c r="H17" s="9"/>
      <c r="I17" s="15">
        <v>2064.5130167368034</v>
      </c>
      <c r="J17" s="27"/>
      <c r="K17" s="27"/>
      <c r="L17" s="27"/>
      <c r="M17" s="27">
        <v>0.1</v>
      </c>
      <c r="N17" s="27">
        <v>0.15</v>
      </c>
      <c r="O17" s="27">
        <v>0.35</v>
      </c>
      <c r="P17" s="27">
        <v>0.25</v>
      </c>
      <c r="Q17" s="27">
        <v>0.15</v>
      </c>
      <c r="R17" s="27"/>
      <c r="S17" s="27"/>
    </row>
    <row r="18" spans="4:19" x14ac:dyDescent="0.35">
      <c r="D18" s="9" t="s">
        <v>360</v>
      </c>
      <c r="E18" s="9" t="s">
        <v>150</v>
      </c>
      <c r="F18" s="9">
        <v>4</v>
      </c>
      <c r="G18" s="9" t="s">
        <v>22</v>
      </c>
      <c r="H18" s="9"/>
      <c r="I18" s="15">
        <v>2449.2530902103108</v>
      </c>
      <c r="J18" s="27"/>
      <c r="K18" s="27"/>
      <c r="L18" s="27"/>
      <c r="M18" s="27">
        <v>0.1</v>
      </c>
      <c r="N18" s="27">
        <v>0.15</v>
      </c>
      <c r="O18" s="27">
        <v>0.35</v>
      </c>
      <c r="P18" s="27">
        <v>0.25</v>
      </c>
      <c r="Q18" s="27">
        <v>0.15</v>
      </c>
      <c r="R18" s="27"/>
      <c r="S18" s="27"/>
    </row>
    <row r="19" spans="4:19" x14ac:dyDescent="0.35">
      <c r="D19" s="9" t="s">
        <v>360</v>
      </c>
      <c r="E19" s="9" t="s">
        <v>150</v>
      </c>
      <c r="F19" s="9">
        <v>5</v>
      </c>
      <c r="G19" s="9" t="s">
        <v>22</v>
      </c>
      <c r="H19" s="9"/>
      <c r="I19" s="15">
        <v>2705.7464725259824</v>
      </c>
      <c r="J19" s="27"/>
      <c r="K19" s="27"/>
      <c r="L19" s="27"/>
      <c r="M19" s="27">
        <v>0.1</v>
      </c>
      <c r="N19" s="27">
        <v>0.15</v>
      </c>
      <c r="O19" s="27">
        <v>0.35</v>
      </c>
      <c r="P19" s="27">
        <v>0.25</v>
      </c>
      <c r="Q19" s="27">
        <v>0.15</v>
      </c>
      <c r="R19" s="27"/>
      <c r="S19" s="27"/>
    </row>
    <row r="20" spans="4:19" x14ac:dyDescent="0.35">
      <c r="D20" s="9" t="s">
        <v>360</v>
      </c>
      <c r="E20" s="9" t="s">
        <v>150</v>
      </c>
      <c r="F20" s="9">
        <v>6</v>
      </c>
      <c r="G20" s="9" t="s">
        <v>22</v>
      </c>
      <c r="H20" s="9"/>
      <c r="I20" s="15">
        <v>3218.7332371573257</v>
      </c>
      <c r="J20" s="27"/>
      <c r="K20" s="27"/>
      <c r="L20" s="27"/>
      <c r="M20" s="27">
        <v>0.1</v>
      </c>
      <c r="N20" s="27">
        <v>0.15</v>
      </c>
      <c r="O20" s="27">
        <v>0.35</v>
      </c>
      <c r="P20" s="27">
        <v>0.25</v>
      </c>
      <c r="Q20" s="27">
        <v>0.15</v>
      </c>
      <c r="R20" s="27"/>
      <c r="S20" s="27"/>
    </row>
    <row r="21" spans="4:19" x14ac:dyDescent="0.35">
      <c r="D21" s="9" t="s">
        <v>355</v>
      </c>
      <c r="E21" s="9" t="s">
        <v>352</v>
      </c>
      <c r="F21" s="9">
        <v>3</v>
      </c>
      <c r="G21" s="9" t="s">
        <v>22</v>
      </c>
      <c r="H21" s="9"/>
      <c r="I21" s="15">
        <v>2064.5130167368034</v>
      </c>
      <c r="J21" s="27"/>
      <c r="K21" s="27"/>
      <c r="L21" s="27"/>
      <c r="M21" s="27">
        <v>0.1</v>
      </c>
      <c r="N21" s="27">
        <v>0.15</v>
      </c>
      <c r="O21" s="27">
        <v>0.35</v>
      </c>
      <c r="P21" s="27">
        <v>0.25</v>
      </c>
      <c r="Q21" s="27">
        <v>0.15</v>
      </c>
      <c r="R21" s="27"/>
      <c r="S21" s="27"/>
    </row>
    <row r="22" spans="4:19" x14ac:dyDescent="0.35">
      <c r="D22" s="9" t="s">
        <v>355</v>
      </c>
      <c r="E22" s="9" t="s">
        <v>352</v>
      </c>
      <c r="F22" s="9">
        <v>4</v>
      </c>
      <c r="G22" s="9" t="s">
        <v>22</v>
      </c>
      <c r="H22" s="9"/>
      <c r="I22" s="15">
        <v>2449.2530902103108</v>
      </c>
      <c r="J22" s="27"/>
      <c r="K22" s="27"/>
      <c r="L22" s="27"/>
      <c r="M22" s="27">
        <v>0.1</v>
      </c>
      <c r="N22" s="27">
        <v>0.15</v>
      </c>
      <c r="O22" s="27">
        <v>0.35</v>
      </c>
      <c r="P22" s="27">
        <v>0.25</v>
      </c>
      <c r="Q22" s="27">
        <v>0.15</v>
      </c>
      <c r="R22" s="27"/>
      <c r="S22" s="27"/>
    </row>
    <row r="23" spans="4:19" x14ac:dyDescent="0.35">
      <c r="D23" s="9" t="s">
        <v>355</v>
      </c>
      <c r="E23" s="9" t="s">
        <v>352</v>
      </c>
      <c r="F23" s="9">
        <v>5</v>
      </c>
      <c r="G23" s="9" t="s">
        <v>22</v>
      </c>
      <c r="H23" s="9"/>
      <c r="I23" s="15">
        <v>2705.7464725259824</v>
      </c>
      <c r="J23" s="27"/>
      <c r="K23" s="27"/>
      <c r="L23" s="27"/>
      <c r="M23" s="27">
        <v>0.1</v>
      </c>
      <c r="N23" s="27">
        <v>0.15</v>
      </c>
      <c r="O23" s="27">
        <v>0.35</v>
      </c>
      <c r="P23" s="27">
        <v>0.25</v>
      </c>
      <c r="Q23" s="27">
        <v>0.15</v>
      </c>
      <c r="R23" s="27"/>
      <c r="S23" s="27"/>
    </row>
    <row r="24" spans="4:19" x14ac:dyDescent="0.35">
      <c r="D24" s="9" t="s">
        <v>355</v>
      </c>
      <c r="E24" s="9" t="s">
        <v>352</v>
      </c>
      <c r="F24" s="9">
        <v>6</v>
      </c>
      <c r="G24" s="9" t="s">
        <v>22</v>
      </c>
      <c r="H24" s="9"/>
      <c r="I24" s="15">
        <v>3218.7332371573257</v>
      </c>
      <c r="J24" s="27"/>
      <c r="K24" s="27"/>
      <c r="L24" s="27"/>
      <c r="M24" s="27">
        <v>0.1</v>
      </c>
      <c r="N24" s="27">
        <v>0.15</v>
      </c>
      <c r="O24" s="27">
        <v>0.35</v>
      </c>
      <c r="P24" s="27">
        <v>0.25</v>
      </c>
      <c r="Q24" s="27">
        <v>0.15</v>
      </c>
      <c r="R24" s="27"/>
      <c r="S24" s="27"/>
    </row>
    <row r="25" spans="4:19" x14ac:dyDescent="0.35">
      <c r="D25" s="9" t="s">
        <v>355</v>
      </c>
      <c r="E25" s="9" t="s">
        <v>352</v>
      </c>
      <c r="F25" s="9">
        <v>7</v>
      </c>
      <c r="G25" s="9" t="s">
        <v>22</v>
      </c>
      <c r="H25" s="9"/>
      <c r="I25" s="15">
        <v>3561.3403919219186</v>
      </c>
      <c r="J25" s="27"/>
      <c r="K25" s="27"/>
      <c r="L25" s="27"/>
      <c r="M25" s="27">
        <v>0.1</v>
      </c>
      <c r="N25" s="27">
        <v>0.15</v>
      </c>
      <c r="O25" s="27">
        <v>0.35</v>
      </c>
      <c r="P25" s="27">
        <v>0.25</v>
      </c>
      <c r="Q25" s="27">
        <v>0.15</v>
      </c>
      <c r="R25" s="27"/>
      <c r="S25" s="27"/>
    </row>
    <row r="26" spans="4:19" x14ac:dyDescent="0.35">
      <c r="D26" s="9" t="s">
        <v>355</v>
      </c>
      <c r="E26" s="9" t="s">
        <v>352</v>
      </c>
      <c r="F26" s="9">
        <v>8</v>
      </c>
      <c r="G26" s="9" t="s">
        <v>22</v>
      </c>
      <c r="H26" s="9"/>
      <c r="I26" s="15">
        <v>4018.1499316080426</v>
      </c>
      <c r="J26" s="27"/>
      <c r="K26" s="27"/>
      <c r="L26" s="27"/>
      <c r="M26" s="27">
        <v>0.1</v>
      </c>
      <c r="N26" s="27">
        <v>0.15</v>
      </c>
      <c r="O26" s="27">
        <v>0.35</v>
      </c>
      <c r="P26" s="27">
        <v>0.25</v>
      </c>
      <c r="Q26" s="27">
        <v>0.15</v>
      </c>
      <c r="R26" s="27"/>
      <c r="S26" s="27"/>
    </row>
    <row r="27" spans="4:19" x14ac:dyDescent="0.35">
      <c r="D27" s="9" t="s">
        <v>355</v>
      </c>
      <c r="E27" s="9" t="s">
        <v>352</v>
      </c>
      <c r="F27" s="9">
        <v>9</v>
      </c>
      <c r="G27" s="9" t="s">
        <v>22</v>
      </c>
      <c r="H27" s="9"/>
      <c r="I27" s="15">
        <v>4246.5547014511048</v>
      </c>
      <c r="J27" s="27"/>
      <c r="K27" s="27"/>
      <c r="L27" s="27"/>
      <c r="M27" s="27">
        <v>0.1</v>
      </c>
      <c r="N27" s="27">
        <v>0.15</v>
      </c>
      <c r="O27" s="27">
        <v>0.35</v>
      </c>
      <c r="P27" s="27">
        <v>0.25</v>
      </c>
      <c r="Q27" s="27">
        <v>0.15</v>
      </c>
      <c r="R27" s="27"/>
      <c r="S27" s="27"/>
    </row>
    <row r="28" spans="4:19" x14ac:dyDescent="0.35">
      <c r="D28" s="9" t="s">
        <v>355</v>
      </c>
      <c r="E28" s="9" t="s">
        <v>352</v>
      </c>
      <c r="F28" s="9">
        <v>10</v>
      </c>
      <c r="G28" s="9" t="s">
        <v>22</v>
      </c>
      <c r="H28" s="9"/>
      <c r="I28" s="15">
        <v>4564.7031343007366</v>
      </c>
      <c r="J28" s="27"/>
      <c r="K28" s="27"/>
      <c r="L28" s="27"/>
      <c r="M28" s="27">
        <v>0.1</v>
      </c>
      <c r="N28" s="27">
        <v>0.15</v>
      </c>
      <c r="O28" s="27">
        <v>0.35</v>
      </c>
      <c r="P28" s="27">
        <v>0.25</v>
      </c>
      <c r="Q28" s="27">
        <v>0.15</v>
      </c>
      <c r="R28" s="27"/>
      <c r="S28" s="27"/>
    </row>
    <row r="29" spans="4:19" x14ac:dyDescent="0.35">
      <c r="D29" s="9" t="s">
        <v>355</v>
      </c>
      <c r="E29" s="9" t="s">
        <v>352</v>
      </c>
      <c r="F29" s="9">
        <v>11</v>
      </c>
      <c r="G29" s="9" t="s">
        <v>22</v>
      </c>
      <c r="H29" s="9"/>
      <c r="I29" s="15">
        <v>4988.9010447669125</v>
      </c>
      <c r="J29" s="27"/>
      <c r="K29" s="27"/>
      <c r="L29" s="27"/>
      <c r="M29" s="27">
        <v>0.1</v>
      </c>
      <c r="N29" s="27">
        <v>0.15</v>
      </c>
      <c r="O29" s="27">
        <v>0.35</v>
      </c>
      <c r="P29" s="27">
        <v>0.25</v>
      </c>
      <c r="Q29" s="27">
        <v>0.15</v>
      </c>
      <c r="R29" s="27"/>
      <c r="S29" s="27"/>
    </row>
    <row r="30" spans="4:19" x14ac:dyDescent="0.35">
      <c r="D30" s="9" t="s">
        <v>355</v>
      </c>
      <c r="E30" s="9" t="s">
        <v>352</v>
      </c>
      <c r="F30" s="9">
        <v>12</v>
      </c>
      <c r="G30" s="9" t="s">
        <v>22</v>
      </c>
      <c r="H30" s="9"/>
      <c r="I30" s="15">
        <v>5201</v>
      </c>
      <c r="J30" s="27"/>
      <c r="K30" s="27"/>
      <c r="L30" s="27"/>
      <c r="M30" s="27">
        <v>0.1</v>
      </c>
      <c r="N30" s="27">
        <v>0.15</v>
      </c>
      <c r="O30" s="27">
        <v>0.35</v>
      </c>
      <c r="P30" s="27">
        <v>0.25</v>
      </c>
      <c r="Q30" s="27">
        <v>0.15</v>
      </c>
      <c r="R30" s="27"/>
      <c r="S30" s="27"/>
    </row>
    <row r="31" spans="4:19" x14ac:dyDescent="0.35">
      <c r="D31" s="9" t="s">
        <v>355</v>
      </c>
      <c r="E31" s="9" t="s">
        <v>150</v>
      </c>
      <c r="F31" s="9">
        <v>3</v>
      </c>
      <c r="G31" s="9" t="s">
        <v>22</v>
      </c>
      <c r="H31" s="9"/>
      <c r="I31" s="15">
        <v>2064.5130167368034</v>
      </c>
      <c r="J31" s="27"/>
      <c r="K31" s="27"/>
      <c r="L31" s="27"/>
      <c r="M31" s="27">
        <v>0.1</v>
      </c>
      <c r="N31" s="27">
        <v>0.15</v>
      </c>
      <c r="O31" s="27">
        <v>0.35</v>
      </c>
      <c r="P31" s="27">
        <v>0.25</v>
      </c>
      <c r="Q31" s="27">
        <v>0.15</v>
      </c>
      <c r="R31" s="27"/>
      <c r="S31" s="27"/>
    </row>
    <row r="32" spans="4:19" x14ac:dyDescent="0.35">
      <c r="D32" s="9" t="s">
        <v>355</v>
      </c>
      <c r="E32" s="9" t="s">
        <v>150</v>
      </c>
      <c r="F32" s="9">
        <v>4</v>
      </c>
      <c r="G32" s="9" t="s">
        <v>22</v>
      </c>
      <c r="H32" s="9"/>
      <c r="I32" s="15">
        <v>2449.2530902103108</v>
      </c>
      <c r="J32" s="27"/>
      <c r="K32" s="27"/>
      <c r="L32" s="27"/>
      <c r="M32" s="27">
        <v>0.1</v>
      </c>
      <c r="N32" s="27">
        <v>0.15</v>
      </c>
      <c r="O32" s="27">
        <v>0.35</v>
      </c>
      <c r="P32" s="27">
        <v>0.25</v>
      </c>
      <c r="Q32" s="27">
        <v>0.15</v>
      </c>
      <c r="R32" s="27"/>
      <c r="S32" s="27"/>
    </row>
    <row r="33" spans="4:19" x14ac:dyDescent="0.35">
      <c r="D33" s="9" t="s">
        <v>355</v>
      </c>
      <c r="E33" s="9" t="s">
        <v>150</v>
      </c>
      <c r="F33" s="9">
        <v>5</v>
      </c>
      <c r="G33" s="9" t="s">
        <v>22</v>
      </c>
      <c r="H33" s="9"/>
      <c r="I33" s="15">
        <v>2705.7464725259824</v>
      </c>
      <c r="J33" s="27"/>
      <c r="K33" s="27"/>
      <c r="L33" s="27"/>
      <c r="M33" s="27">
        <v>0.1</v>
      </c>
      <c r="N33" s="27">
        <v>0.15</v>
      </c>
      <c r="O33" s="27">
        <v>0.35</v>
      </c>
      <c r="P33" s="27">
        <v>0.25</v>
      </c>
      <c r="Q33" s="27">
        <v>0.15</v>
      </c>
      <c r="R33" s="27"/>
      <c r="S33" s="27"/>
    </row>
    <row r="34" spans="4:19" x14ac:dyDescent="0.35">
      <c r="D34" s="9" t="s">
        <v>355</v>
      </c>
      <c r="E34" s="9" t="s">
        <v>150</v>
      </c>
      <c r="F34" s="9">
        <v>6</v>
      </c>
      <c r="G34" s="9" t="s">
        <v>22</v>
      </c>
      <c r="H34" s="9"/>
      <c r="I34" s="15">
        <v>3218.7332371573257</v>
      </c>
      <c r="J34" s="27"/>
      <c r="K34" s="27"/>
      <c r="L34" s="27"/>
      <c r="M34" s="27">
        <v>0.1</v>
      </c>
      <c r="N34" s="27">
        <v>0.15</v>
      </c>
      <c r="O34" s="27">
        <v>0.35</v>
      </c>
      <c r="P34" s="27">
        <v>0.25</v>
      </c>
      <c r="Q34" s="27">
        <v>0.15</v>
      </c>
      <c r="R34" s="27"/>
      <c r="S34" s="27"/>
    </row>
    <row r="35" spans="4:19" x14ac:dyDescent="0.35">
      <c r="D35" s="9" t="s">
        <v>355</v>
      </c>
      <c r="E35" s="9" t="s">
        <v>150</v>
      </c>
      <c r="F35" s="9">
        <v>7</v>
      </c>
      <c r="G35" s="9" t="s">
        <v>22</v>
      </c>
      <c r="H35" s="9"/>
      <c r="I35" s="15">
        <v>3561.3403919219186</v>
      </c>
      <c r="J35" s="27"/>
      <c r="K35" s="27"/>
      <c r="L35" s="27"/>
      <c r="M35" s="27">
        <v>0.1</v>
      </c>
      <c r="N35" s="27">
        <v>0.15</v>
      </c>
      <c r="O35" s="27">
        <v>0.35</v>
      </c>
      <c r="P35" s="27">
        <v>0.25</v>
      </c>
      <c r="Q35" s="27">
        <v>0.15</v>
      </c>
      <c r="R35" s="27"/>
      <c r="S35" s="27"/>
    </row>
    <row r="36" spans="4:19" x14ac:dyDescent="0.35">
      <c r="D36" s="9" t="s">
        <v>355</v>
      </c>
      <c r="E36" s="9" t="s">
        <v>150</v>
      </c>
      <c r="F36" s="9">
        <v>8</v>
      </c>
      <c r="G36" s="9" t="s">
        <v>22</v>
      </c>
      <c r="H36" s="9"/>
      <c r="I36" s="15">
        <v>4018.1499316080426</v>
      </c>
      <c r="J36" s="27"/>
      <c r="K36" s="27"/>
      <c r="L36" s="27"/>
      <c r="M36" s="27">
        <v>0.1</v>
      </c>
      <c r="N36" s="27">
        <v>0.15</v>
      </c>
      <c r="O36" s="27">
        <v>0.35</v>
      </c>
      <c r="P36" s="27">
        <v>0.25</v>
      </c>
      <c r="Q36" s="27">
        <v>0.15</v>
      </c>
      <c r="R36" s="27"/>
      <c r="S36" s="27"/>
    </row>
    <row r="37" spans="4:19" x14ac:dyDescent="0.35">
      <c r="D37" s="9" t="s">
        <v>355</v>
      </c>
      <c r="E37" s="9" t="s">
        <v>150</v>
      </c>
      <c r="F37" s="9">
        <v>9</v>
      </c>
      <c r="G37" s="9" t="s">
        <v>22</v>
      </c>
      <c r="H37" s="9"/>
      <c r="I37" s="15">
        <v>4246.5547014511048</v>
      </c>
      <c r="J37" s="27"/>
      <c r="K37" s="27"/>
      <c r="L37" s="27"/>
      <c r="M37" s="27">
        <v>0.1</v>
      </c>
      <c r="N37" s="27">
        <v>0.15</v>
      </c>
      <c r="O37" s="27">
        <v>0.35</v>
      </c>
      <c r="P37" s="27">
        <v>0.25</v>
      </c>
      <c r="Q37" s="27">
        <v>0.15</v>
      </c>
      <c r="R37" s="27"/>
      <c r="S37" s="27"/>
    </row>
    <row r="38" spans="4:19" x14ac:dyDescent="0.35">
      <c r="D38" s="9" t="s">
        <v>355</v>
      </c>
      <c r="E38" s="9" t="s">
        <v>150</v>
      </c>
      <c r="F38" s="9">
        <v>10</v>
      </c>
      <c r="G38" s="9" t="s">
        <v>22</v>
      </c>
      <c r="H38" s="9"/>
      <c r="I38" s="15">
        <v>4564.7031343007366</v>
      </c>
      <c r="J38" s="27"/>
      <c r="K38" s="27"/>
      <c r="L38" s="27"/>
      <c r="M38" s="27">
        <v>0.1</v>
      </c>
      <c r="N38" s="27">
        <v>0.15</v>
      </c>
      <c r="O38" s="27">
        <v>0.35</v>
      </c>
      <c r="P38" s="27">
        <v>0.25</v>
      </c>
      <c r="Q38" s="27">
        <v>0.15</v>
      </c>
      <c r="R38" s="27"/>
      <c r="S38" s="27"/>
    </row>
    <row r="39" spans="4:19" x14ac:dyDescent="0.35">
      <c r="D39" s="9" t="s">
        <v>355</v>
      </c>
      <c r="E39" s="9" t="s">
        <v>150</v>
      </c>
      <c r="F39" s="9">
        <v>11</v>
      </c>
      <c r="G39" s="9" t="s">
        <v>22</v>
      </c>
      <c r="H39" s="9"/>
      <c r="I39" s="15">
        <v>4988.9010447669125</v>
      </c>
      <c r="J39" s="27"/>
      <c r="K39" s="27"/>
      <c r="L39" s="27"/>
      <c r="M39" s="27">
        <v>0.1</v>
      </c>
      <c r="N39" s="27">
        <v>0.15</v>
      </c>
      <c r="O39" s="27">
        <v>0.35</v>
      </c>
      <c r="P39" s="27">
        <v>0.25</v>
      </c>
      <c r="Q39" s="27">
        <v>0.15</v>
      </c>
      <c r="R39" s="27"/>
      <c r="S39" s="27"/>
    </row>
    <row r="40" spans="4:19" x14ac:dyDescent="0.35">
      <c r="D40" s="9" t="s">
        <v>355</v>
      </c>
      <c r="E40" s="9" t="s">
        <v>150</v>
      </c>
      <c r="F40" s="9">
        <v>12</v>
      </c>
      <c r="G40" s="9" t="s">
        <v>22</v>
      </c>
      <c r="H40" s="9"/>
      <c r="I40" s="15">
        <v>5201</v>
      </c>
      <c r="J40" s="27"/>
      <c r="K40" s="27"/>
      <c r="L40" s="27"/>
      <c r="M40" s="27">
        <v>0.1</v>
      </c>
      <c r="N40" s="27">
        <v>0.15</v>
      </c>
      <c r="O40" s="27">
        <v>0.35</v>
      </c>
      <c r="P40" s="27">
        <v>0.25</v>
      </c>
      <c r="Q40" s="27">
        <v>0.15</v>
      </c>
      <c r="R40" s="27"/>
      <c r="S40" s="27"/>
    </row>
    <row r="41" spans="4:19" x14ac:dyDescent="0.35">
      <c r="D41" s="9" t="s">
        <v>358</v>
      </c>
      <c r="E41" s="9" t="s">
        <v>352</v>
      </c>
      <c r="F41" s="9">
        <v>3</v>
      </c>
      <c r="G41" s="9" t="s">
        <v>22</v>
      </c>
      <c r="H41" s="9"/>
      <c r="I41" s="15">
        <v>2064.5130167368034</v>
      </c>
      <c r="J41" s="27"/>
      <c r="K41" s="27"/>
      <c r="L41" s="27"/>
      <c r="M41" s="27">
        <v>0.1</v>
      </c>
      <c r="N41" s="27">
        <v>0.15</v>
      </c>
      <c r="O41" s="27">
        <v>0.35</v>
      </c>
      <c r="P41" s="27">
        <v>0.25</v>
      </c>
      <c r="Q41" s="27">
        <v>0.15</v>
      </c>
      <c r="R41" s="27"/>
      <c r="S41" s="27"/>
    </row>
    <row r="42" spans="4:19" x14ac:dyDescent="0.35">
      <c r="D42" s="9" t="s">
        <v>358</v>
      </c>
      <c r="E42" s="9" t="s">
        <v>352</v>
      </c>
      <c r="F42" s="9">
        <v>4</v>
      </c>
      <c r="G42" s="9" t="s">
        <v>22</v>
      </c>
      <c r="H42" s="9"/>
      <c r="I42" s="15">
        <v>2449.2530902103108</v>
      </c>
      <c r="J42" s="27"/>
      <c r="K42" s="27"/>
      <c r="L42" s="27"/>
      <c r="M42" s="27">
        <v>0.1</v>
      </c>
      <c r="N42" s="27">
        <v>0.15</v>
      </c>
      <c r="O42" s="27">
        <v>0.35</v>
      </c>
      <c r="P42" s="27">
        <v>0.25</v>
      </c>
      <c r="Q42" s="27">
        <v>0.15</v>
      </c>
      <c r="R42" s="27"/>
      <c r="S42" s="27"/>
    </row>
    <row r="43" spans="4:19" x14ac:dyDescent="0.35">
      <c r="D43" s="9" t="s">
        <v>358</v>
      </c>
      <c r="E43" s="9" t="s">
        <v>352</v>
      </c>
      <c r="F43" s="9">
        <v>5</v>
      </c>
      <c r="G43" s="9" t="s">
        <v>22</v>
      </c>
      <c r="H43" s="9"/>
      <c r="I43" s="15">
        <v>2705.7464725259824</v>
      </c>
      <c r="J43" s="27"/>
      <c r="K43" s="27"/>
      <c r="L43" s="27"/>
      <c r="M43" s="27">
        <v>0.1</v>
      </c>
      <c r="N43" s="27">
        <v>0.15</v>
      </c>
      <c r="O43" s="27">
        <v>0.35</v>
      </c>
      <c r="P43" s="27">
        <v>0.25</v>
      </c>
      <c r="Q43" s="27">
        <v>0.15</v>
      </c>
      <c r="R43" s="27"/>
      <c r="S43" s="27"/>
    </row>
    <row r="44" spans="4:19" x14ac:dyDescent="0.35">
      <c r="D44" s="9" t="s">
        <v>358</v>
      </c>
      <c r="E44" s="9" t="s">
        <v>352</v>
      </c>
      <c r="F44" s="9">
        <v>6</v>
      </c>
      <c r="G44" s="9" t="s">
        <v>22</v>
      </c>
      <c r="H44" s="9"/>
      <c r="I44" s="15">
        <v>3218.7332371573257</v>
      </c>
      <c r="J44" s="27"/>
      <c r="K44" s="27"/>
      <c r="L44" s="27"/>
      <c r="M44" s="27">
        <v>0.1</v>
      </c>
      <c r="N44" s="27">
        <v>0.15</v>
      </c>
      <c r="O44" s="27">
        <v>0.35</v>
      </c>
      <c r="P44" s="27">
        <v>0.25</v>
      </c>
      <c r="Q44" s="27">
        <v>0.15</v>
      </c>
      <c r="R44" s="27"/>
      <c r="S44" s="27"/>
    </row>
    <row r="45" spans="4:19" x14ac:dyDescent="0.35">
      <c r="D45" s="9" t="s">
        <v>358</v>
      </c>
      <c r="E45" s="9" t="s">
        <v>352</v>
      </c>
      <c r="F45" s="9">
        <v>7</v>
      </c>
      <c r="G45" s="9" t="s">
        <v>22</v>
      </c>
      <c r="H45" s="9"/>
      <c r="I45" s="15">
        <v>3561.3403919219186</v>
      </c>
      <c r="J45" s="27"/>
      <c r="K45" s="27"/>
      <c r="L45" s="27"/>
      <c r="M45" s="27">
        <v>0.1</v>
      </c>
      <c r="N45" s="27">
        <v>0.15</v>
      </c>
      <c r="O45" s="27">
        <v>0.35</v>
      </c>
      <c r="P45" s="27">
        <v>0.25</v>
      </c>
      <c r="Q45" s="27">
        <v>0.15</v>
      </c>
      <c r="R45" s="27"/>
      <c r="S45" s="27"/>
    </row>
    <row r="46" spans="4:19" x14ac:dyDescent="0.35">
      <c r="D46" s="9" t="s">
        <v>358</v>
      </c>
      <c r="E46" s="9" t="s">
        <v>352</v>
      </c>
      <c r="F46" s="9">
        <v>8</v>
      </c>
      <c r="G46" s="9" t="s">
        <v>22</v>
      </c>
      <c r="H46" s="9"/>
      <c r="I46" s="15">
        <v>4018.1499316080426</v>
      </c>
      <c r="J46" s="27"/>
      <c r="K46" s="27"/>
      <c r="L46" s="27"/>
      <c r="M46" s="27">
        <v>0.1</v>
      </c>
      <c r="N46" s="27">
        <v>0.15</v>
      </c>
      <c r="O46" s="27">
        <v>0.35</v>
      </c>
      <c r="P46" s="27">
        <v>0.25</v>
      </c>
      <c r="Q46" s="27">
        <v>0.15</v>
      </c>
      <c r="R46" s="27"/>
      <c r="S46" s="27"/>
    </row>
    <row r="47" spans="4:19" x14ac:dyDescent="0.35">
      <c r="D47" s="9" t="s">
        <v>358</v>
      </c>
      <c r="E47" s="9" t="s">
        <v>352</v>
      </c>
      <c r="F47" s="9">
        <v>9</v>
      </c>
      <c r="G47" s="9" t="s">
        <v>22</v>
      </c>
      <c r="H47" s="9"/>
      <c r="I47" s="15">
        <v>4246.5547014511048</v>
      </c>
      <c r="J47" s="27"/>
      <c r="K47" s="27"/>
      <c r="L47" s="27"/>
      <c r="M47" s="27">
        <v>0.1</v>
      </c>
      <c r="N47" s="27">
        <v>0.15</v>
      </c>
      <c r="O47" s="27">
        <v>0.35</v>
      </c>
      <c r="P47" s="27">
        <v>0.25</v>
      </c>
      <c r="Q47" s="27">
        <v>0.15</v>
      </c>
      <c r="R47" s="27"/>
      <c r="S47" s="27"/>
    </row>
    <row r="48" spans="4:19" x14ac:dyDescent="0.35">
      <c r="D48" s="9" t="s">
        <v>358</v>
      </c>
      <c r="E48" s="9" t="s">
        <v>150</v>
      </c>
      <c r="F48" s="9">
        <v>3</v>
      </c>
      <c r="G48" s="9" t="s">
        <v>22</v>
      </c>
      <c r="H48" s="9"/>
      <c r="I48" s="15">
        <v>2064.5130167368034</v>
      </c>
      <c r="J48" s="27"/>
      <c r="K48" s="27"/>
      <c r="L48" s="27"/>
      <c r="M48" s="27">
        <v>0.1</v>
      </c>
      <c r="N48" s="27">
        <v>0.15</v>
      </c>
      <c r="O48" s="27">
        <v>0.35</v>
      </c>
      <c r="P48" s="27">
        <v>0.25</v>
      </c>
      <c r="Q48" s="27">
        <v>0.15</v>
      </c>
      <c r="R48" s="27"/>
      <c r="S48" s="27"/>
    </row>
    <row r="49" spans="4:19" x14ac:dyDescent="0.35">
      <c r="D49" s="9" t="s">
        <v>358</v>
      </c>
      <c r="E49" s="9" t="s">
        <v>150</v>
      </c>
      <c r="F49" s="9">
        <v>4</v>
      </c>
      <c r="G49" s="9" t="s">
        <v>22</v>
      </c>
      <c r="H49" s="9"/>
      <c r="I49" s="15">
        <v>2449.2530902103108</v>
      </c>
      <c r="J49" s="27"/>
      <c r="K49" s="27"/>
      <c r="L49" s="27"/>
      <c r="M49" s="27">
        <v>0.1</v>
      </c>
      <c r="N49" s="27">
        <v>0.15</v>
      </c>
      <c r="O49" s="27">
        <v>0.35</v>
      </c>
      <c r="P49" s="27">
        <v>0.25</v>
      </c>
      <c r="Q49" s="27">
        <v>0.15</v>
      </c>
      <c r="R49" s="27"/>
      <c r="S49" s="27"/>
    </row>
    <row r="50" spans="4:19" x14ac:dyDescent="0.35">
      <c r="D50" s="9" t="s">
        <v>358</v>
      </c>
      <c r="E50" s="9" t="s">
        <v>150</v>
      </c>
      <c r="F50" s="9">
        <v>5</v>
      </c>
      <c r="G50" s="9" t="s">
        <v>22</v>
      </c>
      <c r="H50" s="9"/>
      <c r="I50" s="15">
        <v>2705.7464725259824</v>
      </c>
      <c r="J50" s="27"/>
      <c r="K50" s="27"/>
      <c r="L50" s="27"/>
      <c r="M50" s="27">
        <v>0.1</v>
      </c>
      <c r="N50" s="27">
        <v>0.15</v>
      </c>
      <c r="O50" s="27">
        <v>0.35</v>
      </c>
      <c r="P50" s="27">
        <v>0.25</v>
      </c>
      <c r="Q50" s="27">
        <v>0.15</v>
      </c>
      <c r="R50" s="27"/>
      <c r="S50" s="27"/>
    </row>
    <row r="51" spans="4:19" x14ac:dyDescent="0.35">
      <c r="D51" s="9" t="s">
        <v>358</v>
      </c>
      <c r="E51" s="9" t="s">
        <v>150</v>
      </c>
      <c r="F51" s="9">
        <v>6</v>
      </c>
      <c r="G51" s="9" t="s">
        <v>22</v>
      </c>
      <c r="H51" s="9"/>
      <c r="I51" s="15">
        <v>3218.7332371573257</v>
      </c>
      <c r="J51" s="27"/>
      <c r="K51" s="27"/>
      <c r="L51" s="27"/>
      <c r="M51" s="27">
        <v>0.1</v>
      </c>
      <c r="N51" s="27">
        <v>0.15</v>
      </c>
      <c r="O51" s="27">
        <v>0.35</v>
      </c>
      <c r="P51" s="27">
        <v>0.25</v>
      </c>
      <c r="Q51" s="27">
        <v>0.15</v>
      </c>
      <c r="R51" s="27"/>
      <c r="S51" s="27"/>
    </row>
    <row r="52" spans="4:19" x14ac:dyDescent="0.35">
      <c r="D52" s="9" t="s">
        <v>358</v>
      </c>
      <c r="E52" s="9" t="s">
        <v>150</v>
      </c>
      <c r="F52" s="9">
        <v>7</v>
      </c>
      <c r="G52" s="9" t="s">
        <v>22</v>
      </c>
      <c r="H52" s="9"/>
      <c r="I52" s="15">
        <v>3561.3403919219186</v>
      </c>
      <c r="J52" s="27"/>
      <c r="K52" s="27"/>
      <c r="L52" s="27"/>
      <c r="M52" s="27">
        <v>0.1</v>
      </c>
      <c r="N52" s="27">
        <v>0.15</v>
      </c>
      <c r="O52" s="27">
        <v>0.35</v>
      </c>
      <c r="P52" s="27">
        <v>0.25</v>
      </c>
      <c r="Q52" s="27">
        <v>0.15</v>
      </c>
      <c r="R52" s="27"/>
      <c r="S52" s="27"/>
    </row>
    <row r="53" spans="4:19" x14ac:dyDescent="0.35">
      <c r="D53" s="9" t="s">
        <v>358</v>
      </c>
      <c r="E53" s="9" t="s">
        <v>150</v>
      </c>
      <c r="F53" s="9">
        <v>8</v>
      </c>
      <c r="G53" s="9" t="s">
        <v>22</v>
      </c>
      <c r="H53" s="9"/>
      <c r="I53" s="15">
        <v>4018.1499316080426</v>
      </c>
      <c r="J53" s="27"/>
      <c r="K53" s="27"/>
      <c r="L53" s="27"/>
      <c r="M53" s="27">
        <v>0.1</v>
      </c>
      <c r="N53" s="27">
        <v>0.15</v>
      </c>
      <c r="O53" s="27">
        <v>0.35</v>
      </c>
      <c r="P53" s="27">
        <v>0.25</v>
      </c>
      <c r="Q53" s="27">
        <v>0.15</v>
      </c>
      <c r="R53" s="27"/>
      <c r="S53" s="27"/>
    </row>
    <row r="54" spans="4:19" x14ac:dyDescent="0.35">
      <c r="D54" s="9" t="s">
        <v>358</v>
      </c>
      <c r="E54" s="9" t="s">
        <v>150</v>
      </c>
      <c r="F54" s="9">
        <v>9</v>
      </c>
      <c r="G54" s="9" t="s">
        <v>22</v>
      </c>
      <c r="H54" s="9"/>
      <c r="I54" s="15">
        <v>4246.5547014511003</v>
      </c>
      <c r="J54" s="27"/>
      <c r="K54" s="27"/>
      <c r="L54" s="27"/>
      <c r="M54" s="27">
        <v>0.1</v>
      </c>
      <c r="N54" s="27">
        <v>0.15</v>
      </c>
      <c r="O54" s="27">
        <v>0.35</v>
      </c>
      <c r="P54" s="27">
        <v>0.25</v>
      </c>
      <c r="Q54" s="27">
        <v>0.15</v>
      </c>
      <c r="R54" s="27"/>
      <c r="S54" s="27"/>
    </row>
    <row r="55" spans="4:19" x14ac:dyDescent="0.35">
      <c r="D55" s="9"/>
      <c r="E55" s="9"/>
      <c r="F55" s="9"/>
      <c r="G55" s="9"/>
      <c r="H55" s="9"/>
      <c r="I55" s="15"/>
      <c r="J55" s="27"/>
      <c r="K55" s="27"/>
      <c r="L55" s="27"/>
      <c r="M55" s="27"/>
      <c r="N55" s="27"/>
      <c r="O55" s="27"/>
      <c r="P55" s="27"/>
      <c r="Q55" s="27"/>
      <c r="R55" s="27"/>
      <c r="S55" s="27"/>
    </row>
    <row r="56" spans="4:19" x14ac:dyDescent="0.35">
      <c r="D56" s="9"/>
      <c r="E56" s="9"/>
      <c r="F56" s="9"/>
      <c r="G56" s="9"/>
      <c r="H56" s="9"/>
      <c r="I56" s="15"/>
      <c r="J56" s="27"/>
      <c r="K56" s="27"/>
      <c r="L56" s="27"/>
      <c r="M56" s="27"/>
      <c r="N56" s="27"/>
      <c r="O56" s="27"/>
      <c r="P56" s="27"/>
      <c r="Q56" s="27"/>
      <c r="R56" s="27"/>
      <c r="S56" s="27"/>
    </row>
    <row r="57" spans="4:19" x14ac:dyDescent="0.35">
      <c r="D57" s="9"/>
      <c r="E57" s="9"/>
      <c r="F57" s="9"/>
      <c r="G57" s="9"/>
      <c r="H57" s="9"/>
      <c r="I57" s="15"/>
      <c r="J57" s="27"/>
      <c r="K57" s="27"/>
      <c r="L57" s="27"/>
      <c r="M57" s="27"/>
      <c r="N57" s="27"/>
      <c r="O57" s="27"/>
      <c r="P57" s="27"/>
      <c r="Q57" s="27"/>
      <c r="R57" s="27"/>
      <c r="S57" s="27"/>
    </row>
    <row r="58" spans="4:19" x14ac:dyDescent="0.35">
      <c r="D58" s="9"/>
      <c r="E58" s="9"/>
      <c r="F58" s="9"/>
      <c r="G58" s="9"/>
      <c r="H58" s="9"/>
      <c r="I58" s="15"/>
      <c r="J58" s="27"/>
      <c r="K58" s="27"/>
      <c r="L58" s="27"/>
      <c r="M58" s="27"/>
      <c r="N58" s="27"/>
      <c r="O58" s="27"/>
      <c r="P58" s="27"/>
      <c r="Q58" s="27"/>
      <c r="R58" s="27"/>
      <c r="S58" s="27"/>
    </row>
    <row r="59" spans="4:19" x14ac:dyDescent="0.35">
      <c r="D59" s="9"/>
      <c r="E59" s="9"/>
      <c r="F59" s="9"/>
      <c r="G59" s="9"/>
      <c r="H59" s="9"/>
      <c r="I59" s="15"/>
      <c r="J59" s="27"/>
      <c r="K59" s="27"/>
      <c r="L59" s="27"/>
      <c r="M59" s="27"/>
      <c r="N59" s="27"/>
      <c r="O59" s="27"/>
      <c r="P59" s="27"/>
      <c r="Q59" s="27"/>
      <c r="R59" s="27"/>
      <c r="S59" s="27"/>
    </row>
    <row r="60" spans="4:19" ht="15" thickBot="1" x14ac:dyDescent="0.4">
      <c r="D60" s="10"/>
      <c r="E60" s="10"/>
      <c r="F60" s="10"/>
      <c r="G60" s="10"/>
      <c r="H60" s="10"/>
      <c r="I60" s="16"/>
      <c r="J60" s="49"/>
      <c r="K60" s="49"/>
      <c r="L60" s="49"/>
      <c r="M60" s="49"/>
      <c r="N60" s="49"/>
      <c r="O60" s="49"/>
      <c r="P60" s="49"/>
      <c r="Q60" s="49"/>
      <c r="R60" s="49"/>
      <c r="S60" s="49"/>
    </row>
  </sheetData>
  <dataValidations count="4">
    <dataValidation type="list" allowBlank="1" showInputMessage="1" showErrorMessage="1" sqref="D5:D50">
      <formula1>WPName</formula1>
    </dataValidation>
    <dataValidation type="list" allowBlank="1" showInputMessage="1" showErrorMessage="1" sqref="E5:E50">
      <formula1>WPProcess</formula1>
    </dataValidation>
    <dataValidation type="list" allowBlank="1" showInputMessage="1" showErrorMessage="1" sqref="G5:G50">
      <formula1>WPCapex</formula1>
    </dataValidation>
    <dataValidation type="list" allowBlank="1" showInputMessage="1" showErrorMessage="1" sqref="H5:I50">
      <formula1>Currency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options'!$G$5:$G$60</xm:f>
          </x14:formula1>
          <xm:sqref>F5:F60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A4" sqref="A4"/>
    </sheetView>
  </sheetViews>
  <sheetFormatPr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2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6384" width="11.54296875" style="31"/>
  </cols>
  <sheetData>
    <row r="1" spans="2:13" s="58" customFormat="1" ht="25.25" customHeight="1" x14ac:dyDescent="0.35">
      <c r="B1" s="57" t="s">
        <v>162</v>
      </c>
      <c r="I1" s="59"/>
    </row>
    <row r="3" spans="2:13" ht="15" thickBot="1" x14ac:dyDescent="0.4">
      <c r="D3" s="31" t="str">
        <f>JESA_UploadTable(D4,D4:D40)</f>
        <v>sap.name Saved! @08:24:19</v>
      </c>
      <c r="F3" s="31" t="str">
        <f>JESA_UploadTable(F4,F4:F40)</f>
        <v>sap.process Saved! @08:24:19</v>
      </c>
      <c r="H3" s="31" t="str">
        <f>JESA_UploadTable(H4,H4:I40)</f>
        <v>sap.product Saved! @08:24:18</v>
      </c>
      <c r="K3" s="31" t="str">
        <f>JESA_UploadTable(K4,K4:K40)</f>
        <v>sap.capex Saved! @08:24:19</v>
      </c>
      <c r="M3" s="31" t="str">
        <f>JESA_UploadTable(M4,M4:M40)</f>
        <v>sap.capacity[kt] Saved! @08:24:19</v>
      </c>
    </row>
    <row r="4" spans="2:13" ht="30" customHeight="1" thickBot="1" x14ac:dyDescent="0.4">
      <c r="D4" s="60" t="s">
        <v>163</v>
      </c>
      <c r="F4" s="60" t="s">
        <v>164</v>
      </c>
      <c r="H4" s="60" t="s">
        <v>165</v>
      </c>
      <c r="I4" s="60" t="s">
        <v>166</v>
      </c>
      <c r="K4" s="60" t="s">
        <v>167</v>
      </c>
      <c r="M4" s="60" t="s">
        <v>168</v>
      </c>
    </row>
    <row r="5" spans="2:13" x14ac:dyDescent="0.35">
      <c r="D5" s="29" t="s">
        <v>169</v>
      </c>
      <c r="F5" s="29" t="s">
        <v>170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5">
      <c r="D6" s="33" t="s">
        <v>126</v>
      </c>
      <c r="F6" s="33" t="s">
        <v>171</v>
      </c>
      <c r="H6" s="33" t="s">
        <v>15</v>
      </c>
      <c r="I6" s="33" t="s">
        <v>24</v>
      </c>
      <c r="K6" s="33" t="s">
        <v>172</v>
      </c>
      <c r="M6" s="33">
        <v>1600</v>
      </c>
    </row>
    <row r="7" spans="2:13" x14ac:dyDescent="0.35">
      <c r="D7" s="33" t="s">
        <v>127</v>
      </c>
      <c r="F7" s="33" t="s">
        <v>173</v>
      </c>
      <c r="H7" s="33" t="s">
        <v>174</v>
      </c>
      <c r="I7" s="33" t="s">
        <v>101</v>
      </c>
      <c r="K7" s="33" t="s">
        <v>175</v>
      </c>
      <c r="M7" s="33">
        <v>3200</v>
      </c>
    </row>
    <row r="8" spans="2:13" x14ac:dyDescent="0.35">
      <c r="D8" s="33" t="s">
        <v>128</v>
      </c>
      <c r="F8" s="33"/>
      <c r="H8" s="33"/>
      <c r="I8" s="33"/>
      <c r="K8" s="33"/>
      <c r="M8" s="33"/>
    </row>
    <row r="9" spans="2:13" x14ac:dyDescent="0.35">
      <c r="D9" s="33" t="s">
        <v>129</v>
      </c>
      <c r="F9" s="33"/>
      <c r="H9" s="33"/>
      <c r="I9" s="33"/>
      <c r="K9" s="33"/>
      <c r="M9" s="33"/>
    </row>
    <row r="10" spans="2:13" x14ac:dyDescent="0.35">
      <c r="D10" s="33" t="s">
        <v>130</v>
      </c>
      <c r="F10" s="33"/>
      <c r="H10" s="33"/>
      <c r="I10" s="33"/>
      <c r="K10" s="33"/>
      <c r="M10" s="33"/>
    </row>
    <row r="11" spans="2:13" x14ac:dyDescent="0.35">
      <c r="D11" s="33" t="s">
        <v>176</v>
      </c>
      <c r="F11" s="33"/>
      <c r="H11" s="33"/>
      <c r="I11" s="33"/>
      <c r="K11" s="33"/>
      <c r="M11" s="33"/>
    </row>
    <row r="12" spans="2:13" x14ac:dyDescent="0.35">
      <c r="D12" s="33" t="s">
        <v>177</v>
      </c>
      <c r="F12" s="33"/>
      <c r="H12" s="33"/>
      <c r="I12" s="33"/>
      <c r="K12" s="33"/>
      <c r="M12" s="33"/>
    </row>
    <row r="13" spans="2:13" x14ac:dyDescent="0.35">
      <c r="D13" s="33" t="s">
        <v>178</v>
      </c>
      <c r="F13" s="33"/>
      <c r="H13" s="33"/>
      <c r="I13" s="33"/>
      <c r="K13" s="33"/>
      <c r="M13" s="33"/>
    </row>
    <row r="14" spans="2:13" x14ac:dyDescent="0.35">
      <c r="D14" s="33" t="s">
        <v>179</v>
      </c>
      <c r="F14" s="33"/>
      <c r="H14" s="33"/>
      <c r="I14" s="33"/>
      <c r="K14" s="33"/>
      <c r="M14" s="33"/>
    </row>
    <row r="15" spans="2:13" x14ac:dyDescent="0.35">
      <c r="D15" s="33" t="s">
        <v>180</v>
      </c>
      <c r="F15" s="33"/>
      <c r="H15" s="33"/>
      <c r="I15" s="33"/>
      <c r="K15" s="33"/>
      <c r="M15" s="33"/>
    </row>
    <row r="16" spans="2:13" x14ac:dyDescent="0.35">
      <c r="D16" s="33" t="s">
        <v>181</v>
      </c>
      <c r="F16" s="33"/>
      <c r="H16" s="33"/>
      <c r="I16" s="33"/>
      <c r="K16" s="33"/>
      <c r="M16" s="33"/>
    </row>
    <row r="17" spans="4:13" x14ac:dyDescent="0.35">
      <c r="D17" s="33"/>
      <c r="F17" s="33"/>
      <c r="H17" s="33"/>
      <c r="I17" s="33"/>
      <c r="K17" s="33"/>
      <c r="M17" s="33"/>
    </row>
    <row r="18" spans="4:13" x14ac:dyDescent="0.35">
      <c r="D18" s="33"/>
      <c r="F18" s="33"/>
      <c r="H18" s="33"/>
      <c r="I18" s="33"/>
      <c r="K18" s="33"/>
      <c r="M18" s="33"/>
    </row>
    <row r="19" spans="4:13" x14ac:dyDescent="0.35">
      <c r="D19" s="33"/>
      <c r="F19" s="33"/>
      <c r="H19" s="33"/>
      <c r="I19" s="33"/>
      <c r="K19" s="33"/>
      <c r="M19" s="33"/>
    </row>
    <row r="20" spans="4:13" x14ac:dyDescent="0.35">
      <c r="D20" s="33"/>
      <c r="F20" s="33"/>
      <c r="H20" s="33"/>
      <c r="I20" s="33"/>
      <c r="K20" s="33"/>
      <c r="M20" s="33"/>
    </row>
    <row r="21" spans="4:13" x14ac:dyDescent="0.35">
      <c r="D21" s="33"/>
      <c r="F21" s="33"/>
      <c r="H21" s="33"/>
      <c r="I21" s="33"/>
      <c r="K21" s="33"/>
      <c r="M21" s="33"/>
    </row>
    <row r="22" spans="4:13" x14ac:dyDescent="0.35">
      <c r="D22" s="33"/>
      <c r="F22" s="33"/>
      <c r="H22" s="33"/>
      <c r="I22" s="33"/>
      <c r="K22" s="33"/>
      <c r="M22" s="33"/>
    </row>
    <row r="23" spans="4:13" x14ac:dyDescent="0.35">
      <c r="D23" s="33"/>
      <c r="F23" s="33"/>
      <c r="H23" s="33"/>
      <c r="I23" s="33"/>
      <c r="K23" s="33"/>
      <c r="M23" s="33"/>
    </row>
    <row r="24" spans="4:13" x14ac:dyDescent="0.35">
      <c r="D24" s="33"/>
      <c r="F24" s="33"/>
      <c r="H24" s="33"/>
      <c r="I24" s="33"/>
      <c r="K24" s="33"/>
      <c r="M24" s="33"/>
    </row>
    <row r="25" spans="4:13" x14ac:dyDescent="0.35">
      <c r="D25" s="33"/>
      <c r="F25" s="33"/>
      <c r="H25" s="33"/>
      <c r="I25" s="33"/>
      <c r="K25" s="33"/>
      <c r="M25" s="33"/>
    </row>
    <row r="26" spans="4:13" x14ac:dyDescent="0.35">
      <c r="D26" s="33"/>
      <c r="F26" s="33"/>
      <c r="H26" s="33"/>
      <c r="I26" s="33"/>
      <c r="K26" s="33"/>
      <c r="M26" s="33"/>
    </row>
    <row r="27" spans="4:13" x14ac:dyDescent="0.35">
      <c r="D27" s="33"/>
      <c r="F27" s="33"/>
      <c r="H27" s="33"/>
      <c r="I27" s="33"/>
      <c r="K27" s="33"/>
      <c r="M27" s="33"/>
    </row>
    <row r="28" spans="4:13" x14ac:dyDescent="0.35">
      <c r="D28" s="33"/>
      <c r="F28" s="33"/>
      <c r="H28" s="33"/>
      <c r="I28" s="33"/>
      <c r="K28" s="33"/>
      <c r="M28" s="33"/>
    </row>
    <row r="29" spans="4:13" x14ac:dyDescent="0.35">
      <c r="D29" s="33"/>
      <c r="F29" s="33"/>
      <c r="H29" s="33"/>
      <c r="I29" s="33"/>
      <c r="K29" s="33"/>
      <c r="M29" s="33"/>
    </row>
    <row r="30" spans="4:13" x14ac:dyDescent="0.35">
      <c r="D30" s="33"/>
      <c r="F30" s="33"/>
      <c r="H30" s="33"/>
      <c r="I30" s="33"/>
      <c r="K30" s="33"/>
      <c r="M30" s="33"/>
    </row>
    <row r="31" spans="4:13" x14ac:dyDescent="0.35">
      <c r="D31" s="33"/>
      <c r="F31" s="33"/>
      <c r="H31" s="33"/>
      <c r="I31" s="33"/>
      <c r="K31" s="33"/>
      <c r="M31" s="33"/>
    </row>
    <row r="32" spans="4:13" x14ac:dyDescent="0.35">
      <c r="D32" s="33"/>
      <c r="F32" s="33"/>
      <c r="H32" s="33"/>
      <c r="I32" s="33"/>
      <c r="K32" s="33"/>
      <c r="M32" s="33"/>
    </row>
    <row r="33" spans="4:13" x14ac:dyDescent="0.35">
      <c r="D33" s="33"/>
      <c r="F33" s="33"/>
      <c r="H33" s="33"/>
      <c r="I33" s="33"/>
      <c r="K33" s="33"/>
      <c r="M33" s="33"/>
    </row>
    <row r="34" spans="4:13" x14ac:dyDescent="0.35">
      <c r="D34" s="33"/>
      <c r="F34" s="33"/>
      <c r="H34" s="33"/>
      <c r="I34" s="33"/>
      <c r="K34" s="33"/>
      <c r="M34" s="33"/>
    </row>
    <row r="35" spans="4:13" x14ac:dyDescent="0.35">
      <c r="D35" s="33"/>
      <c r="F35" s="33"/>
      <c r="H35" s="33"/>
      <c r="I35" s="33"/>
      <c r="K35" s="33"/>
      <c r="M35" s="33"/>
    </row>
    <row r="36" spans="4:13" x14ac:dyDescent="0.35">
      <c r="D36" s="33"/>
      <c r="F36" s="33"/>
      <c r="H36" s="33"/>
      <c r="I36" s="33"/>
      <c r="K36" s="33"/>
      <c r="M36" s="33"/>
    </row>
    <row r="37" spans="4:13" x14ac:dyDescent="0.35">
      <c r="D37" s="33"/>
      <c r="F37" s="33"/>
      <c r="H37" s="33"/>
      <c r="I37" s="33"/>
      <c r="K37" s="33"/>
      <c r="M37" s="33"/>
    </row>
    <row r="38" spans="4:13" x14ac:dyDescent="0.35">
      <c r="D38" s="33"/>
      <c r="F38" s="33"/>
      <c r="H38" s="33"/>
      <c r="I38" s="33"/>
      <c r="K38" s="33"/>
      <c r="M38" s="33"/>
    </row>
    <row r="39" spans="4:13" x14ac:dyDescent="0.35">
      <c r="D39" s="33"/>
      <c r="F39" s="33"/>
      <c r="H39" s="33"/>
      <c r="I39" s="33"/>
      <c r="K39" s="33"/>
      <c r="M39" s="33"/>
    </row>
    <row r="40" spans="4:13" ht="15" thickBot="1" x14ac:dyDescent="0.4">
      <c r="D40" s="34"/>
      <c r="F40" s="34"/>
      <c r="H40" s="34"/>
      <c r="I40" s="34"/>
      <c r="K40" s="34"/>
      <c r="M40" s="34"/>
    </row>
    <row r="41" spans="4:13" x14ac:dyDescent="0.35">
      <c r="D41" s="31" t="s">
        <v>94</v>
      </c>
      <c r="F41" s="31" t="s">
        <v>94</v>
      </c>
      <c r="H41" s="31" t="s">
        <v>94</v>
      </c>
      <c r="I41" s="31" t="s">
        <v>94</v>
      </c>
      <c r="K41" s="31" t="s">
        <v>94</v>
      </c>
      <c r="M41" s="31" t="s">
        <v>94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CCCC00"/>
  </sheetPr>
  <dimension ref="B1:K28"/>
  <sheetViews>
    <sheetView zoomScaleNormal="100" workbookViewId="0">
      <selection activeCell="E9" sqref="E9"/>
    </sheetView>
  </sheetViews>
  <sheetFormatPr defaultColWidth="11.54296875" defaultRowHeight="14.5" x14ac:dyDescent="0.35"/>
  <cols>
    <col min="1" max="3" width="3.6328125" style="5" customWidth="1"/>
    <col min="4" max="9" width="15.6328125" style="5" customWidth="1"/>
    <col min="10" max="10" width="17.36328125" style="5" customWidth="1"/>
    <col min="11" max="11" width="62.6328125" style="5" bestFit="1" customWidth="1"/>
    <col min="12" max="16384" width="11.54296875" style="5"/>
  </cols>
  <sheetData>
    <row r="1" spans="2:11" s="61" customFormat="1" ht="25.25" customHeight="1" x14ac:dyDescent="0.35">
      <c r="B1" s="57" t="s">
        <v>182</v>
      </c>
      <c r="H1" s="62"/>
      <c r="I1" s="62"/>
      <c r="J1" s="62"/>
    </row>
    <row r="3" spans="2:11" ht="15" thickBot="1" x14ac:dyDescent="0.4">
      <c r="D3" s="38" t="str">
        <f>JESA_UploadTable(B1,D4:K27)</f>
        <v>sap___power_plant_options Saved! @08:24:13</v>
      </c>
    </row>
    <row r="4" spans="2:11" ht="30" customHeight="1" thickBot="1" x14ac:dyDescent="0.4">
      <c r="D4" s="63" t="s">
        <v>8</v>
      </c>
      <c r="E4" s="63" t="s">
        <v>30</v>
      </c>
      <c r="F4" s="64" t="s">
        <v>25</v>
      </c>
      <c r="G4" s="65" t="s">
        <v>183</v>
      </c>
      <c r="H4" s="65" t="s">
        <v>71</v>
      </c>
      <c r="I4" s="65" t="s">
        <v>147</v>
      </c>
      <c r="J4" s="65" t="s">
        <v>153</v>
      </c>
      <c r="K4" s="63" t="s">
        <v>154</v>
      </c>
    </row>
    <row r="5" spans="2:11" x14ac:dyDescent="0.35">
      <c r="D5" s="9" t="s">
        <v>26</v>
      </c>
      <c r="E5" s="9" t="s">
        <v>169</v>
      </c>
      <c r="F5" s="9" t="s">
        <v>173</v>
      </c>
      <c r="G5" s="15">
        <v>4500</v>
      </c>
      <c r="H5" s="11" t="s">
        <v>36</v>
      </c>
      <c r="I5" s="15">
        <v>2018</v>
      </c>
      <c r="J5" s="15">
        <v>2100</v>
      </c>
      <c r="K5" s="9" t="str">
        <f>IF(D5="","","/SAP/"&amp;CONCATENATE(D5,"/",E5,"/",F5,"/",G5,"/",H5,"/",I5,"/",J5))</f>
        <v>/SAP/Safi/SAP EXISTING SITE/SAFI EXISTING SITE/4500/Existing/2018/2100</v>
      </c>
    </row>
    <row r="6" spans="2:11" x14ac:dyDescent="0.35">
      <c r="D6" s="9" t="s">
        <v>26</v>
      </c>
      <c r="E6" s="9" t="s">
        <v>169</v>
      </c>
      <c r="F6" s="9" t="s">
        <v>173</v>
      </c>
      <c r="G6" s="15">
        <v>4500</v>
      </c>
      <c r="H6" s="11" t="s">
        <v>36</v>
      </c>
      <c r="I6" s="15">
        <v>2018</v>
      </c>
      <c r="J6" s="15">
        <v>2024</v>
      </c>
      <c r="K6" s="9" t="str">
        <f>IF(D6="","","/SAP/"&amp;CONCATENATE(D6,"/",E6,"/",F6,"/",G6,"/",H6,"/",I6,"/",J6))</f>
        <v>/SAP/Safi/SAP EXISTING SITE/SAFI EXISTING SITE/4500/Existing/2018/2024</v>
      </c>
    </row>
    <row r="7" spans="2:11" ht="15" thickBot="1" x14ac:dyDescent="0.4">
      <c r="D7" s="9" t="s">
        <v>26</v>
      </c>
      <c r="E7" s="9" t="s">
        <v>169</v>
      </c>
      <c r="F7" s="9" t="s">
        <v>173</v>
      </c>
      <c r="G7" s="15">
        <v>4500</v>
      </c>
      <c r="H7" s="11" t="s">
        <v>36</v>
      </c>
      <c r="I7" s="15">
        <v>2018</v>
      </c>
      <c r="J7" s="15">
        <v>2030</v>
      </c>
      <c r="K7" s="9" t="str">
        <f>IF(D7="","","/SAP/"&amp;CONCATENATE(D7,"/",E7,"/",F7,"/",G7,"/",H7,"/",I7,"/",J7))</f>
        <v>/SAP/Safi/SAP EXISTING SITE/SAFI EXISTING SITE/4500/Existing/2018/2030</v>
      </c>
    </row>
    <row r="8" spans="2:11" x14ac:dyDescent="0.35">
      <c r="D8" s="8" t="s">
        <v>3</v>
      </c>
      <c r="E8" s="8" t="s">
        <v>126</v>
      </c>
      <c r="F8" s="8" t="s">
        <v>170</v>
      </c>
      <c r="G8" s="14">
        <v>1600</v>
      </c>
      <c r="H8" s="13" t="s">
        <v>36</v>
      </c>
      <c r="I8" s="14">
        <v>2024</v>
      </c>
      <c r="J8" s="14">
        <v>2100</v>
      </c>
      <c r="K8" s="8" t="str">
        <f>IF(D8="","","/SAP/"&amp;CONCATENATE(D8,"/",E8,"/",F8,"/",G8,"/",H8,"/",I8,"/",J8))</f>
        <v>/SAP/Mzinda/SAP1/DA-HRS/1600/Existing/2024/2100</v>
      </c>
    </row>
    <row r="9" spans="2:11" x14ac:dyDescent="0.35">
      <c r="D9" s="9" t="s">
        <v>3</v>
      </c>
      <c r="E9" s="9" t="s">
        <v>127</v>
      </c>
      <c r="F9" s="9" t="s">
        <v>170</v>
      </c>
      <c r="G9" s="15">
        <v>1600</v>
      </c>
      <c r="H9" s="11" t="s">
        <v>36</v>
      </c>
      <c r="I9" s="15">
        <v>2024</v>
      </c>
      <c r="J9" s="15">
        <v>2100</v>
      </c>
      <c r="K9" s="9" t="str">
        <f t="shared" ref="K9:K28" si="0">IF(D9="","","/SAP/"&amp;CONCATENATE(D9,"/",E9,"/",F9,"/",G9,"/",H9,"/",I9,"/",J9))</f>
        <v>/SAP/Mzinda/SAP2/DA-HRS/1600/Existing/2024/2100</v>
      </c>
    </row>
    <row r="10" spans="2:11" x14ac:dyDescent="0.35">
      <c r="D10" s="9" t="s">
        <v>3</v>
      </c>
      <c r="E10" s="9" t="s">
        <v>128</v>
      </c>
      <c r="F10" s="9" t="s">
        <v>170</v>
      </c>
      <c r="G10" s="15">
        <v>1600</v>
      </c>
      <c r="H10" s="11" t="s">
        <v>36</v>
      </c>
      <c r="I10" s="15">
        <v>2024</v>
      </c>
      <c r="J10" s="15">
        <v>2100</v>
      </c>
      <c r="K10" s="9" t="str">
        <f t="shared" si="0"/>
        <v>/SAP/Mzinda/SAP3/DA-HRS/1600/Existing/2024/2100</v>
      </c>
    </row>
    <row r="11" spans="2:11" x14ac:dyDescent="0.35">
      <c r="D11" s="9" t="s">
        <v>3</v>
      </c>
      <c r="E11" s="9">
        <v>8</v>
      </c>
      <c r="F11" s="9" t="s">
        <v>170</v>
      </c>
      <c r="G11" s="15">
        <v>1600</v>
      </c>
      <c r="H11" s="11" t="s">
        <v>150</v>
      </c>
      <c r="I11" s="15">
        <v>2024</v>
      </c>
      <c r="J11" s="15">
        <v>2100</v>
      </c>
      <c r="K11" s="9" t="str">
        <f t="shared" si="0"/>
        <v>/SAP/Mzinda/8/DA-HRS/1600/New/2024/2100</v>
      </c>
    </row>
    <row r="12" spans="2:11" x14ac:dyDescent="0.35">
      <c r="D12" s="9" t="s">
        <v>3</v>
      </c>
      <c r="E12" s="9">
        <v>4</v>
      </c>
      <c r="F12" s="9" t="s">
        <v>171</v>
      </c>
      <c r="G12" s="15">
        <v>3200</v>
      </c>
      <c r="H12" s="11" t="s">
        <v>150</v>
      </c>
      <c r="I12" s="15">
        <v>2028</v>
      </c>
      <c r="J12" s="15">
        <v>2100</v>
      </c>
      <c r="K12" s="9" t="str">
        <f t="shared" si="0"/>
        <v>/SAP/Mzinda/4/Core SO2/3200/New/2028/2100</v>
      </c>
    </row>
    <row r="13" spans="2:11" x14ac:dyDescent="0.35">
      <c r="D13" s="9" t="s">
        <v>3</v>
      </c>
      <c r="E13" s="9">
        <v>4</v>
      </c>
      <c r="F13" s="9" t="s">
        <v>171</v>
      </c>
      <c r="G13" s="15">
        <v>1600</v>
      </c>
      <c r="H13" s="11" t="s">
        <v>150</v>
      </c>
      <c r="I13" s="15">
        <v>2028</v>
      </c>
      <c r="J13" s="15">
        <v>2100</v>
      </c>
      <c r="K13" s="9" t="str">
        <f t="shared" si="0"/>
        <v>/SAP/Mzinda/4/Core SO2/1600/New/2028/2100</v>
      </c>
    </row>
    <row r="14" spans="2:11" x14ac:dyDescent="0.35">
      <c r="D14" s="9" t="s">
        <v>26</v>
      </c>
      <c r="E14" s="9">
        <v>8</v>
      </c>
      <c r="F14" s="9" t="s">
        <v>170</v>
      </c>
      <c r="G14" s="15">
        <v>1600</v>
      </c>
      <c r="H14" s="11" t="s">
        <v>150</v>
      </c>
      <c r="I14" s="15">
        <v>2024</v>
      </c>
      <c r="J14" s="15">
        <v>2100</v>
      </c>
      <c r="K14" s="9" t="str">
        <f t="shared" si="0"/>
        <v>/SAP/Safi/8/DA-HRS/1600/New/2024/2100</v>
      </c>
    </row>
    <row r="15" spans="2:11" x14ac:dyDescent="0.35">
      <c r="D15" s="9" t="s">
        <v>26</v>
      </c>
      <c r="E15" s="9">
        <v>4</v>
      </c>
      <c r="F15" s="9" t="s">
        <v>171</v>
      </c>
      <c r="G15" s="15">
        <v>3200</v>
      </c>
      <c r="H15" s="11" t="s">
        <v>150</v>
      </c>
      <c r="I15" s="15">
        <v>2028</v>
      </c>
      <c r="J15" s="15">
        <v>2100</v>
      </c>
      <c r="K15" s="9" t="str">
        <f t="shared" si="0"/>
        <v>/SAP/Safi/4/Core SO2/3200/New/2028/2100</v>
      </c>
    </row>
    <row r="16" spans="2:11" x14ac:dyDescent="0.35">
      <c r="D16" s="9" t="s">
        <v>26</v>
      </c>
      <c r="E16" s="9">
        <v>4</v>
      </c>
      <c r="F16" s="9" t="s">
        <v>171</v>
      </c>
      <c r="G16" s="15">
        <v>1600</v>
      </c>
      <c r="H16" s="11" t="s">
        <v>150</v>
      </c>
      <c r="I16" s="15">
        <v>2028</v>
      </c>
      <c r="J16" s="15">
        <v>2100</v>
      </c>
      <c r="K16" s="9" t="str">
        <f t="shared" si="0"/>
        <v>/SAP/Safi/4/Core SO2/1600/New/2028/2100</v>
      </c>
    </row>
    <row r="17" spans="4:11" x14ac:dyDescent="0.35">
      <c r="D17" s="9"/>
      <c r="E17" s="9"/>
      <c r="F17" s="9"/>
      <c r="G17" s="15"/>
      <c r="H17" s="11"/>
      <c r="I17" s="15"/>
      <c r="J17" s="15"/>
      <c r="K17" s="9"/>
    </row>
    <row r="18" spans="4:11" x14ac:dyDescent="0.35">
      <c r="D18" s="9"/>
      <c r="E18" s="9"/>
      <c r="F18" s="9"/>
      <c r="G18" s="15"/>
      <c r="H18" s="11"/>
      <c r="I18" s="15"/>
      <c r="J18" s="15"/>
      <c r="K18" s="9"/>
    </row>
    <row r="19" spans="4:11" x14ac:dyDescent="0.35">
      <c r="D19" s="9"/>
      <c r="E19" s="9"/>
      <c r="F19" s="9"/>
      <c r="G19" s="15"/>
      <c r="H19" s="11"/>
      <c r="I19" s="15"/>
      <c r="J19" s="15"/>
      <c r="K19" s="9"/>
    </row>
    <row r="20" spans="4:11" x14ac:dyDescent="0.35">
      <c r="D20" s="9"/>
      <c r="E20" s="9"/>
      <c r="F20" s="9"/>
      <c r="G20" s="15"/>
      <c r="H20" s="11"/>
      <c r="I20" s="15"/>
      <c r="J20" s="15"/>
      <c r="K20" s="9" t="str">
        <f t="shared" si="0"/>
        <v/>
      </c>
    </row>
    <row r="21" spans="4:11" x14ac:dyDescent="0.35">
      <c r="D21" s="9"/>
      <c r="E21" s="9"/>
      <c r="F21" s="9"/>
      <c r="G21" s="15"/>
      <c r="H21" s="11"/>
      <c r="I21" s="15"/>
      <c r="J21" s="15"/>
      <c r="K21" s="9" t="str">
        <f t="shared" si="0"/>
        <v/>
      </c>
    </row>
    <row r="22" spans="4:11" x14ac:dyDescent="0.35">
      <c r="D22" s="9"/>
      <c r="E22" s="9"/>
      <c r="F22" s="9"/>
      <c r="G22" s="15"/>
      <c r="H22" s="11"/>
      <c r="I22" s="15"/>
      <c r="J22" s="15"/>
      <c r="K22" s="9" t="str">
        <f t="shared" si="0"/>
        <v/>
      </c>
    </row>
    <row r="23" spans="4:11" x14ac:dyDescent="0.35">
      <c r="D23" s="9"/>
      <c r="E23" s="9"/>
      <c r="F23" s="9"/>
      <c r="G23" s="15"/>
      <c r="H23" s="11"/>
      <c r="I23" s="15"/>
      <c r="J23" s="15"/>
      <c r="K23" s="9" t="str">
        <f t="shared" si="0"/>
        <v/>
      </c>
    </row>
    <row r="24" spans="4:11" x14ac:dyDescent="0.35">
      <c r="D24" s="9"/>
      <c r="E24" s="9"/>
      <c r="F24" s="9"/>
      <c r="G24" s="15"/>
      <c r="H24" s="11"/>
      <c r="I24" s="15"/>
      <c r="J24" s="15"/>
      <c r="K24" s="9" t="str">
        <f t="shared" si="0"/>
        <v/>
      </c>
    </row>
    <row r="25" spans="4:11" x14ac:dyDescent="0.35">
      <c r="D25" s="9"/>
      <c r="E25" s="9"/>
      <c r="F25" s="9"/>
      <c r="G25" s="15"/>
      <c r="H25" s="11"/>
      <c r="I25" s="15"/>
      <c r="J25" s="15"/>
      <c r="K25" s="9" t="str">
        <f t="shared" si="0"/>
        <v/>
      </c>
    </row>
    <row r="26" spans="4:11" x14ac:dyDescent="0.35">
      <c r="D26" s="9"/>
      <c r="E26" s="9"/>
      <c r="F26" s="9"/>
      <c r="G26" s="15"/>
      <c r="H26" s="11"/>
      <c r="I26" s="15"/>
      <c r="J26" s="15"/>
      <c r="K26" s="9" t="str">
        <f t="shared" si="0"/>
        <v/>
      </c>
    </row>
    <row r="27" spans="4:11" ht="15" thickBot="1" x14ac:dyDescent="0.4">
      <c r="D27" s="10"/>
      <c r="E27" s="10"/>
      <c r="F27" s="10"/>
      <c r="G27" s="16"/>
      <c r="H27" s="12"/>
      <c r="I27" s="16"/>
      <c r="J27" s="16"/>
      <c r="K27" s="10" t="str">
        <f t="shared" si="0"/>
        <v/>
      </c>
    </row>
    <row r="28" spans="4:11" x14ac:dyDescent="0.35">
      <c r="D28" s="5" t="e">
        <v>#N/A</v>
      </c>
      <c r="E28" s="5" t="e">
        <v>#N/A</v>
      </c>
      <c r="F28" s="5" t="e">
        <v>#N/A</v>
      </c>
      <c r="G28" s="5" t="e">
        <v>#N/A</v>
      </c>
      <c r="H28" s="5" t="e">
        <v>#N/A</v>
      </c>
      <c r="I28" s="5" t="e">
        <v>#N/A</v>
      </c>
      <c r="J28" s="5" t="e">
        <v>#N/A</v>
      </c>
      <c r="K28" s="5" t="e">
        <f t="shared" si="0"/>
        <v>#N/A</v>
      </c>
    </row>
  </sheetData>
  <dataValidations count="5">
    <dataValidation type="list" allowBlank="1" showInputMessage="1" showErrorMessage="1" sqref="H14:H27 H5:H13">
      <formula1>"Existing,New"</formula1>
    </dataValidation>
    <dataValidation type="list" allowBlank="1" showInputMessage="1" showErrorMessage="1" sqref="D14:D27 D5:D13">
      <formula1>Location</formula1>
    </dataValidation>
    <dataValidation type="list" allowBlank="1" showInputMessage="1" showErrorMessage="1" sqref="G14:G27 G5:G13">
      <formula1>SAPSize</formula1>
    </dataValidation>
    <dataValidation type="list" allowBlank="1" showInputMessage="1" showErrorMessage="1" sqref="F14:F27 F5:F13">
      <formula1>SAPProcess</formula1>
    </dataValidation>
    <dataValidation type="list" allowBlank="1" showInputMessage="1" showErrorMessage="1" sqref="E14:E27 E5:E13">
      <formula1>SAPName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workbookViewId="0">
      <selection activeCell="D11" sqref="D11:D14"/>
    </sheetView>
  </sheetViews>
  <sheetFormatPr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28.36328125" style="5" customWidth="1"/>
    <col min="6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61" customFormat="1" ht="25.25" customHeight="1" x14ac:dyDescent="0.35">
      <c r="B1" s="57" t="s">
        <v>184</v>
      </c>
    </row>
    <row r="3" spans="2:18" ht="15" thickBot="1" x14ac:dyDescent="0.4">
      <c r="D3" s="38" t="str">
        <f>JESA_UploadTable(B1,D4:R50)</f>
        <v>sap___power_plant_production Saved! @08:33:44</v>
      </c>
      <c r="E3" s="38"/>
    </row>
    <row r="4" spans="2:18" ht="30" customHeight="1" thickBot="1" x14ac:dyDescent="0.4">
      <c r="D4" s="63" t="s">
        <v>8</v>
      </c>
      <c r="E4" s="63" t="s">
        <v>25</v>
      </c>
      <c r="F4" s="63" t="s">
        <v>24</v>
      </c>
      <c r="G4" s="65" t="s">
        <v>17</v>
      </c>
      <c r="H4" s="66" t="s">
        <v>37</v>
      </c>
      <c r="I4" s="66" t="s">
        <v>38</v>
      </c>
      <c r="J4" s="66" t="s">
        <v>39</v>
      </c>
      <c r="K4" s="66" t="s">
        <v>40</v>
      </c>
      <c r="L4" s="66" t="s">
        <v>41</v>
      </c>
      <c r="M4" s="66" t="s">
        <v>42</v>
      </c>
      <c r="N4" s="66" t="s">
        <v>43</v>
      </c>
      <c r="O4" s="66" t="s">
        <v>44</v>
      </c>
      <c r="P4" s="66" t="s">
        <v>45</v>
      </c>
      <c r="Q4" s="66" t="s">
        <v>46</v>
      </c>
      <c r="R4" s="66" t="s">
        <v>47</v>
      </c>
    </row>
    <row r="5" spans="2:18" x14ac:dyDescent="0.35">
      <c r="D5" s="8" t="s">
        <v>3</v>
      </c>
      <c r="E5" s="8" t="s">
        <v>170</v>
      </c>
      <c r="F5" s="8" t="s">
        <v>29</v>
      </c>
      <c r="G5" s="8" t="s">
        <v>58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3</v>
      </c>
      <c r="E6" s="9" t="s">
        <v>170</v>
      </c>
      <c r="F6" s="9" t="s">
        <v>15</v>
      </c>
      <c r="G6" s="9" t="s">
        <v>66</v>
      </c>
      <c r="H6" s="20">
        <v>430</v>
      </c>
      <c r="I6" s="20">
        <f t="shared" ref="I6:R21" si="1">IF(H6="","",H6)</f>
        <v>430</v>
      </c>
      <c r="J6" s="20">
        <f t="shared" si="1"/>
        <v>430</v>
      </c>
      <c r="K6" s="20">
        <f t="shared" si="1"/>
        <v>430</v>
      </c>
      <c r="L6" s="20">
        <f t="shared" si="1"/>
        <v>430</v>
      </c>
      <c r="M6" s="20">
        <f t="shared" si="1"/>
        <v>430</v>
      </c>
      <c r="N6" s="20">
        <f t="shared" si="1"/>
        <v>430</v>
      </c>
      <c r="O6" s="20">
        <f t="shared" si="1"/>
        <v>430</v>
      </c>
      <c r="P6" s="20">
        <f t="shared" si="1"/>
        <v>430</v>
      </c>
      <c r="Q6" s="20">
        <f t="shared" si="1"/>
        <v>430</v>
      </c>
      <c r="R6" s="20">
        <f t="shared" si="1"/>
        <v>430</v>
      </c>
    </row>
    <row r="7" spans="2:18" x14ac:dyDescent="0.35">
      <c r="D7" s="9" t="s">
        <v>3</v>
      </c>
      <c r="E7" s="9" t="s">
        <v>171</v>
      </c>
      <c r="F7" s="9" t="s">
        <v>29</v>
      </c>
      <c r="G7" s="9" t="s">
        <v>58</v>
      </c>
      <c r="H7" s="20">
        <v>1</v>
      </c>
      <c r="I7" s="20">
        <f t="shared" si="1"/>
        <v>1</v>
      </c>
      <c r="J7" s="20">
        <f t="shared" si="1"/>
        <v>1</v>
      </c>
      <c r="K7" s="20">
        <f t="shared" si="1"/>
        <v>1</v>
      </c>
      <c r="L7" s="20">
        <f t="shared" si="1"/>
        <v>1</v>
      </c>
      <c r="M7" s="20">
        <f t="shared" si="1"/>
        <v>1</v>
      </c>
      <c r="N7" s="20">
        <f t="shared" si="1"/>
        <v>1</v>
      </c>
      <c r="O7" s="20">
        <f t="shared" si="1"/>
        <v>1</v>
      </c>
      <c r="P7" s="20">
        <f t="shared" si="1"/>
        <v>1</v>
      </c>
      <c r="Q7" s="20">
        <f t="shared" si="1"/>
        <v>1</v>
      </c>
      <c r="R7" s="20">
        <f t="shared" si="1"/>
        <v>1</v>
      </c>
    </row>
    <row r="8" spans="2:18" x14ac:dyDescent="0.35">
      <c r="D8" s="9" t="s">
        <v>3</v>
      </c>
      <c r="E8" s="9" t="s">
        <v>171</v>
      </c>
      <c r="F8" s="9" t="s">
        <v>15</v>
      </c>
      <c r="G8" s="9" t="s">
        <v>66</v>
      </c>
      <c r="H8" s="20">
        <v>470</v>
      </c>
      <c r="I8" s="20">
        <f t="shared" si="1"/>
        <v>470</v>
      </c>
      <c r="J8" s="20">
        <f t="shared" si="1"/>
        <v>470</v>
      </c>
      <c r="K8" s="20">
        <f t="shared" si="1"/>
        <v>470</v>
      </c>
      <c r="L8" s="20">
        <f t="shared" si="1"/>
        <v>470</v>
      </c>
      <c r="M8" s="20">
        <f t="shared" si="1"/>
        <v>470</v>
      </c>
      <c r="N8" s="20">
        <f t="shared" si="1"/>
        <v>470</v>
      </c>
      <c r="O8" s="20">
        <f t="shared" si="1"/>
        <v>470</v>
      </c>
      <c r="P8" s="20">
        <f t="shared" si="1"/>
        <v>470</v>
      </c>
      <c r="Q8" s="20">
        <f t="shared" si="1"/>
        <v>470</v>
      </c>
      <c r="R8" s="20">
        <f t="shared" si="1"/>
        <v>470</v>
      </c>
    </row>
    <row r="9" spans="2:18" x14ac:dyDescent="0.35">
      <c r="D9" s="9" t="s">
        <v>26</v>
      </c>
      <c r="E9" s="9" t="s">
        <v>173</v>
      </c>
      <c r="F9" s="9" t="s">
        <v>29</v>
      </c>
      <c r="G9" s="9" t="s">
        <v>58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5">
      <c r="D10" s="9" t="s">
        <v>26</v>
      </c>
      <c r="E10" s="9" t="s">
        <v>173</v>
      </c>
      <c r="F10" s="9" t="s">
        <v>15</v>
      </c>
      <c r="G10" s="9" t="s">
        <v>66</v>
      </c>
      <c r="H10" s="20">
        <v>0</v>
      </c>
      <c r="I10" s="20">
        <f t="shared" si="1"/>
        <v>0</v>
      </c>
      <c r="J10" s="20">
        <f t="shared" si="1"/>
        <v>0</v>
      </c>
      <c r="K10" s="20">
        <f t="shared" si="1"/>
        <v>0</v>
      </c>
      <c r="L10" s="20">
        <f t="shared" si="1"/>
        <v>0</v>
      </c>
      <c r="M10" s="20">
        <f t="shared" si="1"/>
        <v>0</v>
      </c>
      <c r="N10" s="20">
        <f t="shared" si="1"/>
        <v>0</v>
      </c>
      <c r="O10" s="20">
        <f t="shared" si="1"/>
        <v>0</v>
      </c>
      <c r="P10" s="20">
        <f t="shared" si="1"/>
        <v>0</v>
      </c>
      <c r="Q10" s="20">
        <f t="shared" si="1"/>
        <v>0</v>
      </c>
      <c r="R10" s="20">
        <f t="shared" si="1"/>
        <v>0</v>
      </c>
    </row>
    <row r="11" spans="2:18" x14ac:dyDescent="0.35">
      <c r="D11" s="9"/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35">
      <c r="D12" s="9"/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35">
      <c r="D13" s="9"/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35">
      <c r="D14" s="9"/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3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ref="I22:R37" si="2">IF(H22="","",H22)</f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35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5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5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5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5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5">
      <c r="D38" s="9"/>
      <c r="E38" s="9"/>
      <c r="F38" s="9"/>
      <c r="G38" s="9"/>
      <c r="H38" s="20"/>
      <c r="I38" s="20" t="str">
        <f t="shared" ref="I38:R50" si="3">IF(H38="","",H38)</f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35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5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5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5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5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5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x14ac:dyDescent="0.35">
      <c r="D49" s="9"/>
      <c r="E49" s="9"/>
      <c r="F49" s="9"/>
      <c r="G49" s="9"/>
      <c r="H49" s="20"/>
      <c r="I49" s="20" t="str">
        <f t="shared" si="3"/>
        <v/>
      </c>
      <c r="J49" s="20" t="str">
        <f t="shared" si="3"/>
        <v/>
      </c>
      <c r="K49" s="20" t="str">
        <f t="shared" si="3"/>
        <v/>
      </c>
      <c r="L49" s="20" t="str">
        <f t="shared" si="3"/>
        <v/>
      </c>
      <c r="M49" s="20" t="str">
        <f t="shared" si="3"/>
        <v/>
      </c>
      <c r="N49" s="20" t="str">
        <f t="shared" si="3"/>
        <v/>
      </c>
      <c r="O49" s="20" t="str">
        <f t="shared" si="3"/>
        <v/>
      </c>
      <c r="P49" s="20" t="str">
        <f t="shared" si="3"/>
        <v/>
      </c>
      <c r="Q49" s="20" t="str">
        <f t="shared" si="3"/>
        <v/>
      </c>
      <c r="R49" s="20" t="str">
        <f t="shared" si="3"/>
        <v/>
      </c>
    </row>
    <row r="50" spans="4:18" ht="15" thickBot="1" x14ac:dyDescent="0.4">
      <c r="D50" s="10"/>
      <c r="E50" s="10"/>
      <c r="F50" s="10"/>
      <c r="G50" s="10"/>
      <c r="H50" s="28"/>
      <c r="I50" s="28" t="str">
        <f t="shared" si="3"/>
        <v/>
      </c>
      <c r="J50" s="28" t="str">
        <f t="shared" si="3"/>
        <v/>
      </c>
      <c r="K50" s="28" t="str">
        <f t="shared" si="3"/>
        <v/>
      </c>
      <c r="L50" s="28" t="str">
        <f t="shared" si="3"/>
        <v/>
      </c>
      <c r="M50" s="28" t="str">
        <f t="shared" si="3"/>
        <v/>
      </c>
      <c r="N50" s="28" t="str">
        <f t="shared" si="3"/>
        <v/>
      </c>
      <c r="O50" s="28" t="str">
        <f t="shared" si="3"/>
        <v/>
      </c>
      <c r="P50" s="28" t="str">
        <f t="shared" si="3"/>
        <v/>
      </c>
      <c r="Q50" s="28" t="str">
        <f t="shared" si="3"/>
        <v/>
      </c>
      <c r="R50" s="28" t="str">
        <f t="shared" si="3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R51"/>
  <sheetViews>
    <sheetView workbookViewId="0">
      <selection activeCell="A5" sqref="A5"/>
    </sheetView>
  </sheetViews>
  <sheetFormatPr defaultColWidth="11.54296875" defaultRowHeight="14.5" outlineLevelCol="1" x14ac:dyDescent="0.35"/>
  <cols>
    <col min="1" max="3" width="3.6328125" style="5" customWidth="1"/>
    <col min="4" max="5" width="15.6328125" style="5" customWidth="1"/>
    <col min="6" max="6" width="23.453125" style="5" customWidth="1"/>
    <col min="7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1:18" s="61" customFormat="1" ht="25.25" customHeight="1" x14ac:dyDescent="0.35">
      <c r="B1" s="67" t="s">
        <v>185</v>
      </c>
    </row>
    <row r="2" spans="1:18" x14ac:dyDescent="0.35">
      <c r="A2" s="68"/>
    </row>
    <row r="3" spans="1:18" ht="15" thickBot="1" x14ac:dyDescent="0.4">
      <c r="D3" s="38" t="str">
        <f>JESA_UploadTable(B1,D4:R50)</f>
        <v>sap___power_plant_opex___specific_consumptions Saved! @08:34:26</v>
      </c>
    </row>
    <row r="4" spans="1:18" ht="30" customHeight="1" thickBot="1" x14ac:dyDescent="0.4">
      <c r="D4" s="63" t="s">
        <v>8</v>
      </c>
      <c r="E4" s="63" t="s">
        <v>25</v>
      </c>
      <c r="F4" s="63" t="s">
        <v>12</v>
      </c>
      <c r="G4" s="65" t="s">
        <v>17</v>
      </c>
      <c r="H4" s="66" t="s">
        <v>37</v>
      </c>
      <c r="I4" s="66" t="s">
        <v>38</v>
      </c>
      <c r="J4" s="66" t="s">
        <v>39</v>
      </c>
      <c r="K4" s="66" t="s">
        <v>40</v>
      </c>
      <c r="L4" s="66" t="s">
        <v>41</v>
      </c>
      <c r="M4" s="66" t="s">
        <v>42</v>
      </c>
      <c r="N4" s="66" t="s">
        <v>43</v>
      </c>
      <c r="O4" s="66" t="s">
        <v>44</v>
      </c>
      <c r="P4" s="66" t="s">
        <v>45</v>
      </c>
      <c r="Q4" s="66" t="s">
        <v>46</v>
      </c>
      <c r="R4" s="66" t="s">
        <v>47</v>
      </c>
    </row>
    <row r="5" spans="1:18" x14ac:dyDescent="0.35">
      <c r="D5" s="8" t="s">
        <v>3</v>
      </c>
      <c r="E5" s="8" t="s">
        <v>170</v>
      </c>
      <c r="F5" s="8" t="s">
        <v>13</v>
      </c>
      <c r="G5" s="8" t="s">
        <v>62</v>
      </c>
      <c r="H5" s="18">
        <v>0.33</v>
      </c>
      <c r="I5" s="18">
        <f t="shared" ref="I5:I29" si="0">IF(H5="","",H5)</f>
        <v>0.33</v>
      </c>
      <c r="J5" s="18">
        <f t="shared" ref="J5:J29" si="1">IF(I5="","",I5)</f>
        <v>0.33</v>
      </c>
      <c r="K5" s="18">
        <f t="shared" ref="K5:K29" si="2">IF(J5="","",J5)</f>
        <v>0.33</v>
      </c>
      <c r="L5" s="18">
        <f t="shared" ref="L5:L29" si="3">IF(K5="","",K5)</f>
        <v>0.33</v>
      </c>
      <c r="M5" s="18">
        <f t="shared" ref="M5:M29" si="4">IF(L5="","",L5)</f>
        <v>0.33</v>
      </c>
      <c r="N5" s="18">
        <f t="shared" ref="N5:N29" si="5">IF(M5="","",M5)</f>
        <v>0.33</v>
      </c>
      <c r="O5" s="18">
        <f t="shared" ref="O5:O29" si="6">IF(N5="","",N5)</f>
        <v>0.33</v>
      </c>
      <c r="P5" s="18">
        <f t="shared" ref="P5:P29" si="7">IF(O5="","",O5)</f>
        <v>0.33</v>
      </c>
      <c r="Q5" s="18">
        <f t="shared" ref="Q5:Q29" si="8">IF(P5="","",P5)</f>
        <v>0.33</v>
      </c>
      <c r="R5" s="18">
        <f t="shared" ref="R5:R29" si="9">IF(Q5="","",Q5)</f>
        <v>0.33</v>
      </c>
    </row>
    <row r="6" spans="1:18" x14ac:dyDescent="0.35">
      <c r="D6" s="9" t="s">
        <v>3</v>
      </c>
      <c r="E6" s="9" t="s">
        <v>170</v>
      </c>
      <c r="F6" s="9" t="s">
        <v>15</v>
      </c>
      <c r="G6" s="9" t="s">
        <v>66</v>
      </c>
      <c r="H6" s="18">
        <v>0.33</v>
      </c>
      <c r="I6" s="18">
        <f t="shared" si="0"/>
        <v>0.33</v>
      </c>
      <c r="J6" s="18">
        <f t="shared" si="1"/>
        <v>0.33</v>
      </c>
      <c r="K6" s="18">
        <f t="shared" si="2"/>
        <v>0.33</v>
      </c>
      <c r="L6" s="18">
        <f t="shared" si="3"/>
        <v>0.33</v>
      </c>
      <c r="M6" s="18">
        <f t="shared" si="4"/>
        <v>0.33</v>
      </c>
      <c r="N6" s="18">
        <f t="shared" si="5"/>
        <v>0.33</v>
      </c>
      <c r="O6" s="18">
        <f t="shared" si="6"/>
        <v>0.33</v>
      </c>
      <c r="P6" s="18">
        <f t="shared" si="7"/>
        <v>0.33</v>
      </c>
      <c r="Q6" s="18">
        <f t="shared" si="8"/>
        <v>0.33</v>
      </c>
      <c r="R6" s="18">
        <f t="shared" si="9"/>
        <v>0.33</v>
      </c>
    </row>
    <row r="7" spans="1:18" x14ac:dyDescent="0.35">
      <c r="D7" s="9" t="s">
        <v>3</v>
      </c>
      <c r="E7" s="9" t="s">
        <v>170</v>
      </c>
      <c r="F7" s="9" t="s">
        <v>34</v>
      </c>
      <c r="G7" s="9" t="s">
        <v>58</v>
      </c>
      <c r="H7" s="18">
        <v>0.33</v>
      </c>
      <c r="I7" s="18">
        <f t="shared" ref="I6:R21" si="10">IF(H7="","",H7)</f>
        <v>0.33</v>
      </c>
      <c r="J7" s="18">
        <f t="shared" si="10"/>
        <v>0.33</v>
      </c>
      <c r="K7" s="18">
        <f t="shared" si="10"/>
        <v>0.33</v>
      </c>
      <c r="L7" s="18">
        <f t="shared" si="10"/>
        <v>0.33</v>
      </c>
      <c r="M7" s="18">
        <f t="shared" si="10"/>
        <v>0.33</v>
      </c>
      <c r="N7" s="18">
        <f t="shared" si="10"/>
        <v>0.33</v>
      </c>
      <c r="O7" s="18">
        <f t="shared" si="10"/>
        <v>0.33</v>
      </c>
      <c r="P7" s="18">
        <f t="shared" si="10"/>
        <v>0.33</v>
      </c>
      <c r="Q7" s="18">
        <f t="shared" si="10"/>
        <v>0.33</v>
      </c>
      <c r="R7" s="18">
        <f t="shared" si="10"/>
        <v>0.33</v>
      </c>
    </row>
    <row r="8" spans="1:18" x14ac:dyDescent="0.35">
      <c r="D8" s="9" t="s">
        <v>3</v>
      </c>
      <c r="E8" s="9" t="s">
        <v>170</v>
      </c>
      <c r="F8" s="9" t="s">
        <v>22</v>
      </c>
      <c r="G8" s="9" t="s">
        <v>135</v>
      </c>
      <c r="H8" s="18">
        <v>0.33</v>
      </c>
      <c r="I8" s="18">
        <f t="shared" ref="I8:I29" si="11">IF(H8="","",H8)</f>
        <v>0.33</v>
      </c>
      <c r="J8" s="18">
        <f t="shared" ref="J8:J29" si="12">IF(I8="","",I8)</f>
        <v>0.33</v>
      </c>
      <c r="K8" s="18">
        <f t="shared" ref="K8:K29" si="13">IF(J8="","",J8)</f>
        <v>0.33</v>
      </c>
      <c r="L8" s="18">
        <f t="shared" ref="L8:L29" si="14">IF(K8="","",K8)</f>
        <v>0.33</v>
      </c>
      <c r="M8" s="18">
        <f t="shared" ref="M8:M29" si="15">IF(L8="","",L8)</f>
        <v>0.33</v>
      </c>
      <c r="N8" s="18">
        <f t="shared" ref="N8:N29" si="16">IF(M8="","",M8)</f>
        <v>0.33</v>
      </c>
      <c r="O8" s="18">
        <f t="shared" ref="O8:O29" si="17">IF(N8="","",N8)</f>
        <v>0.33</v>
      </c>
      <c r="P8" s="18">
        <f t="shared" ref="P8:P29" si="18">IF(O8="","",O8)</f>
        <v>0.33</v>
      </c>
      <c r="Q8" s="18">
        <f t="shared" ref="Q8:Q29" si="19">IF(P8="","",P8)</f>
        <v>0.33</v>
      </c>
      <c r="R8" s="18">
        <f t="shared" ref="R8:R29" si="20">IF(Q8="","",Q8)</f>
        <v>0.33</v>
      </c>
    </row>
    <row r="9" spans="1:18" x14ac:dyDescent="0.35">
      <c r="D9" s="9" t="s">
        <v>3</v>
      </c>
      <c r="E9" s="9" t="s">
        <v>171</v>
      </c>
      <c r="F9" s="9" t="s">
        <v>13</v>
      </c>
      <c r="G9" s="9" t="s">
        <v>62</v>
      </c>
      <c r="H9" s="18">
        <v>0.33</v>
      </c>
      <c r="I9" s="18">
        <f t="shared" si="11"/>
        <v>0.33</v>
      </c>
      <c r="J9" s="18">
        <f t="shared" si="12"/>
        <v>0.33</v>
      </c>
      <c r="K9" s="18">
        <f t="shared" si="13"/>
        <v>0.33</v>
      </c>
      <c r="L9" s="18">
        <f t="shared" si="14"/>
        <v>0.33</v>
      </c>
      <c r="M9" s="18">
        <f t="shared" si="15"/>
        <v>0.33</v>
      </c>
      <c r="N9" s="18">
        <f t="shared" si="16"/>
        <v>0.33</v>
      </c>
      <c r="O9" s="18">
        <f t="shared" si="17"/>
        <v>0.33</v>
      </c>
      <c r="P9" s="18">
        <f t="shared" si="18"/>
        <v>0.33</v>
      </c>
      <c r="Q9" s="18">
        <f t="shared" si="19"/>
        <v>0.33</v>
      </c>
      <c r="R9" s="18">
        <f t="shared" si="20"/>
        <v>0.33</v>
      </c>
    </row>
    <row r="10" spans="1:18" x14ac:dyDescent="0.35">
      <c r="D10" s="9" t="s">
        <v>3</v>
      </c>
      <c r="E10" s="9" t="s">
        <v>171</v>
      </c>
      <c r="F10" s="9" t="s">
        <v>15</v>
      </c>
      <c r="G10" s="9" t="s">
        <v>66</v>
      </c>
      <c r="H10" s="18">
        <v>0.33</v>
      </c>
      <c r="I10" s="18">
        <f t="shared" si="11"/>
        <v>0.33</v>
      </c>
      <c r="J10" s="18">
        <f t="shared" si="12"/>
        <v>0.33</v>
      </c>
      <c r="K10" s="18">
        <f t="shared" si="13"/>
        <v>0.33</v>
      </c>
      <c r="L10" s="18">
        <f t="shared" si="14"/>
        <v>0.33</v>
      </c>
      <c r="M10" s="18">
        <f t="shared" si="15"/>
        <v>0.33</v>
      </c>
      <c r="N10" s="18">
        <f t="shared" si="16"/>
        <v>0.33</v>
      </c>
      <c r="O10" s="18">
        <f t="shared" si="17"/>
        <v>0.33</v>
      </c>
      <c r="P10" s="18">
        <f t="shared" si="18"/>
        <v>0.33</v>
      </c>
      <c r="Q10" s="18">
        <f t="shared" si="19"/>
        <v>0.33</v>
      </c>
      <c r="R10" s="18">
        <f t="shared" si="20"/>
        <v>0.33</v>
      </c>
    </row>
    <row r="11" spans="1:18" x14ac:dyDescent="0.35">
      <c r="D11" s="9" t="s">
        <v>3</v>
      </c>
      <c r="E11" s="9" t="s">
        <v>171</v>
      </c>
      <c r="F11" s="9" t="s">
        <v>34</v>
      </c>
      <c r="G11" s="9" t="s">
        <v>58</v>
      </c>
      <c r="H11" s="18">
        <v>0.33</v>
      </c>
      <c r="I11" s="18">
        <f t="shared" si="11"/>
        <v>0.33</v>
      </c>
      <c r="J11" s="18">
        <f t="shared" si="12"/>
        <v>0.33</v>
      </c>
      <c r="K11" s="18">
        <f t="shared" si="13"/>
        <v>0.33</v>
      </c>
      <c r="L11" s="18">
        <f t="shared" si="14"/>
        <v>0.33</v>
      </c>
      <c r="M11" s="18">
        <f t="shared" si="15"/>
        <v>0.33</v>
      </c>
      <c r="N11" s="18">
        <f t="shared" si="16"/>
        <v>0.33</v>
      </c>
      <c r="O11" s="18">
        <f t="shared" si="17"/>
        <v>0.33</v>
      </c>
      <c r="P11" s="18">
        <f t="shared" si="18"/>
        <v>0.33</v>
      </c>
      <c r="Q11" s="18">
        <f t="shared" si="19"/>
        <v>0.33</v>
      </c>
      <c r="R11" s="18">
        <f t="shared" si="20"/>
        <v>0.33</v>
      </c>
    </row>
    <row r="12" spans="1:18" x14ac:dyDescent="0.35">
      <c r="D12" s="9" t="s">
        <v>3</v>
      </c>
      <c r="E12" s="9" t="s">
        <v>171</v>
      </c>
      <c r="F12" s="9" t="s">
        <v>158</v>
      </c>
      <c r="G12" s="9" t="s">
        <v>58</v>
      </c>
      <c r="H12" s="18">
        <v>0.33</v>
      </c>
      <c r="I12" s="18">
        <f t="shared" si="11"/>
        <v>0.33</v>
      </c>
      <c r="J12" s="18">
        <f t="shared" si="12"/>
        <v>0.33</v>
      </c>
      <c r="K12" s="18">
        <f t="shared" si="13"/>
        <v>0.33</v>
      </c>
      <c r="L12" s="18">
        <f t="shared" si="14"/>
        <v>0.33</v>
      </c>
      <c r="M12" s="18">
        <f t="shared" si="15"/>
        <v>0.33</v>
      </c>
      <c r="N12" s="18">
        <f t="shared" si="16"/>
        <v>0.33</v>
      </c>
      <c r="O12" s="18">
        <f t="shared" si="17"/>
        <v>0.33</v>
      </c>
      <c r="P12" s="18">
        <f t="shared" si="18"/>
        <v>0.33</v>
      </c>
      <c r="Q12" s="18">
        <f t="shared" si="19"/>
        <v>0.33</v>
      </c>
      <c r="R12" s="18">
        <f t="shared" si="20"/>
        <v>0.33</v>
      </c>
    </row>
    <row r="13" spans="1:18" x14ac:dyDescent="0.35">
      <c r="D13" s="9" t="s">
        <v>3</v>
      </c>
      <c r="E13" s="9" t="s">
        <v>171</v>
      </c>
      <c r="F13" s="9" t="s">
        <v>22</v>
      </c>
      <c r="G13" s="9" t="s">
        <v>135</v>
      </c>
      <c r="H13" s="18">
        <v>0.33</v>
      </c>
      <c r="I13" s="18">
        <f t="shared" si="11"/>
        <v>0.33</v>
      </c>
      <c r="J13" s="18">
        <f t="shared" si="12"/>
        <v>0.33</v>
      </c>
      <c r="K13" s="18">
        <f t="shared" si="13"/>
        <v>0.33</v>
      </c>
      <c r="L13" s="18">
        <f t="shared" si="14"/>
        <v>0.33</v>
      </c>
      <c r="M13" s="18">
        <f t="shared" si="15"/>
        <v>0.33</v>
      </c>
      <c r="N13" s="18">
        <f t="shared" si="16"/>
        <v>0.33</v>
      </c>
      <c r="O13" s="18">
        <f t="shared" si="17"/>
        <v>0.33</v>
      </c>
      <c r="P13" s="18">
        <f t="shared" si="18"/>
        <v>0.33</v>
      </c>
      <c r="Q13" s="18">
        <f t="shared" si="19"/>
        <v>0.33</v>
      </c>
      <c r="R13" s="18">
        <f t="shared" si="20"/>
        <v>0.33</v>
      </c>
    </row>
    <row r="14" spans="1:18" x14ac:dyDescent="0.35">
      <c r="D14" s="9" t="s">
        <v>26</v>
      </c>
      <c r="E14" s="9" t="s">
        <v>170</v>
      </c>
      <c r="F14" s="9" t="s">
        <v>13</v>
      </c>
      <c r="G14" s="9" t="s">
        <v>62</v>
      </c>
      <c r="H14" s="18">
        <v>0.33</v>
      </c>
      <c r="I14" s="18">
        <f t="shared" si="11"/>
        <v>0.33</v>
      </c>
      <c r="J14" s="18">
        <f t="shared" si="12"/>
        <v>0.33</v>
      </c>
      <c r="K14" s="18">
        <f t="shared" si="13"/>
        <v>0.33</v>
      </c>
      <c r="L14" s="18">
        <f t="shared" si="14"/>
        <v>0.33</v>
      </c>
      <c r="M14" s="18">
        <f t="shared" si="15"/>
        <v>0.33</v>
      </c>
      <c r="N14" s="18">
        <f t="shared" si="16"/>
        <v>0.33</v>
      </c>
      <c r="O14" s="18">
        <f t="shared" si="17"/>
        <v>0.33</v>
      </c>
      <c r="P14" s="18">
        <f t="shared" si="18"/>
        <v>0.33</v>
      </c>
      <c r="Q14" s="18">
        <f t="shared" si="19"/>
        <v>0.33</v>
      </c>
      <c r="R14" s="18">
        <f t="shared" si="20"/>
        <v>0.33</v>
      </c>
    </row>
    <row r="15" spans="1:18" x14ac:dyDescent="0.35">
      <c r="D15" s="9" t="s">
        <v>26</v>
      </c>
      <c r="E15" s="9" t="s">
        <v>170</v>
      </c>
      <c r="F15" s="9" t="s">
        <v>15</v>
      </c>
      <c r="G15" s="9" t="s">
        <v>66</v>
      </c>
      <c r="H15" s="18">
        <v>0.33</v>
      </c>
      <c r="I15" s="18">
        <f t="shared" si="11"/>
        <v>0.33</v>
      </c>
      <c r="J15" s="18">
        <f t="shared" si="12"/>
        <v>0.33</v>
      </c>
      <c r="K15" s="18">
        <f t="shared" si="13"/>
        <v>0.33</v>
      </c>
      <c r="L15" s="18">
        <f t="shared" si="14"/>
        <v>0.33</v>
      </c>
      <c r="M15" s="18">
        <f t="shared" si="15"/>
        <v>0.33</v>
      </c>
      <c r="N15" s="18">
        <f t="shared" si="16"/>
        <v>0.33</v>
      </c>
      <c r="O15" s="18">
        <f t="shared" si="17"/>
        <v>0.33</v>
      </c>
      <c r="P15" s="18">
        <f t="shared" si="18"/>
        <v>0.33</v>
      </c>
      <c r="Q15" s="18">
        <f t="shared" si="19"/>
        <v>0.33</v>
      </c>
      <c r="R15" s="18">
        <f t="shared" si="20"/>
        <v>0.33</v>
      </c>
    </row>
    <row r="16" spans="1:18" x14ac:dyDescent="0.35">
      <c r="D16" s="9" t="s">
        <v>26</v>
      </c>
      <c r="E16" s="9" t="s">
        <v>170</v>
      </c>
      <c r="F16" s="9" t="s">
        <v>34</v>
      </c>
      <c r="G16" s="9" t="s">
        <v>58</v>
      </c>
      <c r="H16" s="18">
        <v>0.33</v>
      </c>
      <c r="I16" s="18">
        <f t="shared" si="11"/>
        <v>0.33</v>
      </c>
      <c r="J16" s="18">
        <f t="shared" si="12"/>
        <v>0.33</v>
      </c>
      <c r="K16" s="18">
        <f t="shared" si="13"/>
        <v>0.33</v>
      </c>
      <c r="L16" s="18">
        <f t="shared" si="14"/>
        <v>0.33</v>
      </c>
      <c r="M16" s="18">
        <f t="shared" si="15"/>
        <v>0.33</v>
      </c>
      <c r="N16" s="18">
        <f t="shared" si="16"/>
        <v>0.33</v>
      </c>
      <c r="O16" s="18">
        <f t="shared" si="17"/>
        <v>0.33</v>
      </c>
      <c r="P16" s="18">
        <f t="shared" si="18"/>
        <v>0.33</v>
      </c>
      <c r="Q16" s="18">
        <f t="shared" si="19"/>
        <v>0.33</v>
      </c>
      <c r="R16" s="18">
        <f t="shared" si="20"/>
        <v>0.33</v>
      </c>
    </row>
    <row r="17" spans="4:18" x14ac:dyDescent="0.35">
      <c r="D17" s="9" t="s">
        <v>26</v>
      </c>
      <c r="E17" s="9" t="s">
        <v>170</v>
      </c>
      <c r="F17" s="9" t="s">
        <v>14</v>
      </c>
      <c r="G17" s="9" t="s">
        <v>62</v>
      </c>
      <c r="H17" s="18">
        <v>0.33</v>
      </c>
      <c r="I17" s="18">
        <f t="shared" si="11"/>
        <v>0.33</v>
      </c>
      <c r="J17" s="18">
        <f t="shared" si="12"/>
        <v>0.33</v>
      </c>
      <c r="K17" s="18">
        <f t="shared" si="13"/>
        <v>0.33</v>
      </c>
      <c r="L17" s="18">
        <f t="shared" si="14"/>
        <v>0.33</v>
      </c>
      <c r="M17" s="18">
        <f t="shared" si="15"/>
        <v>0.33</v>
      </c>
      <c r="N17" s="18">
        <f t="shared" si="16"/>
        <v>0.33</v>
      </c>
      <c r="O17" s="18">
        <f t="shared" si="17"/>
        <v>0.33</v>
      </c>
      <c r="P17" s="18">
        <f t="shared" si="18"/>
        <v>0.33</v>
      </c>
      <c r="Q17" s="18">
        <f t="shared" si="19"/>
        <v>0.33</v>
      </c>
      <c r="R17" s="18">
        <f t="shared" si="20"/>
        <v>0.33</v>
      </c>
    </row>
    <row r="18" spans="4:18" x14ac:dyDescent="0.35">
      <c r="D18" s="9" t="s">
        <v>26</v>
      </c>
      <c r="E18" s="9" t="s">
        <v>170</v>
      </c>
      <c r="F18" s="9" t="s">
        <v>22</v>
      </c>
      <c r="G18" s="9" t="s">
        <v>135</v>
      </c>
      <c r="H18" s="18">
        <v>0.33</v>
      </c>
      <c r="I18" s="18">
        <f t="shared" si="11"/>
        <v>0.33</v>
      </c>
      <c r="J18" s="18">
        <f t="shared" si="12"/>
        <v>0.33</v>
      </c>
      <c r="K18" s="18">
        <f t="shared" si="13"/>
        <v>0.33</v>
      </c>
      <c r="L18" s="18">
        <f t="shared" si="14"/>
        <v>0.33</v>
      </c>
      <c r="M18" s="18">
        <f t="shared" si="15"/>
        <v>0.33</v>
      </c>
      <c r="N18" s="18">
        <f t="shared" si="16"/>
        <v>0.33</v>
      </c>
      <c r="O18" s="18">
        <f t="shared" si="17"/>
        <v>0.33</v>
      </c>
      <c r="P18" s="18">
        <f t="shared" si="18"/>
        <v>0.33</v>
      </c>
      <c r="Q18" s="18">
        <f t="shared" si="19"/>
        <v>0.33</v>
      </c>
      <c r="R18" s="18">
        <f t="shared" si="20"/>
        <v>0.33</v>
      </c>
    </row>
    <row r="19" spans="4:18" x14ac:dyDescent="0.35">
      <c r="D19" s="9" t="s">
        <v>26</v>
      </c>
      <c r="E19" s="9" t="s">
        <v>171</v>
      </c>
      <c r="F19" s="9" t="s">
        <v>13</v>
      </c>
      <c r="G19" s="9" t="s">
        <v>62</v>
      </c>
      <c r="H19" s="18">
        <v>0.33</v>
      </c>
      <c r="I19" s="18">
        <f t="shared" si="11"/>
        <v>0.33</v>
      </c>
      <c r="J19" s="18">
        <f t="shared" si="12"/>
        <v>0.33</v>
      </c>
      <c r="K19" s="18">
        <f t="shared" si="13"/>
        <v>0.33</v>
      </c>
      <c r="L19" s="18">
        <f t="shared" si="14"/>
        <v>0.33</v>
      </c>
      <c r="M19" s="18">
        <f t="shared" si="15"/>
        <v>0.33</v>
      </c>
      <c r="N19" s="18">
        <f t="shared" si="16"/>
        <v>0.33</v>
      </c>
      <c r="O19" s="18">
        <f t="shared" si="17"/>
        <v>0.33</v>
      </c>
      <c r="P19" s="18">
        <f t="shared" si="18"/>
        <v>0.33</v>
      </c>
      <c r="Q19" s="18">
        <f t="shared" si="19"/>
        <v>0.33</v>
      </c>
      <c r="R19" s="18">
        <f t="shared" si="20"/>
        <v>0.33</v>
      </c>
    </row>
    <row r="20" spans="4:18" x14ac:dyDescent="0.35">
      <c r="D20" s="9" t="s">
        <v>26</v>
      </c>
      <c r="E20" s="9" t="s">
        <v>171</v>
      </c>
      <c r="F20" s="9" t="s">
        <v>15</v>
      </c>
      <c r="G20" s="9" t="s">
        <v>66</v>
      </c>
      <c r="H20" s="18">
        <v>0.33</v>
      </c>
      <c r="I20" s="18">
        <f t="shared" si="11"/>
        <v>0.33</v>
      </c>
      <c r="J20" s="18">
        <f t="shared" si="12"/>
        <v>0.33</v>
      </c>
      <c r="K20" s="18">
        <f t="shared" si="13"/>
        <v>0.33</v>
      </c>
      <c r="L20" s="18">
        <f t="shared" si="14"/>
        <v>0.33</v>
      </c>
      <c r="M20" s="18">
        <f t="shared" si="15"/>
        <v>0.33</v>
      </c>
      <c r="N20" s="18">
        <f t="shared" si="16"/>
        <v>0.33</v>
      </c>
      <c r="O20" s="18">
        <f t="shared" si="17"/>
        <v>0.33</v>
      </c>
      <c r="P20" s="18">
        <f t="shared" si="18"/>
        <v>0.33</v>
      </c>
      <c r="Q20" s="18">
        <f t="shared" si="19"/>
        <v>0.33</v>
      </c>
      <c r="R20" s="18">
        <f t="shared" si="20"/>
        <v>0.33</v>
      </c>
    </row>
    <row r="21" spans="4:18" x14ac:dyDescent="0.35">
      <c r="D21" s="9" t="s">
        <v>26</v>
      </c>
      <c r="E21" s="9" t="s">
        <v>171</v>
      </c>
      <c r="F21" s="9" t="s">
        <v>34</v>
      </c>
      <c r="G21" s="9" t="s">
        <v>58</v>
      </c>
      <c r="H21" s="18">
        <v>0.33</v>
      </c>
      <c r="I21" s="18">
        <f t="shared" si="11"/>
        <v>0.33</v>
      </c>
      <c r="J21" s="18">
        <f t="shared" si="12"/>
        <v>0.33</v>
      </c>
      <c r="K21" s="18">
        <f t="shared" si="13"/>
        <v>0.33</v>
      </c>
      <c r="L21" s="18">
        <f t="shared" si="14"/>
        <v>0.33</v>
      </c>
      <c r="M21" s="18">
        <f t="shared" si="15"/>
        <v>0.33</v>
      </c>
      <c r="N21" s="18">
        <f t="shared" si="16"/>
        <v>0.33</v>
      </c>
      <c r="O21" s="18">
        <f t="shared" si="17"/>
        <v>0.33</v>
      </c>
      <c r="P21" s="18">
        <f t="shared" si="18"/>
        <v>0.33</v>
      </c>
      <c r="Q21" s="18">
        <f t="shared" si="19"/>
        <v>0.33</v>
      </c>
      <c r="R21" s="18">
        <f t="shared" si="20"/>
        <v>0.33</v>
      </c>
    </row>
    <row r="22" spans="4:18" x14ac:dyDescent="0.35">
      <c r="D22" s="9" t="s">
        <v>26</v>
      </c>
      <c r="E22" s="9" t="s">
        <v>171</v>
      </c>
      <c r="F22" s="9" t="s">
        <v>158</v>
      </c>
      <c r="G22" s="9" t="s">
        <v>58</v>
      </c>
      <c r="H22" s="18">
        <v>0.33</v>
      </c>
      <c r="I22" s="18">
        <f t="shared" si="11"/>
        <v>0.33</v>
      </c>
      <c r="J22" s="18">
        <f t="shared" si="12"/>
        <v>0.33</v>
      </c>
      <c r="K22" s="18">
        <f t="shared" si="13"/>
        <v>0.33</v>
      </c>
      <c r="L22" s="18">
        <f t="shared" si="14"/>
        <v>0.33</v>
      </c>
      <c r="M22" s="18">
        <f t="shared" si="15"/>
        <v>0.33</v>
      </c>
      <c r="N22" s="18">
        <f t="shared" si="16"/>
        <v>0.33</v>
      </c>
      <c r="O22" s="18">
        <f t="shared" si="17"/>
        <v>0.33</v>
      </c>
      <c r="P22" s="18">
        <f t="shared" si="18"/>
        <v>0.33</v>
      </c>
      <c r="Q22" s="18">
        <f t="shared" si="19"/>
        <v>0.33</v>
      </c>
      <c r="R22" s="18">
        <f t="shared" si="20"/>
        <v>0.33</v>
      </c>
    </row>
    <row r="23" spans="4:18" x14ac:dyDescent="0.35">
      <c r="D23" s="9" t="s">
        <v>26</v>
      </c>
      <c r="E23" s="9" t="s">
        <v>171</v>
      </c>
      <c r="F23" s="9" t="s">
        <v>14</v>
      </c>
      <c r="G23" s="9" t="s">
        <v>62</v>
      </c>
      <c r="H23" s="18">
        <v>0.33</v>
      </c>
      <c r="I23" s="18">
        <f t="shared" si="11"/>
        <v>0.33</v>
      </c>
      <c r="J23" s="18">
        <f t="shared" si="12"/>
        <v>0.33</v>
      </c>
      <c r="K23" s="18">
        <f t="shared" si="13"/>
        <v>0.33</v>
      </c>
      <c r="L23" s="18">
        <f t="shared" si="14"/>
        <v>0.33</v>
      </c>
      <c r="M23" s="18">
        <f t="shared" si="15"/>
        <v>0.33</v>
      </c>
      <c r="N23" s="18">
        <f t="shared" si="16"/>
        <v>0.33</v>
      </c>
      <c r="O23" s="18">
        <f t="shared" si="17"/>
        <v>0.33</v>
      </c>
      <c r="P23" s="18">
        <f t="shared" si="18"/>
        <v>0.33</v>
      </c>
      <c r="Q23" s="18">
        <f t="shared" si="19"/>
        <v>0.33</v>
      </c>
      <c r="R23" s="18">
        <f t="shared" si="20"/>
        <v>0.33</v>
      </c>
    </row>
    <row r="24" spans="4:18" x14ac:dyDescent="0.35">
      <c r="D24" s="9" t="s">
        <v>26</v>
      </c>
      <c r="E24" s="9" t="s">
        <v>171</v>
      </c>
      <c r="F24" s="9" t="s">
        <v>22</v>
      </c>
      <c r="G24" s="9" t="s">
        <v>135</v>
      </c>
      <c r="H24" s="18">
        <v>0.33</v>
      </c>
      <c r="I24" s="18">
        <f t="shared" si="11"/>
        <v>0.33</v>
      </c>
      <c r="J24" s="18">
        <f t="shared" si="12"/>
        <v>0.33</v>
      </c>
      <c r="K24" s="18">
        <f t="shared" si="13"/>
        <v>0.33</v>
      </c>
      <c r="L24" s="18">
        <f t="shared" si="14"/>
        <v>0.33</v>
      </c>
      <c r="M24" s="18">
        <f t="shared" si="15"/>
        <v>0.33</v>
      </c>
      <c r="N24" s="18">
        <f t="shared" si="16"/>
        <v>0.33</v>
      </c>
      <c r="O24" s="18">
        <f t="shared" si="17"/>
        <v>0.33</v>
      </c>
      <c r="P24" s="18">
        <f t="shared" si="18"/>
        <v>0.33</v>
      </c>
      <c r="Q24" s="18">
        <f t="shared" si="19"/>
        <v>0.33</v>
      </c>
      <c r="R24" s="18">
        <f t="shared" si="20"/>
        <v>0.33</v>
      </c>
    </row>
    <row r="25" spans="4:18" x14ac:dyDescent="0.35">
      <c r="D25" s="9" t="s">
        <v>26</v>
      </c>
      <c r="E25" s="9" t="s">
        <v>173</v>
      </c>
      <c r="F25" s="9" t="s">
        <v>13</v>
      </c>
      <c r="G25" s="9" t="s">
        <v>62</v>
      </c>
      <c r="H25" s="18">
        <v>0.33</v>
      </c>
      <c r="I25" s="18">
        <f t="shared" si="11"/>
        <v>0.33</v>
      </c>
      <c r="J25" s="18">
        <f t="shared" si="12"/>
        <v>0.33</v>
      </c>
      <c r="K25" s="18">
        <f t="shared" si="13"/>
        <v>0.33</v>
      </c>
      <c r="L25" s="18">
        <f t="shared" si="14"/>
        <v>0.33</v>
      </c>
      <c r="M25" s="18">
        <f t="shared" si="15"/>
        <v>0.33</v>
      </c>
      <c r="N25" s="18">
        <f t="shared" si="16"/>
        <v>0.33</v>
      </c>
      <c r="O25" s="18">
        <f t="shared" si="17"/>
        <v>0.33</v>
      </c>
      <c r="P25" s="18">
        <f t="shared" si="18"/>
        <v>0.33</v>
      </c>
      <c r="Q25" s="18">
        <f t="shared" si="19"/>
        <v>0.33</v>
      </c>
      <c r="R25" s="18">
        <f t="shared" si="20"/>
        <v>0.33</v>
      </c>
    </row>
    <row r="26" spans="4:18" x14ac:dyDescent="0.35">
      <c r="D26" s="9" t="s">
        <v>26</v>
      </c>
      <c r="E26" s="9" t="s">
        <v>173</v>
      </c>
      <c r="F26" s="9" t="s">
        <v>15</v>
      </c>
      <c r="G26" s="9" t="s">
        <v>66</v>
      </c>
      <c r="H26" s="18">
        <v>0.33</v>
      </c>
      <c r="I26" s="18">
        <f t="shared" si="11"/>
        <v>0.33</v>
      </c>
      <c r="J26" s="18">
        <f t="shared" si="12"/>
        <v>0.33</v>
      </c>
      <c r="K26" s="18">
        <f t="shared" si="13"/>
        <v>0.33</v>
      </c>
      <c r="L26" s="18">
        <f t="shared" si="14"/>
        <v>0.33</v>
      </c>
      <c r="M26" s="18">
        <f t="shared" si="15"/>
        <v>0.33</v>
      </c>
      <c r="N26" s="18">
        <f t="shared" si="16"/>
        <v>0.33</v>
      </c>
      <c r="O26" s="18">
        <f t="shared" si="17"/>
        <v>0.33</v>
      </c>
      <c r="P26" s="18">
        <f t="shared" si="18"/>
        <v>0.33</v>
      </c>
      <c r="Q26" s="18">
        <f t="shared" si="19"/>
        <v>0.33</v>
      </c>
      <c r="R26" s="18">
        <f t="shared" si="20"/>
        <v>0.33</v>
      </c>
    </row>
    <row r="27" spans="4:18" x14ac:dyDescent="0.35">
      <c r="D27" s="9" t="s">
        <v>26</v>
      </c>
      <c r="E27" s="9" t="s">
        <v>173</v>
      </c>
      <c r="F27" s="9" t="s">
        <v>34</v>
      </c>
      <c r="G27" s="9" t="s">
        <v>58</v>
      </c>
      <c r="H27" s="18">
        <v>0.33</v>
      </c>
      <c r="I27" s="18">
        <f t="shared" si="11"/>
        <v>0.33</v>
      </c>
      <c r="J27" s="18">
        <f t="shared" si="12"/>
        <v>0.33</v>
      </c>
      <c r="K27" s="18">
        <f t="shared" si="13"/>
        <v>0.33</v>
      </c>
      <c r="L27" s="18">
        <f t="shared" si="14"/>
        <v>0.33</v>
      </c>
      <c r="M27" s="18">
        <f t="shared" si="15"/>
        <v>0.33</v>
      </c>
      <c r="N27" s="18">
        <f t="shared" si="16"/>
        <v>0.33</v>
      </c>
      <c r="O27" s="18">
        <f t="shared" si="17"/>
        <v>0.33</v>
      </c>
      <c r="P27" s="18">
        <f t="shared" si="18"/>
        <v>0.33</v>
      </c>
      <c r="Q27" s="18">
        <f t="shared" si="19"/>
        <v>0.33</v>
      </c>
      <c r="R27" s="18">
        <f t="shared" si="20"/>
        <v>0.33</v>
      </c>
    </row>
    <row r="28" spans="4:18" x14ac:dyDescent="0.35">
      <c r="D28" s="9" t="s">
        <v>26</v>
      </c>
      <c r="E28" s="9" t="s">
        <v>173</v>
      </c>
      <c r="F28" s="9" t="s">
        <v>14</v>
      </c>
      <c r="G28" s="9" t="s">
        <v>62</v>
      </c>
      <c r="H28" s="18">
        <v>0.33</v>
      </c>
      <c r="I28" s="18">
        <f t="shared" si="11"/>
        <v>0.33</v>
      </c>
      <c r="J28" s="18">
        <f t="shared" si="12"/>
        <v>0.33</v>
      </c>
      <c r="K28" s="18">
        <f t="shared" si="13"/>
        <v>0.33</v>
      </c>
      <c r="L28" s="18">
        <f t="shared" si="14"/>
        <v>0.33</v>
      </c>
      <c r="M28" s="18">
        <f t="shared" si="15"/>
        <v>0.33</v>
      </c>
      <c r="N28" s="18">
        <f t="shared" si="16"/>
        <v>0.33</v>
      </c>
      <c r="O28" s="18">
        <f t="shared" si="17"/>
        <v>0.33</v>
      </c>
      <c r="P28" s="18">
        <f t="shared" si="18"/>
        <v>0.33</v>
      </c>
      <c r="Q28" s="18">
        <f t="shared" si="19"/>
        <v>0.33</v>
      </c>
      <c r="R28" s="18">
        <f t="shared" si="20"/>
        <v>0.33</v>
      </c>
    </row>
    <row r="29" spans="4:18" x14ac:dyDescent="0.35">
      <c r="D29" s="9" t="s">
        <v>26</v>
      </c>
      <c r="E29" s="9" t="s">
        <v>173</v>
      </c>
      <c r="F29" s="9" t="s">
        <v>22</v>
      </c>
      <c r="G29" s="9" t="s">
        <v>135</v>
      </c>
      <c r="H29" s="18">
        <v>0.33</v>
      </c>
      <c r="I29" s="18">
        <f t="shared" si="11"/>
        <v>0.33</v>
      </c>
      <c r="J29" s="18">
        <f t="shared" si="12"/>
        <v>0.33</v>
      </c>
      <c r="K29" s="18">
        <f t="shared" si="13"/>
        <v>0.33</v>
      </c>
      <c r="L29" s="18">
        <f t="shared" si="14"/>
        <v>0.33</v>
      </c>
      <c r="M29" s="18">
        <f t="shared" si="15"/>
        <v>0.33</v>
      </c>
      <c r="N29" s="18">
        <f t="shared" si="16"/>
        <v>0.33</v>
      </c>
      <c r="O29" s="18">
        <f t="shared" si="17"/>
        <v>0.33</v>
      </c>
      <c r="P29" s="18">
        <f t="shared" si="18"/>
        <v>0.33</v>
      </c>
      <c r="Q29" s="18">
        <f t="shared" si="19"/>
        <v>0.33</v>
      </c>
      <c r="R29" s="18">
        <f t="shared" si="20"/>
        <v>0.33</v>
      </c>
    </row>
    <row r="30" spans="4:18" x14ac:dyDescent="0.35">
      <c r="D30" s="9"/>
      <c r="E30" s="9"/>
      <c r="F30" s="9"/>
      <c r="G30" s="9"/>
      <c r="H30" s="18"/>
      <c r="I30" s="18" t="str">
        <f t="shared" ref="I22:R37" si="21">IF(H30="","",H30)</f>
        <v/>
      </c>
      <c r="J30" s="18" t="str">
        <f t="shared" si="21"/>
        <v/>
      </c>
      <c r="K30" s="18" t="str">
        <f t="shared" si="21"/>
        <v/>
      </c>
      <c r="L30" s="18" t="str">
        <f t="shared" si="21"/>
        <v/>
      </c>
      <c r="M30" s="18" t="str">
        <f t="shared" si="21"/>
        <v/>
      </c>
      <c r="N30" s="18" t="str">
        <f t="shared" si="21"/>
        <v/>
      </c>
      <c r="O30" s="18" t="str">
        <f t="shared" si="21"/>
        <v/>
      </c>
      <c r="P30" s="18" t="str">
        <f t="shared" si="21"/>
        <v/>
      </c>
      <c r="Q30" s="18" t="str">
        <f t="shared" si="21"/>
        <v/>
      </c>
      <c r="R30" s="18" t="str">
        <f t="shared" si="21"/>
        <v/>
      </c>
    </row>
    <row r="31" spans="4:18" x14ac:dyDescent="0.35">
      <c r="D31" s="9"/>
      <c r="E31" s="9"/>
      <c r="F31" s="9"/>
      <c r="G31" s="9"/>
      <c r="H31" s="18"/>
      <c r="I31" s="18" t="str">
        <f t="shared" si="21"/>
        <v/>
      </c>
      <c r="J31" s="18" t="str">
        <f t="shared" si="21"/>
        <v/>
      </c>
      <c r="K31" s="18" t="str">
        <f t="shared" si="21"/>
        <v/>
      </c>
      <c r="L31" s="18" t="str">
        <f t="shared" si="21"/>
        <v/>
      </c>
      <c r="M31" s="18" t="str">
        <f t="shared" si="21"/>
        <v/>
      </c>
      <c r="N31" s="18" t="str">
        <f t="shared" si="21"/>
        <v/>
      </c>
      <c r="O31" s="18" t="str">
        <f t="shared" si="21"/>
        <v/>
      </c>
      <c r="P31" s="18" t="str">
        <f t="shared" si="21"/>
        <v/>
      </c>
      <c r="Q31" s="18" t="str">
        <f t="shared" si="21"/>
        <v/>
      </c>
      <c r="R31" s="18" t="str">
        <f t="shared" si="21"/>
        <v/>
      </c>
    </row>
    <row r="32" spans="4:18" x14ac:dyDescent="0.35">
      <c r="D32" s="9"/>
      <c r="E32" s="9"/>
      <c r="F32" s="9"/>
      <c r="G32" s="9"/>
      <c r="H32" s="18"/>
      <c r="I32" s="18" t="str">
        <f t="shared" si="21"/>
        <v/>
      </c>
      <c r="J32" s="18" t="str">
        <f t="shared" si="21"/>
        <v/>
      </c>
      <c r="K32" s="18" t="str">
        <f t="shared" si="21"/>
        <v/>
      </c>
      <c r="L32" s="18" t="str">
        <f t="shared" si="21"/>
        <v/>
      </c>
      <c r="M32" s="18" t="str">
        <f t="shared" si="21"/>
        <v/>
      </c>
      <c r="N32" s="18" t="str">
        <f t="shared" si="21"/>
        <v/>
      </c>
      <c r="O32" s="18" t="str">
        <f t="shared" si="21"/>
        <v/>
      </c>
      <c r="P32" s="18" t="str">
        <f t="shared" si="21"/>
        <v/>
      </c>
      <c r="Q32" s="18" t="str">
        <f t="shared" si="21"/>
        <v/>
      </c>
      <c r="R32" s="18" t="str">
        <f t="shared" si="21"/>
        <v/>
      </c>
    </row>
    <row r="33" spans="4:18" x14ac:dyDescent="0.35">
      <c r="D33" s="9"/>
      <c r="E33" s="9"/>
      <c r="F33" s="9"/>
      <c r="G33" s="9"/>
      <c r="H33" s="18"/>
      <c r="I33" s="18" t="str">
        <f t="shared" si="21"/>
        <v/>
      </c>
      <c r="J33" s="18" t="str">
        <f t="shared" si="21"/>
        <v/>
      </c>
      <c r="K33" s="18" t="str">
        <f t="shared" si="21"/>
        <v/>
      </c>
      <c r="L33" s="18" t="str">
        <f t="shared" si="21"/>
        <v/>
      </c>
      <c r="M33" s="18" t="str">
        <f t="shared" si="21"/>
        <v/>
      </c>
      <c r="N33" s="18" t="str">
        <f t="shared" si="21"/>
        <v/>
      </c>
      <c r="O33" s="18" t="str">
        <f t="shared" si="21"/>
        <v/>
      </c>
      <c r="P33" s="18" t="str">
        <f t="shared" si="21"/>
        <v/>
      </c>
      <c r="Q33" s="18" t="str">
        <f t="shared" si="21"/>
        <v/>
      </c>
      <c r="R33" s="18" t="str">
        <f t="shared" si="21"/>
        <v/>
      </c>
    </row>
    <row r="34" spans="4:18" x14ac:dyDescent="0.35">
      <c r="D34" s="9"/>
      <c r="E34" s="9"/>
      <c r="F34" s="9"/>
      <c r="G34" s="9"/>
      <c r="H34" s="18"/>
      <c r="I34" s="18" t="str">
        <f t="shared" si="21"/>
        <v/>
      </c>
      <c r="J34" s="18" t="str">
        <f t="shared" si="21"/>
        <v/>
      </c>
      <c r="K34" s="18" t="str">
        <f t="shared" si="21"/>
        <v/>
      </c>
      <c r="L34" s="18" t="str">
        <f t="shared" si="21"/>
        <v/>
      </c>
      <c r="M34" s="18" t="str">
        <f t="shared" si="21"/>
        <v/>
      </c>
      <c r="N34" s="18" t="str">
        <f t="shared" si="21"/>
        <v/>
      </c>
      <c r="O34" s="18" t="str">
        <f t="shared" si="21"/>
        <v/>
      </c>
      <c r="P34" s="18" t="str">
        <f t="shared" si="21"/>
        <v/>
      </c>
      <c r="Q34" s="18" t="str">
        <f t="shared" si="21"/>
        <v/>
      </c>
      <c r="R34" s="18" t="str">
        <f t="shared" si="21"/>
        <v/>
      </c>
    </row>
    <row r="35" spans="4:18" x14ac:dyDescent="0.35">
      <c r="D35" s="9"/>
      <c r="E35" s="9"/>
      <c r="F35" s="9"/>
      <c r="G35" s="9"/>
      <c r="H35" s="18"/>
      <c r="I35" s="18" t="str">
        <f t="shared" si="21"/>
        <v/>
      </c>
      <c r="J35" s="18" t="str">
        <f t="shared" si="21"/>
        <v/>
      </c>
      <c r="K35" s="18" t="str">
        <f t="shared" si="21"/>
        <v/>
      </c>
      <c r="L35" s="18" t="str">
        <f t="shared" si="21"/>
        <v/>
      </c>
      <c r="M35" s="18" t="str">
        <f t="shared" si="21"/>
        <v/>
      </c>
      <c r="N35" s="18" t="str">
        <f t="shared" si="21"/>
        <v/>
      </c>
      <c r="O35" s="18" t="str">
        <f t="shared" si="21"/>
        <v/>
      </c>
      <c r="P35" s="18" t="str">
        <f t="shared" si="21"/>
        <v/>
      </c>
      <c r="Q35" s="18" t="str">
        <f t="shared" si="21"/>
        <v/>
      </c>
      <c r="R35" s="18" t="str">
        <f t="shared" si="21"/>
        <v/>
      </c>
    </row>
    <row r="36" spans="4:18" x14ac:dyDescent="0.35">
      <c r="D36" s="9"/>
      <c r="E36" s="9"/>
      <c r="F36" s="9"/>
      <c r="G36" s="9"/>
      <c r="H36" s="18"/>
      <c r="I36" s="18" t="str">
        <f t="shared" si="21"/>
        <v/>
      </c>
      <c r="J36" s="18" t="str">
        <f t="shared" si="21"/>
        <v/>
      </c>
      <c r="K36" s="18" t="str">
        <f t="shared" si="21"/>
        <v/>
      </c>
      <c r="L36" s="18" t="str">
        <f t="shared" si="21"/>
        <v/>
      </c>
      <c r="M36" s="18" t="str">
        <f t="shared" si="21"/>
        <v/>
      </c>
      <c r="N36" s="18" t="str">
        <f t="shared" si="21"/>
        <v/>
      </c>
      <c r="O36" s="18" t="str">
        <f t="shared" si="21"/>
        <v/>
      </c>
      <c r="P36" s="18" t="str">
        <f t="shared" si="21"/>
        <v/>
      </c>
      <c r="Q36" s="18" t="str">
        <f t="shared" si="21"/>
        <v/>
      </c>
      <c r="R36" s="18" t="str">
        <f t="shared" si="21"/>
        <v/>
      </c>
    </row>
    <row r="37" spans="4:18" x14ac:dyDescent="0.35">
      <c r="D37" s="9"/>
      <c r="E37" s="9"/>
      <c r="F37" s="9"/>
      <c r="G37" s="9"/>
      <c r="H37" s="18"/>
      <c r="I37" s="18" t="str">
        <f t="shared" si="21"/>
        <v/>
      </c>
      <c r="J37" s="18" t="str">
        <f t="shared" si="21"/>
        <v/>
      </c>
      <c r="K37" s="18" t="str">
        <f t="shared" si="21"/>
        <v/>
      </c>
      <c r="L37" s="18" t="str">
        <f t="shared" si="21"/>
        <v/>
      </c>
      <c r="M37" s="18" t="str">
        <f t="shared" si="21"/>
        <v/>
      </c>
      <c r="N37" s="18" t="str">
        <f t="shared" si="21"/>
        <v/>
      </c>
      <c r="O37" s="18" t="str">
        <f t="shared" si="21"/>
        <v/>
      </c>
      <c r="P37" s="18" t="str">
        <f t="shared" si="21"/>
        <v/>
      </c>
      <c r="Q37" s="18" t="str">
        <f t="shared" si="21"/>
        <v/>
      </c>
      <c r="R37" s="18" t="str">
        <f t="shared" si="21"/>
        <v/>
      </c>
    </row>
    <row r="38" spans="4:18" x14ac:dyDescent="0.35">
      <c r="D38" s="9"/>
      <c r="E38" s="9"/>
      <c r="F38" s="9"/>
      <c r="G38" s="9"/>
      <c r="H38" s="18"/>
      <c r="I38" s="18" t="str">
        <f t="shared" ref="I38:R50" si="22">IF(H38="","",H38)</f>
        <v/>
      </c>
      <c r="J38" s="18" t="str">
        <f t="shared" si="22"/>
        <v/>
      </c>
      <c r="K38" s="18" t="str">
        <f t="shared" si="22"/>
        <v/>
      </c>
      <c r="L38" s="18" t="str">
        <f t="shared" si="22"/>
        <v/>
      </c>
      <c r="M38" s="18" t="str">
        <f t="shared" si="22"/>
        <v/>
      </c>
      <c r="N38" s="18" t="str">
        <f t="shared" si="22"/>
        <v/>
      </c>
      <c r="O38" s="18" t="str">
        <f t="shared" si="22"/>
        <v/>
      </c>
      <c r="P38" s="18" t="str">
        <f t="shared" si="22"/>
        <v/>
      </c>
      <c r="Q38" s="18" t="str">
        <f t="shared" si="22"/>
        <v/>
      </c>
      <c r="R38" s="18" t="str">
        <f t="shared" si="22"/>
        <v/>
      </c>
    </row>
    <row r="39" spans="4:18" x14ac:dyDescent="0.35">
      <c r="D39" s="9"/>
      <c r="E39" s="9"/>
      <c r="F39" s="9"/>
      <c r="G39" s="9"/>
      <c r="H39" s="18"/>
      <c r="I39" s="18" t="str">
        <f t="shared" si="22"/>
        <v/>
      </c>
      <c r="J39" s="18" t="str">
        <f t="shared" si="22"/>
        <v/>
      </c>
      <c r="K39" s="18" t="str">
        <f t="shared" si="22"/>
        <v/>
      </c>
      <c r="L39" s="18" t="str">
        <f t="shared" si="22"/>
        <v/>
      </c>
      <c r="M39" s="18" t="str">
        <f t="shared" si="22"/>
        <v/>
      </c>
      <c r="N39" s="18" t="str">
        <f t="shared" si="22"/>
        <v/>
      </c>
      <c r="O39" s="18" t="str">
        <f t="shared" si="22"/>
        <v/>
      </c>
      <c r="P39" s="18" t="str">
        <f t="shared" si="22"/>
        <v/>
      </c>
      <c r="Q39" s="18" t="str">
        <f t="shared" si="22"/>
        <v/>
      </c>
      <c r="R39" s="18" t="str">
        <f t="shared" si="22"/>
        <v/>
      </c>
    </row>
    <row r="40" spans="4:18" x14ac:dyDescent="0.35">
      <c r="D40" s="9"/>
      <c r="E40" s="9"/>
      <c r="F40" s="9"/>
      <c r="G40" s="9"/>
      <c r="H40" s="18"/>
      <c r="I40" s="18" t="str">
        <f t="shared" si="22"/>
        <v/>
      </c>
      <c r="J40" s="18" t="str">
        <f t="shared" si="22"/>
        <v/>
      </c>
      <c r="K40" s="18" t="str">
        <f t="shared" si="22"/>
        <v/>
      </c>
      <c r="L40" s="18" t="str">
        <f t="shared" si="22"/>
        <v/>
      </c>
      <c r="M40" s="18" t="str">
        <f t="shared" si="22"/>
        <v/>
      </c>
      <c r="N40" s="18" t="str">
        <f t="shared" si="22"/>
        <v/>
      </c>
      <c r="O40" s="18" t="str">
        <f t="shared" si="22"/>
        <v/>
      </c>
      <c r="P40" s="18" t="str">
        <f t="shared" si="22"/>
        <v/>
      </c>
      <c r="Q40" s="18" t="str">
        <f t="shared" si="22"/>
        <v/>
      </c>
      <c r="R40" s="18" t="str">
        <f t="shared" si="22"/>
        <v/>
      </c>
    </row>
    <row r="41" spans="4:18" x14ac:dyDescent="0.35">
      <c r="D41" s="9"/>
      <c r="E41" s="9"/>
      <c r="F41" s="9"/>
      <c r="G41" s="9"/>
      <c r="H41" s="18"/>
      <c r="I41" s="18" t="str">
        <f t="shared" si="22"/>
        <v/>
      </c>
      <c r="J41" s="18" t="str">
        <f t="shared" si="22"/>
        <v/>
      </c>
      <c r="K41" s="18" t="str">
        <f t="shared" si="22"/>
        <v/>
      </c>
      <c r="L41" s="18" t="str">
        <f t="shared" si="22"/>
        <v/>
      </c>
      <c r="M41" s="18" t="str">
        <f t="shared" si="22"/>
        <v/>
      </c>
      <c r="N41" s="18" t="str">
        <f t="shared" si="22"/>
        <v/>
      </c>
      <c r="O41" s="18" t="str">
        <f t="shared" si="22"/>
        <v/>
      </c>
      <c r="P41" s="18" t="str">
        <f t="shared" si="22"/>
        <v/>
      </c>
      <c r="Q41" s="18" t="str">
        <f t="shared" si="22"/>
        <v/>
      </c>
      <c r="R41" s="18" t="str">
        <f t="shared" si="22"/>
        <v/>
      </c>
    </row>
    <row r="42" spans="4:18" x14ac:dyDescent="0.35">
      <c r="D42" s="9"/>
      <c r="E42" s="9"/>
      <c r="F42" s="9"/>
      <c r="G42" s="9"/>
      <c r="H42" s="18"/>
      <c r="I42" s="18" t="str">
        <f t="shared" si="22"/>
        <v/>
      </c>
      <c r="J42" s="18" t="str">
        <f t="shared" si="22"/>
        <v/>
      </c>
      <c r="K42" s="18" t="str">
        <f t="shared" si="22"/>
        <v/>
      </c>
      <c r="L42" s="18" t="str">
        <f t="shared" si="22"/>
        <v/>
      </c>
      <c r="M42" s="18" t="str">
        <f t="shared" si="22"/>
        <v/>
      </c>
      <c r="N42" s="18" t="str">
        <f t="shared" si="22"/>
        <v/>
      </c>
      <c r="O42" s="18" t="str">
        <f t="shared" si="22"/>
        <v/>
      </c>
      <c r="P42" s="18" t="str">
        <f t="shared" si="22"/>
        <v/>
      </c>
      <c r="Q42" s="18" t="str">
        <f t="shared" si="22"/>
        <v/>
      </c>
      <c r="R42" s="18" t="str">
        <f t="shared" si="22"/>
        <v/>
      </c>
    </row>
    <row r="43" spans="4:18" x14ac:dyDescent="0.35">
      <c r="D43" s="9"/>
      <c r="E43" s="9"/>
      <c r="F43" s="9"/>
      <c r="G43" s="9"/>
      <c r="H43" s="18"/>
      <c r="I43" s="18" t="str">
        <f t="shared" si="22"/>
        <v/>
      </c>
      <c r="J43" s="18" t="str">
        <f t="shared" si="22"/>
        <v/>
      </c>
      <c r="K43" s="18" t="str">
        <f t="shared" si="22"/>
        <v/>
      </c>
      <c r="L43" s="18" t="str">
        <f t="shared" si="22"/>
        <v/>
      </c>
      <c r="M43" s="18" t="str">
        <f t="shared" si="22"/>
        <v/>
      </c>
      <c r="N43" s="18" t="str">
        <f t="shared" si="22"/>
        <v/>
      </c>
      <c r="O43" s="18" t="str">
        <f t="shared" si="22"/>
        <v/>
      </c>
      <c r="P43" s="18" t="str">
        <f t="shared" si="22"/>
        <v/>
      </c>
      <c r="Q43" s="18" t="str">
        <f t="shared" si="22"/>
        <v/>
      </c>
      <c r="R43" s="18" t="str">
        <f t="shared" si="22"/>
        <v/>
      </c>
    </row>
    <row r="44" spans="4:18" x14ac:dyDescent="0.35">
      <c r="D44" s="9"/>
      <c r="E44" s="9"/>
      <c r="F44" s="9"/>
      <c r="G44" s="9"/>
      <c r="H44" s="18"/>
      <c r="I44" s="18" t="str">
        <f t="shared" si="22"/>
        <v/>
      </c>
      <c r="J44" s="18" t="str">
        <f t="shared" si="22"/>
        <v/>
      </c>
      <c r="K44" s="18" t="str">
        <f t="shared" si="22"/>
        <v/>
      </c>
      <c r="L44" s="18" t="str">
        <f t="shared" si="22"/>
        <v/>
      </c>
      <c r="M44" s="18" t="str">
        <f t="shared" si="22"/>
        <v/>
      </c>
      <c r="N44" s="18" t="str">
        <f t="shared" si="22"/>
        <v/>
      </c>
      <c r="O44" s="18" t="str">
        <f t="shared" si="22"/>
        <v/>
      </c>
      <c r="P44" s="18" t="str">
        <f t="shared" si="22"/>
        <v/>
      </c>
      <c r="Q44" s="18" t="str">
        <f t="shared" si="22"/>
        <v/>
      </c>
      <c r="R44" s="18" t="str">
        <f t="shared" si="22"/>
        <v/>
      </c>
    </row>
    <row r="45" spans="4:18" x14ac:dyDescent="0.35">
      <c r="D45" s="9"/>
      <c r="E45" s="9"/>
      <c r="F45" s="9"/>
      <c r="G45" s="9"/>
      <c r="H45" s="18"/>
      <c r="I45" s="18" t="str">
        <f t="shared" si="22"/>
        <v/>
      </c>
      <c r="J45" s="18" t="str">
        <f t="shared" si="22"/>
        <v/>
      </c>
      <c r="K45" s="18" t="str">
        <f t="shared" si="22"/>
        <v/>
      </c>
      <c r="L45" s="18" t="str">
        <f t="shared" si="22"/>
        <v/>
      </c>
      <c r="M45" s="18" t="str">
        <f t="shared" si="22"/>
        <v/>
      </c>
      <c r="N45" s="18" t="str">
        <f t="shared" si="22"/>
        <v/>
      </c>
      <c r="O45" s="18" t="str">
        <f t="shared" si="22"/>
        <v/>
      </c>
      <c r="P45" s="18" t="str">
        <f t="shared" si="22"/>
        <v/>
      </c>
      <c r="Q45" s="18" t="str">
        <f t="shared" si="22"/>
        <v/>
      </c>
      <c r="R45" s="18" t="str">
        <f t="shared" si="22"/>
        <v/>
      </c>
    </row>
    <row r="46" spans="4:18" x14ac:dyDescent="0.35">
      <c r="D46" s="9"/>
      <c r="E46" s="9"/>
      <c r="F46" s="9"/>
      <c r="G46" s="9"/>
      <c r="H46" s="18"/>
      <c r="I46" s="18" t="str">
        <f t="shared" si="22"/>
        <v/>
      </c>
      <c r="J46" s="18" t="str">
        <f t="shared" si="22"/>
        <v/>
      </c>
      <c r="K46" s="18" t="str">
        <f t="shared" si="22"/>
        <v/>
      </c>
      <c r="L46" s="18" t="str">
        <f t="shared" si="22"/>
        <v/>
      </c>
      <c r="M46" s="18" t="str">
        <f t="shared" si="22"/>
        <v/>
      </c>
      <c r="N46" s="18" t="str">
        <f t="shared" si="22"/>
        <v/>
      </c>
      <c r="O46" s="18" t="str">
        <f t="shared" si="22"/>
        <v/>
      </c>
      <c r="P46" s="18" t="str">
        <f t="shared" si="22"/>
        <v/>
      </c>
      <c r="Q46" s="18" t="str">
        <f t="shared" si="22"/>
        <v/>
      </c>
      <c r="R46" s="18" t="str">
        <f t="shared" si="22"/>
        <v/>
      </c>
    </row>
    <row r="47" spans="4:18" x14ac:dyDescent="0.35">
      <c r="D47" s="9"/>
      <c r="E47" s="9"/>
      <c r="F47" s="9"/>
      <c r="G47" s="9"/>
      <c r="H47" s="18"/>
      <c r="I47" s="18" t="str">
        <f t="shared" si="22"/>
        <v/>
      </c>
      <c r="J47" s="18" t="str">
        <f t="shared" si="22"/>
        <v/>
      </c>
      <c r="K47" s="18" t="str">
        <f t="shared" si="22"/>
        <v/>
      </c>
      <c r="L47" s="18" t="str">
        <f t="shared" si="22"/>
        <v/>
      </c>
      <c r="M47" s="18" t="str">
        <f t="shared" si="22"/>
        <v/>
      </c>
      <c r="N47" s="18" t="str">
        <f t="shared" si="22"/>
        <v/>
      </c>
      <c r="O47" s="18" t="str">
        <f t="shared" si="22"/>
        <v/>
      </c>
      <c r="P47" s="18" t="str">
        <f t="shared" si="22"/>
        <v/>
      </c>
      <c r="Q47" s="18" t="str">
        <f t="shared" si="22"/>
        <v/>
      </c>
      <c r="R47" s="18" t="str">
        <f t="shared" si="22"/>
        <v/>
      </c>
    </row>
    <row r="48" spans="4:18" x14ac:dyDescent="0.35">
      <c r="D48" s="9"/>
      <c r="E48" s="9"/>
      <c r="F48" s="9"/>
      <c r="G48" s="9"/>
      <c r="H48" s="18"/>
      <c r="I48" s="18" t="str">
        <f t="shared" si="22"/>
        <v/>
      </c>
      <c r="J48" s="18" t="str">
        <f t="shared" si="22"/>
        <v/>
      </c>
      <c r="K48" s="18" t="str">
        <f t="shared" si="22"/>
        <v/>
      </c>
      <c r="L48" s="18" t="str">
        <f t="shared" si="22"/>
        <v/>
      </c>
      <c r="M48" s="18" t="str">
        <f t="shared" si="22"/>
        <v/>
      </c>
      <c r="N48" s="18" t="str">
        <f t="shared" si="22"/>
        <v/>
      </c>
      <c r="O48" s="18" t="str">
        <f t="shared" si="22"/>
        <v/>
      </c>
      <c r="P48" s="18" t="str">
        <f t="shared" si="22"/>
        <v/>
      </c>
      <c r="Q48" s="18" t="str">
        <f t="shared" si="22"/>
        <v/>
      </c>
      <c r="R48" s="18" t="str">
        <f t="shared" si="22"/>
        <v/>
      </c>
    </row>
    <row r="49" spans="4:18" x14ac:dyDescent="0.35">
      <c r="D49" s="9"/>
      <c r="E49" s="9"/>
      <c r="F49" s="9"/>
      <c r="G49" s="9"/>
      <c r="H49" s="18"/>
      <c r="I49" s="18" t="str">
        <f t="shared" si="22"/>
        <v/>
      </c>
      <c r="J49" s="18" t="str">
        <f t="shared" si="22"/>
        <v/>
      </c>
      <c r="K49" s="18" t="str">
        <f t="shared" si="22"/>
        <v/>
      </c>
      <c r="L49" s="18" t="str">
        <f t="shared" si="22"/>
        <v/>
      </c>
      <c r="M49" s="18" t="str">
        <f t="shared" si="22"/>
        <v/>
      </c>
      <c r="N49" s="18" t="str">
        <f t="shared" si="22"/>
        <v/>
      </c>
      <c r="O49" s="18" t="str">
        <f t="shared" si="22"/>
        <v/>
      </c>
      <c r="P49" s="18" t="str">
        <f t="shared" si="22"/>
        <v/>
      </c>
      <c r="Q49" s="18" t="str">
        <f t="shared" si="22"/>
        <v/>
      </c>
      <c r="R49" s="18" t="str">
        <f t="shared" si="22"/>
        <v/>
      </c>
    </row>
    <row r="50" spans="4:18" ht="15" thickBot="1" x14ac:dyDescent="0.4">
      <c r="D50" s="10"/>
      <c r="E50" s="10"/>
      <c r="F50" s="10"/>
      <c r="G50" s="10"/>
      <c r="H50" s="53"/>
      <c r="I50" s="53" t="str">
        <f t="shared" si="22"/>
        <v/>
      </c>
      <c r="J50" s="53" t="str">
        <f t="shared" si="22"/>
        <v/>
      </c>
      <c r="K50" s="53" t="str">
        <f t="shared" si="22"/>
        <v/>
      </c>
      <c r="L50" s="53" t="str">
        <f t="shared" si="22"/>
        <v/>
      </c>
      <c r="M50" s="53" t="str">
        <f t="shared" si="22"/>
        <v/>
      </c>
      <c r="N50" s="53" t="str">
        <f t="shared" si="22"/>
        <v/>
      </c>
      <c r="O50" s="53" t="str">
        <f t="shared" si="22"/>
        <v/>
      </c>
      <c r="P50" s="53" t="str">
        <f t="shared" si="22"/>
        <v/>
      </c>
      <c r="Q50" s="53" t="str">
        <f t="shared" si="22"/>
        <v/>
      </c>
      <c r="R50" s="53" t="str">
        <f t="shared" si="22"/>
        <v/>
      </c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topLeftCell="E1" workbookViewId="0">
      <selection activeCell="J5" sqref="J5:S10"/>
    </sheetView>
  </sheetViews>
  <sheetFormatPr defaultColWidth="11.54296875" defaultRowHeight="14.5" x14ac:dyDescent="0.35"/>
  <cols>
    <col min="1" max="3" width="3.6328125" style="5" customWidth="1"/>
    <col min="4" max="9" width="15.6328125" style="5" customWidth="1"/>
    <col min="10" max="19" width="8.6328125" style="5" customWidth="1"/>
    <col min="20" max="16384" width="11.54296875" style="5"/>
  </cols>
  <sheetData>
    <row r="1" spans="2:19" s="61" customFormat="1" ht="25.25" customHeight="1" x14ac:dyDescent="0.35">
      <c r="B1" s="67" t="s">
        <v>186</v>
      </c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3" spans="2:19" ht="15" thickBot="1" x14ac:dyDescent="0.4">
      <c r="D3" s="38" t="str">
        <f>JESA_UploadTable(B1,D4:S50)</f>
        <v>sap___power_plant_capex Saved! @08:35:29</v>
      </c>
      <c r="J3" s="148" t="s">
        <v>187</v>
      </c>
      <c r="K3" s="148"/>
      <c r="L3" s="148"/>
      <c r="M3" s="148"/>
      <c r="N3" s="148"/>
      <c r="O3" s="148"/>
      <c r="P3" s="148"/>
      <c r="Q3" s="148"/>
      <c r="R3" s="148"/>
      <c r="S3" s="148"/>
    </row>
    <row r="4" spans="2:19" ht="30" customHeight="1" thickBot="1" x14ac:dyDescent="0.4">
      <c r="D4" s="63" t="s">
        <v>8</v>
      </c>
      <c r="E4" s="63" t="s">
        <v>25</v>
      </c>
      <c r="F4" s="65" t="s">
        <v>183</v>
      </c>
      <c r="G4" s="63" t="s">
        <v>12</v>
      </c>
      <c r="H4" s="65" t="s">
        <v>69</v>
      </c>
      <c r="I4" s="66" t="s">
        <v>149</v>
      </c>
      <c r="J4" s="66" t="s">
        <v>72</v>
      </c>
      <c r="K4" s="66" t="s">
        <v>73</v>
      </c>
      <c r="L4" s="66" t="s">
        <v>74</v>
      </c>
      <c r="M4" s="66" t="s">
        <v>75</v>
      </c>
      <c r="N4" s="66" t="s">
        <v>76</v>
      </c>
      <c r="O4" s="66" t="s">
        <v>77</v>
      </c>
      <c r="P4" s="66" t="s">
        <v>78</v>
      </c>
      <c r="Q4" s="66" t="s">
        <v>79</v>
      </c>
      <c r="R4" s="66" t="s">
        <v>80</v>
      </c>
      <c r="S4" s="66" t="s">
        <v>81</v>
      </c>
    </row>
    <row r="5" spans="2:19" ht="15" thickBot="1" x14ac:dyDescent="0.4">
      <c r="D5" s="8" t="s">
        <v>3</v>
      </c>
      <c r="E5" s="8" t="s">
        <v>170</v>
      </c>
      <c r="F5" s="8">
        <v>1600</v>
      </c>
      <c r="G5" s="8" t="s">
        <v>22</v>
      </c>
      <c r="H5" s="8" t="s">
        <v>70</v>
      </c>
      <c r="I5" s="39">
        <v>1000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ht="15" thickBot="1" x14ac:dyDescent="0.4">
      <c r="D6" s="9" t="s">
        <v>3</v>
      </c>
      <c r="E6" s="9" t="s">
        <v>171</v>
      </c>
      <c r="F6" s="9">
        <v>1600</v>
      </c>
      <c r="G6" s="9" t="s">
        <v>22</v>
      </c>
      <c r="H6" s="9" t="s">
        <v>70</v>
      </c>
      <c r="I6" s="39">
        <v>1000</v>
      </c>
      <c r="J6" s="26"/>
      <c r="K6" s="26"/>
      <c r="L6" s="26">
        <v>0.2</v>
      </c>
      <c r="M6" s="26">
        <v>0.1</v>
      </c>
      <c r="N6" s="26">
        <v>0.1</v>
      </c>
      <c r="O6" s="26">
        <v>0.6</v>
      </c>
      <c r="P6" s="26"/>
      <c r="Q6" s="26"/>
      <c r="R6" s="26"/>
      <c r="S6" s="26"/>
    </row>
    <row r="7" spans="2:19" ht="15" thickBot="1" x14ac:dyDescent="0.4">
      <c r="D7" s="9" t="s">
        <v>3</v>
      </c>
      <c r="E7" s="9" t="s">
        <v>171</v>
      </c>
      <c r="F7" s="9">
        <v>3200</v>
      </c>
      <c r="G7" s="9" t="s">
        <v>22</v>
      </c>
      <c r="H7" s="9" t="s">
        <v>70</v>
      </c>
      <c r="I7" s="39">
        <v>1000</v>
      </c>
      <c r="J7" s="26"/>
      <c r="K7" s="26"/>
      <c r="L7" s="26">
        <v>0.2</v>
      </c>
      <c r="M7" s="26">
        <v>0.1</v>
      </c>
      <c r="N7" s="26">
        <v>0.1</v>
      </c>
      <c r="O7" s="26">
        <v>0.6</v>
      </c>
      <c r="P7" s="26"/>
      <c r="Q7" s="26"/>
      <c r="R7" s="26"/>
      <c r="S7" s="26"/>
    </row>
    <row r="8" spans="2:19" ht="15" thickBot="1" x14ac:dyDescent="0.4">
      <c r="D8" s="9" t="s">
        <v>26</v>
      </c>
      <c r="E8" s="9" t="s">
        <v>170</v>
      </c>
      <c r="F8" s="9">
        <v>1600</v>
      </c>
      <c r="G8" s="9" t="s">
        <v>22</v>
      </c>
      <c r="H8" s="9" t="s">
        <v>70</v>
      </c>
      <c r="I8" s="39">
        <v>1000</v>
      </c>
      <c r="J8" s="26"/>
      <c r="K8" s="26"/>
      <c r="L8" s="26">
        <v>0.2</v>
      </c>
      <c r="M8" s="26">
        <v>0.1</v>
      </c>
      <c r="N8" s="26">
        <v>0.1</v>
      </c>
      <c r="O8" s="26">
        <v>0.6</v>
      </c>
      <c r="P8" s="26"/>
      <c r="Q8" s="26"/>
      <c r="R8" s="26"/>
      <c r="S8" s="26"/>
    </row>
    <row r="9" spans="2:19" ht="15" thickBot="1" x14ac:dyDescent="0.4">
      <c r="D9" s="9" t="s">
        <v>26</v>
      </c>
      <c r="E9" s="9" t="s">
        <v>171</v>
      </c>
      <c r="F9" s="9">
        <v>1600</v>
      </c>
      <c r="G9" s="9" t="s">
        <v>22</v>
      </c>
      <c r="H9" s="9" t="s">
        <v>70</v>
      </c>
      <c r="I9" s="39">
        <v>1000</v>
      </c>
      <c r="J9" s="26"/>
      <c r="K9" s="26"/>
      <c r="L9" s="26">
        <v>0.2</v>
      </c>
      <c r="M9" s="26">
        <v>0.1</v>
      </c>
      <c r="N9" s="26">
        <v>0.1</v>
      </c>
      <c r="O9" s="26">
        <v>0.6</v>
      </c>
      <c r="P9" s="26"/>
      <c r="Q9" s="26"/>
      <c r="R9" s="26"/>
      <c r="S9" s="26"/>
    </row>
    <row r="10" spans="2:19" x14ac:dyDescent="0.35">
      <c r="D10" s="9" t="s">
        <v>26</v>
      </c>
      <c r="E10" s="9" t="s">
        <v>171</v>
      </c>
      <c r="F10" s="9">
        <v>3200</v>
      </c>
      <c r="G10" s="9" t="s">
        <v>22</v>
      </c>
      <c r="H10" s="9" t="s">
        <v>70</v>
      </c>
      <c r="I10" s="39">
        <v>1000</v>
      </c>
      <c r="J10" s="26"/>
      <c r="K10" s="26"/>
      <c r="L10" s="26">
        <v>0.2</v>
      </c>
      <c r="M10" s="26">
        <v>0.1</v>
      </c>
      <c r="N10" s="26">
        <v>0.1</v>
      </c>
      <c r="O10" s="26">
        <v>0.6</v>
      </c>
      <c r="P10" s="26"/>
      <c r="Q10" s="26"/>
      <c r="R10" s="26"/>
      <c r="S10" s="26"/>
    </row>
    <row r="11" spans="2:19" x14ac:dyDescent="0.35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40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O5" sqref="O5:O40"/>
    </sheetView>
  </sheetViews>
  <sheetFormatPr defaultColWidth="11.54296875" defaultRowHeight="14.5" x14ac:dyDescent="0.35"/>
  <cols>
    <col min="1" max="3" width="3.6328125" style="31" customWidth="1"/>
    <col min="4" max="4" width="20.6328125" style="31" customWidth="1"/>
    <col min="5" max="5" width="1.6328125" style="31" customWidth="1"/>
    <col min="6" max="6" width="30.6328125" style="31" customWidth="1"/>
    <col min="7" max="7" width="1.6328125" style="31" customWidth="1"/>
    <col min="8" max="9" width="20.6328125" style="31" customWidth="1"/>
    <col min="10" max="10" width="1.6328125" style="31" customWidth="1"/>
    <col min="11" max="11" width="20.6328125" style="31" customWidth="1"/>
    <col min="12" max="12" width="1.6328125" style="31" customWidth="1"/>
    <col min="13" max="13" width="20.6328125" style="31" customWidth="1"/>
    <col min="14" max="14" width="1.6328125" style="31" customWidth="1"/>
    <col min="15" max="15" width="20.6328125" style="31" customWidth="1"/>
    <col min="16" max="16384" width="11.54296875" style="31"/>
  </cols>
  <sheetData>
    <row r="1" spans="2:15" s="77" customFormat="1" ht="25.25" customHeight="1" x14ac:dyDescent="0.35">
      <c r="B1" s="76" t="s">
        <v>201</v>
      </c>
    </row>
    <row r="3" spans="2:15" ht="15" thickBot="1" x14ac:dyDescent="0.4">
      <c r="D3" s="1" t="str">
        <f>JESA_UploadTable(D4,D4:D40)</f>
        <v>pap.name Saved! @08:24:17</v>
      </c>
      <c r="F3" s="1" t="str">
        <f>JESA_UploadTable(F4,F4:F40)</f>
        <v>pap.process Saved! @08:24:18</v>
      </c>
      <c r="H3" s="1" t="str">
        <f>JESA_UploadTable(H4,H4:I40)</f>
        <v>pap.product Saved! @08:24:18</v>
      </c>
      <c r="K3" s="1" t="str">
        <f>JESA_UploadTable(K4,K4:K40)</f>
        <v>pap.capex Saved! @08:24:18</v>
      </c>
      <c r="M3" s="1" t="str">
        <f>JESA_UploadTable(M4,M4:M40)</f>
        <v>pap.size[ktp2o5] Saved! @08:24:18</v>
      </c>
      <c r="O3" s="1" t="str">
        <f>JESA_UploadTable(O4,O4:O40)</f>
        <v>pap.input Saved! @08:24:18</v>
      </c>
    </row>
    <row r="4" spans="2:15" ht="30" customHeight="1" thickBot="1" x14ac:dyDescent="0.4">
      <c r="D4" s="78" t="s">
        <v>202</v>
      </c>
      <c r="F4" s="78" t="s">
        <v>203</v>
      </c>
      <c r="H4" s="78" t="s">
        <v>204</v>
      </c>
      <c r="I4" s="78" t="s">
        <v>166</v>
      </c>
      <c r="K4" s="78" t="s">
        <v>205</v>
      </c>
      <c r="M4" s="78" t="s">
        <v>206</v>
      </c>
      <c r="O4" s="78" t="s">
        <v>207</v>
      </c>
    </row>
    <row r="5" spans="2:15" x14ac:dyDescent="0.35">
      <c r="D5" s="29" t="s">
        <v>208</v>
      </c>
      <c r="F5" s="33" t="s">
        <v>209</v>
      </c>
      <c r="H5" s="29" t="s">
        <v>140</v>
      </c>
      <c r="I5" s="29" t="s">
        <v>24</v>
      </c>
      <c r="K5" s="30" t="s">
        <v>22</v>
      </c>
      <c r="M5" s="29">
        <v>250</v>
      </c>
      <c r="O5" s="29" t="s">
        <v>357</v>
      </c>
    </row>
    <row r="6" spans="2:15" x14ac:dyDescent="0.35">
      <c r="D6" s="33" t="s">
        <v>210</v>
      </c>
      <c r="F6" s="33" t="s">
        <v>211</v>
      </c>
      <c r="H6" s="33" t="s">
        <v>141</v>
      </c>
      <c r="I6" s="33" t="s">
        <v>24</v>
      </c>
      <c r="K6" s="79" t="s">
        <v>212</v>
      </c>
      <c r="M6" s="33">
        <v>500</v>
      </c>
      <c r="O6" s="33"/>
    </row>
    <row r="7" spans="2:15" x14ac:dyDescent="0.35">
      <c r="D7" s="33" t="s">
        <v>213</v>
      </c>
      <c r="F7" s="33" t="s">
        <v>214</v>
      </c>
      <c r="H7" s="33" t="s">
        <v>215</v>
      </c>
      <c r="I7" s="33" t="s">
        <v>101</v>
      </c>
      <c r="K7" s="79" t="s">
        <v>216</v>
      </c>
      <c r="M7" s="33">
        <v>750</v>
      </c>
      <c r="O7" s="33"/>
    </row>
    <row r="8" spans="2:15" x14ac:dyDescent="0.35">
      <c r="D8" s="33" t="s">
        <v>217</v>
      </c>
      <c r="F8" s="33"/>
      <c r="H8" s="33" t="s">
        <v>218</v>
      </c>
      <c r="I8" s="33" t="s">
        <v>161</v>
      </c>
      <c r="K8" s="79" t="s">
        <v>219</v>
      </c>
      <c r="M8" s="33">
        <v>1500</v>
      </c>
      <c r="O8" s="33"/>
    </row>
    <row r="9" spans="2:15" x14ac:dyDescent="0.35">
      <c r="D9" s="33" t="s">
        <v>220</v>
      </c>
      <c r="F9" s="33"/>
      <c r="H9" s="33" t="s">
        <v>221</v>
      </c>
      <c r="I9" s="33" t="s">
        <v>101</v>
      </c>
      <c r="K9" s="79" t="s">
        <v>222</v>
      </c>
      <c r="M9" s="33"/>
      <c r="O9" s="33"/>
    </row>
    <row r="10" spans="2:15" x14ac:dyDescent="0.35">
      <c r="D10" s="33" t="s">
        <v>223</v>
      </c>
      <c r="F10" s="33"/>
      <c r="H10" s="33" t="s">
        <v>224</v>
      </c>
      <c r="I10" s="33" t="s">
        <v>161</v>
      </c>
      <c r="K10" s="79" t="s">
        <v>225</v>
      </c>
      <c r="M10" s="33"/>
      <c r="O10" s="33"/>
    </row>
    <row r="11" spans="2:15" x14ac:dyDescent="0.35">
      <c r="D11" s="33" t="s">
        <v>226</v>
      </c>
      <c r="F11" s="33"/>
      <c r="H11" s="33"/>
      <c r="I11" s="33"/>
      <c r="K11" s="79" t="s">
        <v>227</v>
      </c>
      <c r="M11" s="33"/>
      <c r="O11" s="33"/>
    </row>
    <row r="12" spans="2:15" x14ac:dyDescent="0.35">
      <c r="D12" s="33" t="s">
        <v>228</v>
      </c>
      <c r="F12" s="33"/>
      <c r="H12" s="33"/>
      <c r="I12" s="33"/>
      <c r="K12" s="79" t="s">
        <v>229</v>
      </c>
      <c r="M12" s="33"/>
      <c r="O12" s="33"/>
    </row>
    <row r="13" spans="2:15" x14ac:dyDescent="0.35">
      <c r="D13" s="33" t="s">
        <v>230</v>
      </c>
      <c r="F13" s="33"/>
      <c r="H13" s="33"/>
      <c r="I13" s="33"/>
      <c r="K13" s="79" t="s">
        <v>231</v>
      </c>
      <c r="M13" s="33"/>
      <c r="O13" s="33"/>
    </row>
    <row r="14" spans="2:15" x14ac:dyDescent="0.35">
      <c r="D14" s="33" t="s">
        <v>232</v>
      </c>
      <c r="F14" s="33"/>
      <c r="H14" s="33"/>
      <c r="I14" s="33"/>
      <c r="K14" s="79" t="s">
        <v>233</v>
      </c>
      <c r="M14" s="33"/>
      <c r="O14" s="33"/>
    </row>
    <row r="15" spans="2:15" x14ac:dyDescent="0.35">
      <c r="D15" s="33" t="s">
        <v>234</v>
      </c>
      <c r="F15" s="33"/>
      <c r="H15" s="33"/>
      <c r="I15" s="33"/>
      <c r="K15" s="33"/>
      <c r="M15" s="33"/>
      <c r="O15" s="33"/>
    </row>
    <row r="16" spans="2:15" x14ac:dyDescent="0.35">
      <c r="D16" s="33" t="s">
        <v>235</v>
      </c>
      <c r="F16" s="33"/>
      <c r="H16" s="33"/>
      <c r="I16" s="33"/>
      <c r="K16" s="33"/>
      <c r="M16" s="33"/>
      <c r="O16" s="33"/>
    </row>
    <row r="17" spans="4:15" x14ac:dyDescent="0.35">
      <c r="D17" s="33" t="s">
        <v>236</v>
      </c>
      <c r="F17" s="33"/>
      <c r="H17" s="33"/>
      <c r="I17" s="33"/>
      <c r="K17" s="33"/>
      <c r="M17" s="33"/>
      <c r="O17" s="33"/>
    </row>
    <row r="18" spans="4:15" x14ac:dyDescent="0.35">
      <c r="D18" s="33" t="s">
        <v>237</v>
      </c>
      <c r="F18" s="33"/>
      <c r="H18" s="33"/>
      <c r="I18" s="33"/>
      <c r="K18" s="33"/>
      <c r="M18" s="33"/>
      <c r="O18" s="33"/>
    </row>
    <row r="19" spans="4:15" x14ac:dyDescent="0.35">
      <c r="D19" s="33" t="s">
        <v>238</v>
      </c>
      <c r="F19" s="33"/>
      <c r="H19" s="33"/>
      <c r="I19" s="33"/>
      <c r="K19" s="33"/>
      <c r="M19" s="33"/>
      <c r="O19" s="33"/>
    </row>
    <row r="20" spans="4:15" x14ac:dyDescent="0.35">
      <c r="D20" s="33" t="s">
        <v>239</v>
      </c>
      <c r="F20" s="33"/>
      <c r="H20" s="33"/>
      <c r="I20" s="33"/>
      <c r="K20" s="33"/>
      <c r="M20" s="33"/>
      <c r="O20" s="33"/>
    </row>
    <row r="21" spans="4:15" x14ac:dyDescent="0.35">
      <c r="D21" s="33" t="s">
        <v>240</v>
      </c>
      <c r="F21" s="33"/>
      <c r="H21" s="33"/>
      <c r="I21" s="33"/>
      <c r="K21" s="33"/>
      <c r="M21" s="33"/>
      <c r="O21" s="33"/>
    </row>
    <row r="22" spans="4:15" x14ac:dyDescent="0.35">
      <c r="D22" s="33"/>
      <c r="F22" s="33"/>
      <c r="H22" s="33"/>
      <c r="I22" s="33"/>
      <c r="K22" s="33"/>
      <c r="M22" s="33"/>
      <c r="O22" s="33"/>
    </row>
    <row r="23" spans="4:15" x14ac:dyDescent="0.35">
      <c r="D23" s="33"/>
      <c r="F23" s="33"/>
      <c r="H23" s="33"/>
      <c r="I23" s="33"/>
      <c r="K23" s="33"/>
      <c r="M23" s="33"/>
      <c r="O23" s="33"/>
    </row>
    <row r="24" spans="4:15" x14ac:dyDescent="0.35">
      <c r="D24" s="33"/>
      <c r="F24" s="33"/>
      <c r="H24" s="33"/>
      <c r="I24" s="33"/>
      <c r="K24" s="33"/>
      <c r="M24" s="33"/>
      <c r="O24" s="33"/>
    </row>
    <row r="25" spans="4:15" x14ac:dyDescent="0.35">
      <c r="D25" s="33"/>
      <c r="F25" s="33"/>
      <c r="H25" s="33"/>
      <c r="I25" s="33"/>
      <c r="K25" s="33"/>
      <c r="M25" s="33"/>
      <c r="O25" s="33"/>
    </row>
    <row r="26" spans="4:15" x14ac:dyDescent="0.35">
      <c r="D26" s="33"/>
      <c r="F26" s="33"/>
      <c r="H26" s="33"/>
      <c r="I26" s="33"/>
      <c r="K26" s="33"/>
      <c r="M26" s="33"/>
      <c r="O26" s="33"/>
    </row>
    <row r="27" spans="4:15" x14ac:dyDescent="0.35">
      <c r="D27" s="33"/>
      <c r="F27" s="33"/>
      <c r="H27" s="33"/>
      <c r="I27" s="33"/>
      <c r="K27" s="33"/>
      <c r="M27" s="33"/>
      <c r="O27" s="33"/>
    </row>
    <row r="28" spans="4:15" x14ac:dyDescent="0.35">
      <c r="D28" s="33"/>
      <c r="F28" s="33"/>
      <c r="H28" s="33"/>
      <c r="I28" s="33"/>
      <c r="K28" s="33"/>
      <c r="M28" s="33"/>
      <c r="O28" s="33"/>
    </row>
    <row r="29" spans="4:15" x14ac:dyDescent="0.35">
      <c r="D29" s="33"/>
      <c r="F29" s="33"/>
      <c r="H29" s="33"/>
      <c r="I29" s="33"/>
      <c r="K29" s="33"/>
      <c r="M29" s="33"/>
      <c r="O29" s="33"/>
    </row>
    <row r="30" spans="4:15" x14ac:dyDescent="0.35">
      <c r="D30" s="33"/>
      <c r="F30" s="33"/>
      <c r="H30" s="33"/>
      <c r="I30" s="33"/>
      <c r="K30" s="33"/>
      <c r="M30" s="33"/>
      <c r="O30" s="33"/>
    </row>
    <row r="31" spans="4:15" x14ac:dyDescent="0.35">
      <c r="D31" s="33"/>
      <c r="F31" s="33"/>
      <c r="H31" s="33"/>
      <c r="I31" s="33"/>
      <c r="K31" s="33"/>
      <c r="M31" s="33"/>
      <c r="O31" s="33"/>
    </row>
    <row r="32" spans="4:15" x14ac:dyDescent="0.35">
      <c r="D32" s="33"/>
      <c r="F32" s="33"/>
      <c r="H32" s="33"/>
      <c r="I32" s="33"/>
      <c r="K32" s="33"/>
      <c r="M32" s="33"/>
      <c r="O32" s="33"/>
    </row>
    <row r="33" spans="4:15" x14ac:dyDescent="0.35">
      <c r="D33" s="33"/>
      <c r="F33" s="33"/>
      <c r="H33" s="33"/>
      <c r="I33" s="33"/>
      <c r="K33" s="33"/>
      <c r="M33" s="33"/>
      <c r="O33" s="33"/>
    </row>
    <row r="34" spans="4:15" x14ac:dyDescent="0.35">
      <c r="D34" s="33"/>
      <c r="F34" s="33"/>
      <c r="H34" s="33"/>
      <c r="I34" s="33"/>
      <c r="K34" s="33"/>
      <c r="M34" s="33"/>
      <c r="O34" s="33"/>
    </row>
    <row r="35" spans="4:15" x14ac:dyDescent="0.35">
      <c r="D35" s="33"/>
      <c r="F35" s="33"/>
      <c r="H35" s="33"/>
      <c r="I35" s="33"/>
      <c r="K35" s="33"/>
      <c r="M35" s="33"/>
      <c r="O35" s="33"/>
    </row>
    <row r="36" spans="4:15" x14ac:dyDescent="0.35">
      <c r="D36" s="33"/>
      <c r="F36" s="33"/>
      <c r="H36" s="33"/>
      <c r="I36" s="33"/>
      <c r="K36" s="33"/>
      <c r="M36" s="33"/>
      <c r="O36" s="33"/>
    </row>
    <row r="37" spans="4:15" x14ac:dyDescent="0.35">
      <c r="D37" s="33"/>
      <c r="F37" s="33"/>
      <c r="H37" s="33"/>
      <c r="I37" s="33"/>
      <c r="K37" s="33"/>
      <c r="M37" s="33"/>
      <c r="O37" s="33"/>
    </row>
    <row r="38" spans="4:15" x14ac:dyDescent="0.35">
      <c r="D38" s="33"/>
      <c r="F38" s="33"/>
      <c r="H38" s="33"/>
      <c r="I38" s="33"/>
      <c r="K38" s="33"/>
      <c r="M38" s="33"/>
      <c r="O38" s="33"/>
    </row>
    <row r="39" spans="4:15" x14ac:dyDescent="0.35">
      <c r="D39" s="33"/>
      <c r="F39" s="33"/>
      <c r="H39" s="33"/>
      <c r="I39" s="33"/>
      <c r="K39" s="33"/>
      <c r="M39" s="33"/>
      <c r="O39" s="33"/>
    </row>
    <row r="40" spans="4:15" ht="15" thickBot="1" x14ac:dyDescent="0.4">
      <c r="D40" s="34"/>
      <c r="F40" s="34"/>
      <c r="H40" s="34"/>
      <c r="I40" s="34"/>
      <c r="K40" s="34"/>
      <c r="M40" s="34"/>
      <c r="O40" s="34"/>
    </row>
    <row r="41" spans="4:15" x14ac:dyDescent="0.35">
      <c r="D41" s="31" t="s">
        <v>94</v>
      </c>
      <c r="F41" s="31" t="s">
        <v>94</v>
      </c>
      <c r="H41" s="31" t="s">
        <v>94</v>
      </c>
      <c r="I41" s="31" t="s">
        <v>94</v>
      </c>
      <c r="K41" s="31" t="s">
        <v>94</v>
      </c>
      <c r="M41" s="31" t="s">
        <v>94</v>
      </c>
      <c r="O41" s="31" t="s">
        <v>94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548235"/>
  </sheetPr>
  <dimension ref="B1:K16"/>
  <sheetViews>
    <sheetView zoomScaleNormal="100" workbookViewId="0">
      <selection activeCell="E5" sqref="E5"/>
    </sheetView>
  </sheetViews>
  <sheetFormatPr defaultColWidth="11.54296875" defaultRowHeight="14.5" x14ac:dyDescent="0.35"/>
  <cols>
    <col min="1" max="3" width="3.6328125" style="5" customWidth="1"/>
    <col min="4" max="5" width="15.6328125" style="5" customWidth="1"/>
    <col min="6" max="6" width="30.6328125" style="5" customWidth="1"/>
    <col min="7" max="10" width="15.6328125" style="5" customWidth="1"/>
    <col min="11" max="11" width="67.6328125" style="5" bestFit="1" customWidth="1"/>
    <col min="12" max="16384" width="11.54296875" style="5"/>
  </cols>
  <sheetData>
    <row r="1" spans="2:11" s="81" customFormat="1" ht="25.25" customHeight="1" x14ac:dyDescent="0.35">
      <c r="B1" s="80" t="s">
        <v>241</v>
      </c>
    </row>
    <row r="3" spans="2:11" ht="15" thickBot="1" x14ac:dyDescent="0.4">
      <c r="D3" s="38" t="str">
        <f>JESA_UploadTable(B1,D4:K16)</f>
        <v>pap_options Saved! @08:24:13</v>
      </c>
    </row>
    <row r="4" spans="2:11" ht="30" customHeight="1" thickBot="1" x14ac:dyDescent="0.4">
      <c r="D4" s="82" t="s">
        <v>8</v>
      </c>
      <c r="E4" s="82" t="s">
        <v>30</v>
      </c>
      <c r="F4" s="83" t="s">
        <v>25</v>
      </c>
      <c r="G4" s="84" t="s">
        <v>242</v>
      </c>
      <c r="H4" s="84" t="s">
        <v>71</v>
      </c>
      <c r="I4" s="84" t="s">
        <v>147</v>
      </c>
      <c r="J4" s="84" t="s">
        <v>153</v>
      </c>
      <c r="K4" s="82" t="s">
        <v>154</v>
      </c>
    </row>
    <row r="5" spans="2:11" x14ac:dyDescent="0.35">
      <c r="D5" s="8" t="s">
        <v>3</v>
      </c>
      <c r="E5" s="8" t="s">
        <v>208</v>
      </c>
      <c r="F5" s="8" t="s">
        <v>209</v>
      </c>
      <c r="G5" s="14">
        <v>500</v>
      </c>
      <c r="H5" s="13" t="s">
        <v>36</v>
      </c>
      <c r="I5" s="14">
        <v>2024</v>
      </c>
      <c r="J5" s="14">
        <v>2100</v>
      </c>
      <c r="K5" s="8" t="str">
        <f>IF(D5="","","/PAP/"&amp;CONCATENATE(D5,"/",E5,"/",F5,"/",G5,"/",H5,"/",I5,"/",J5))</f>
        <v>/PAP/Mzinda/PAP1/DH/500/Existing/2024/2100</v>
      </c>
    </row>
    <row r="6" spans="2:11" x14ac:dyDescent="0.35">
      <c r="D6" s="9" t="s">
        <v>3</v>
      </c>
      <c r="E6" s="9" t="s">
        <v>210</v>
      </c>
      <c r="F6" s="9" t="s">
        <v>209</v>
      </c>
      <c r="G6" s="15">
        <v>500</v>
      </c>
      <c r="H6" s="11" t="s">
        <v>36</v>
      </c>
      <c r="I6" s="15">
        <v>2024</v>
      </c>
      <c r="J6" s="15">
        <v>2100</v>
      </c>
      <c r="K6" s="9" t="str">
        <f t="shared" ref="K6:K16" si="0">IF(D6="","","/PAP/"&amp;CONCATENATE(D6,"/",E6,"/",F6,"/",G6,"/",H6,"/",I6,"/",J6))</f>
        <v>/PAP/Mzinda/PAP2/DH/500/Existing/2024/2100</v>
      </c>
    </row>
    <row r="7" spans="2:11" ht="15" thickBot="1" x14ac:dyDescent="0.4">
      <c r="D7" s="9" t="s">
        <v>3</v>
      </c>
      <c r="E7" s="9" t="s">
        <v>213</v>
      </c>
      <c r="F7" s="9" t="s">
        <v>209</v>
      </c>
      <c r="G7" s="15">
        <v>500</v>
      </c>
      <c r="H7" s="11" t="s">
        <v>36</v>
      </c>
      <c r="I7" s="15">
        <v>2024</v>
      </c>
      <c r="J7" s="15">
        <v>2100</v>
      </c>
      <c r="K7" s="9" t="str">
        <f t="shared" si="0"/>
        <v>/PAP/Mzinda/PAP3/DH/500/Existing/2024/2100</v>
      </c>
    </row>
    <row r="8" spans="2:11" x14ac:dyDescent="0.35">
      <c r="D8" s="50" t="s">
        <v>26</v>
      </c>
      <c r="E8" s="50" t="s">
        <v>240</v>
      </c>
      <c r="F8" s="50" t="s">
        <v>214</v>
      </c>
      <c r="G8" s="86">
        <v>1500</v>
      </c>
      <c r="H8" s="87" t="s">
        <v>36</v>
      </c>
      <c r="I8" s="86">
        <v>2019</v>
      </c>
      <c r="J8" s="86">
        <v>2100</v>
      </c>
      <c r="K8" s="8" t="str">
        <f>IF(D8="","","/PAP/"&amp;CONCATENATE(D8,"/",E8,"/",F8,"/",G8,"/",H8,"/",I8,"/",J8))</f>
        <v>/PAP/Safi/PAP SAFI EXISTING /PROCESS SAFI EXISTANT/1500/Existing/2019/2100</v>
      </c>
    </row>
    <row r="9" spans="2:11" x14ac:dyDescent="0.35">
      <c r="D9" s="50" t="s">
        <v>26</v>
      </c>
      <c r="E9" s="50" t="s">
        <v>240</v>
      </c>
      <c r="F9" s="50" t="s">
        <v>214</v>
      </c>
      <c r="G9" s="86">
        <v>1500</v>
      </c>
      <c r="H9" s="87" t="s">
        <v>36</v>
      </c>
      <c r="I9" s="86">
        <v>2018</v>
      </c>
      <c r="J9" s="86">
        <v>2024</v>
      </c>
      <c r="K9" s="9" t="str">
        <f>IF(D9="","","/PAP/"&amp;CONCATENATE(D9,"/",E9,"/",F9,"/",G9,"/",H9,"/",I9,"/",J9))</f>
        <v>/PAP/Safi/PAP SAFI EXISTING /PROCESS SAFI EXISTANT/1500/Existing/2018/2024</v>
      </c>
    </row>
    <row r="10" spans="2:11" ht="15" thickBot="1" x14ac:dyDescent="0.4">
      <c r="D10" s="88" t="s">
        <v>26</v>
      </c>
      <c r="E10" s="88" t="s">
        <v>240</v>
      </c>
      <c r="F10" s="88" t="s">
        <v>214</v>
      </c>
      <c r="G10" s="89">
        <v>1500</v>
      </c>
      <c r="H10" s="90" t="s">
        <v>36</v>
      </c>
      <c r="I10" s="89">
        <v>2018</v>
      </c>
      <c r="J10" s="89">
        <v>2030</v>
      </c>
      <c r="K10" s="10" t="str">
        <f t="shared" ref="K10" si="1">IF(D10="","","/PAP/"&amp;CONCATENATE(D10,"/",E10,"/",F10,"/",G10,"/",H10,"/",I10,"/",J10))</f>
        <v>/PAP/Safi/PAP SAFI EXISTING /PROCESS SAFI EXISTANT/1500/Existing/2018/2030</v>
      </c>
    </row>
    <row r="11" spans="2:11" ht="15" thickBot="1" x14ac:dyDescent="0.4">
      <c r="D11" s="9" t="s">
        <v>3</v>
      </c>
      <c r="E11" s="9">
        <v>8</v>
      </c>
      <c r="F11" s="9" t="s">
        <v>209</v>
      </c>
      <c r="G11" s="15">
        <v>500</v>
      </c>
      <c r="H11" s="11" t="s">
        <v>150</v>
      </c>
      <c r="I11" s="15">
        <v>2024</v>
      </c>
      <c r="J11" s="15">
        <v>2100</v>
      </c>
      <c r="K11" s="9" t="str">
        <f t="shared" si="0"/>
        <v>/PAP/Mzinda/8/DH/500/New/2024/2100</v>
      </c>
    </row>
    <row r="12" spans="2:11" ht="15" thickBot="1" x14ac:dyDescent="0.4">
      <c r="D12" s="8" t="s">
        <v>3</v>
      </c>
      <c r="E12" s="8">
        <v>6</v>
      </c>
      <c r="F12" s="8" t="s">
        <v>209</v>
      </c>
      <c r="G12" s="14">
        <v>750</v>
      </c>
      <c r="H12" s="13" t="s">
        <v>150</v>
      </c>
      <c r="I12" s="14">
        <v>2024</v>
      </c>
      <c r="J12" s="14">
        <v>2100</v>
      </c>
      <c r="K12" s="8" t="str">
        <f t="shared" si="0"/>
        <v>/PAP/Mzinda/6/DH/750/New/2024/2100</v>
      </c>
    </row>
    <row r="13" spans="2:11" ht="15" thickBot="1" x14ac:dyDescent="0.4">
      <c r="D13" s="50" t="s">
        <v>3</v>
      </c>
      <c r="E13" s="50">
        <v>16</v>
      </c>
      <c r="F13" s="50" t="s">
        <v>211</v>
      </c>
      <c r="G13" s="86">
        <v>250</v>
      </c>
      <c r="H13" s="87" t="s">
        <v>150</v>
      </c>
      <c r="I13" s="86">
        <v>2025</v>
      </c>
      <c r="J13" s="86">
        <v>2100</v>
      </c>
      <c r="K13" s="8" t="str">
        <f t="shared" si="0"/>
        <v>/PAP/Mzinda/16/DH-HH/250/New/2025/2100</v>
      </c>
    </row>
    <row r="14" spans="2:11" ht="15" thickBot="1" x14ac:dyDescent="0.4">
      <c r="D14" s="8" t="s">
        <v>26</v>
      </c>
      <c r="E14" s="8">
        <v>8</v>
      </c>
      <c r="F14" s="8" t="s">
        <v>209</v>
      </c>
      <c r="G14" s="14">
        <v>500</v>
      </c>
      <c r="H14" s="13" t="s">
        <v>150</v>
      </c>
      <c r="I14" s="14">
        <v>2024</v>
      </c>
      <c r="J14" s="14">
        <v>2100</v>
      </c>
      <c r="K14" s="8" t="str">
        <f t="shared" si="0"/>
        <v>/PAP/Safi/8/DH/500/New/2024/2100</v>
      </c>
    </row>
    <row r="15" spans="2:11" ht="15" thickBot="1" x14ac:dyDescent="0.4">
      <c r="D15" s="8" t="s">
        <v>26</v>
      </c>
      <c r="E15" s="8">
        <v>6</v>
      </c>
      <c r="F15" s="8" t="s">
        <v>209</v>
      </c>
      <c r="G15" s="14">
        <v>750</v>
      </c>
      <c r="H15" s="13" t="s">
        <v>150</v>
      </c>
      <c r="I15" s="14">
        <v>2024</v>
      </c>
      <c r="J15" s="14">
        <v>2100</v>
      </c>
      <c r="K15" s="8" t="str">
        <f t="shared" si="0"/>
        <v>/PAP/Safi/6/DH/750/New/2024/2100</v>
      </c>
    </row>
    <row r="16" spans="2:11" x14ac:dyDescent="0.35">
      <c r="D16" s="8" t="s">
        <v>26</v>
      </c>
      <c r="E16" s="8">
        <v>16</v>
      </c>
      <c r="F16" s="8" t="s">
        <v>211</v>
      </c>
      <c r="G16" s="14">
        <v>250</v>
      </c>
      <c r="H16" s="13" t="s">
        <v>150</v>
      </c>
      <c r="I16" s="14">
        <v>2025</v>
      </c>
      <c r="J16" s="14">
        <v>2100</v>
      </c>
      <c r="K16" s="8" t="str">
        <f t="shared" si="0"/>
        <v>/PAP/Safi/16/DH-HH/250/New/2025/2100</v>
      </c>
    </row>
  </sheetData>
  <dataValidations count="5">
    <dataValidation type="list" allowBlank="1" showInputMessage="1" showErrorMessage="1" sqref="H5:H16">
      <formula1>"Existing,New"</formula1>
    </dataValidation>
    <dataValidation type="list" allowBlank="1" showInputMessage="1" showErrorMessage="1" sqref="G5:G16">
      <formula1>PAPSize</formula1>
    </dataValidation>
    <dataValidation type="list" allowBlank="1" showInputMessage="1" showErrorMessage="1" sqref="D5:D16">
      <formula1>Location</formula1>
    </dataValidation>
    <dataValidation type="list" allowBlank="1" showInputMessage="1" showErrorMessage="1" sqref="F5:F16">
      <formula1>PAPProcess</formula1>
    </dataValidation>
    <dataValidation type="list" allowBlank="1" showInputMessage="1" showErrorMessage="1" sqref="E5:E16">
      <formula1>PAPName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50"/>
  <sheetViews>
    <sheetView workbookViewId="0">
      <selection activeCell="B2" sqref="B2"/>
    </sheetView>
  </sheetViews>
  <sheetFormatPr defaultColWidth="11.54296875" defaultRowHeight="14.5" outlineLevelCol="1" x14ac:dyDescent="0.35"/>
  <cols>
    <col min="1" max="3" width="3.6328125" style="5" customWidth="1"/>
    <col min="4" max="4" width="30.6328125" style="5" customWidth="1"/>
    <col min="5" max="7" width="15.6328125" style="5" customWidth="1"/>
    <col min="8" max="8" width="8.6328125" style="5" customWidth="1"/>
    <col min="9" max="18" width="8.6328125" style="5" customWidth="1" outlineLevel="1"/>
    <col min="19" max="16384" width="11.54296875" style="5"/>
  </cols>
  <sheetData>
    <row r="1" spans="2:18" s="81" customFormat="1" ht="25.25" customHeight="1" x14ac:dyDescent="0.35">
      <c r="B1" s="80" t="s">
        <v>243</v>
      </c>
    </row>
    <row r="3" spans="2:18" ht="15" thickBot="1" x14ac:dyDescent="0.4">
      <c r="D3" s="38" t="str">
        <f>JESA_UploadTable(B1,D4:R50)</f>
        <v>pap_production Saved! @08:24:17</v>
      </c>
    </row>
    <row r="4" spans="2:18" ht="30" customHeight="1" thickBot="1" x14ac:dyDescent="0.4">
      <c r="D4" s="82" t="s">
        <v>25</v>
      </c>
      <c r="E4" s="82" t="s">
        <v>244</v>
      </c>
      <c r="F4" s="82" t="s">
        <v>24</v>
      </c>
      <c r="G4" s="84" t="s">
        <v>17</v>
      </c>
      <c r="H4" s="91" t="s">
        <v>37</v>
      </c>
      <c r="I4" s="91" t="s">
        <v>38</v>
      </c>
      <c r="J4" s="91" t="s">
        <v>39</v>
      </c>
      <c r="K4" s="91" t="s">
        <v>40</v>
      </c>
      <c r="L4" s="91" t="s">
        <v>41</v>
      </c>
      <c r="M4" s="91" t="s">
        <v>42</v>
      </c>
      <c r="N4" s="91" t="s">
        <v>43</v>
      </c>
      <c r="O4" s="91" t="s">
        <v>44</v>
      </c>
      <c r="P4" s="91" t="s">
        <v>45</v>
      </c>
      <c r="Q4" s="91" t="s">
        <v>46</v>
      </c>
      <c r="R4" s="91" t="s">
        <v>47</v>
      </c>
    </row>
    <row r="5" spans="2:18" x14ac:dyDescent="0.35">
      <c r="D5" s="8" t="s">
        <v>209</v>
      </c>
      <c r="E5" s="8" t="s">
        <v>357</v>
      </c>
      <c r="F5" s="8" t="s">
        <v>140</v>
      </c>
      <c r="G5" s="8" t="s">
        <v>138</v>
      </c>
      <c r="H5" s="19">
        <v>1</v>
      </c>
      <c r="I5" s="19">
        <f>IF(H5="","",H5)</f>
        <v>1</v>
      </c>
      <c r="J5" s="19">
        <f t="shared" ref="J5:R6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5">
      <c r="D6" s="9" t="s">
        <v>209</v>
      </c>
      <c r="E6" s="9" t="s">
        <v>357</v>
      </c>
      <c r="F6" s="9" t="s">
        <v>141</v>
      </c>
      <c r="G6" s="9" t="s">
        <v>138</v>
      </c>
      <c r="H6" s="20">
        <v>1</v>
      </c>
      <c r="I6" s="20">
        <v>1</v>
      </c>
      <c r="J6" s="20">
        <f t="shared" si="0"/>
        <v>1</v>
      </c>
      <c r="K6" s="20">
        <f t="shared" si="0"/>
        <v>1</v>
      </c>
      <c r="L6" s="20">
        <f t="shared" si="0"/>
        <v>1</v>
      </c>
      <c r="M6" s="20">
        <f t="shared" si="0"/>
        <v>1</v>
      </c>
      <c r="N6" s="20">
        <f t="shared" si="0"/>
        <v>1</v>
      </c>
      <c r="O6" s="20">
        <f t="shared" si="0"/>
        <v>1</v>
      </c>
      <c r="P6" s="20">
        <f t="shared" si="0"/>
        <v>1</v>
      </c>
      <c r="Q6" s="20">
        <f t="shared" si="0"/>
        <v>1</v>
      </c>
      <c r="R6" s="20">
        <f t="shared" si="0"/>
        <v>1</v>
      </c>
    </row>
    <row r="7" spans="2:18" x14ac:dyDescent="0.35">
      <c r="D7" s="9" t="s">
        <v>209</v>
      </c>
      <c r="E7" s="9" t="s">
        <v>357</v>
      </c>
      <c r="F7" s="9" t="s">
        <v>215</v>
      </c>
      <c r="G7" s="9" t="s">
        <v>56</v>
      </c>
      <c r="H7" s="20">
        <v>5</v>
      </c>
      <c r="I7" s="20">
        <f t="shared" ref="I7:R22" si="1">IF(H7="","",H7)</f>
        <v>5</v>
      </c>
      <c r="J7" s="20">
        <f t="shared" si="1"/>
        <v>5</v>
      </c>
      <c r="K7" s="20">
        <f t="shared" si="1"/>
        <v>5</v>
      </c>
      <c r="L7" s="20">
        <f t="shared" si="1"/>
        <v>5</v>
      </c>
      <c r="M7" s="20">
        <f t="shared" si="1"/>
        <v>5</v>
      </c>
      <c r="N7" s="20">
        <f t="shared" si="1"/>
        <v>5</v>
      </c>
      <c r="O7" s="20">
        <f t="shared" si="1"/>
        <v>5</v>
      </c>
      <c r="P7" s="20">
        <f t="shared" si="1"/>
        <v>5</v>
      </c>
      <c r="Q7" s="20">
        <f t="shared" si="1"/>
        <v>5</v>
      </c>
      <c r="R7" s="20">
        <f t="shared" si="1"/>
        <v>5</v>
      </c>
    </row>
    <row r="8" spans="2:18" x14ac:dyDescent="0.35">
      <c r="D8" s="9" t="s">
        <v>209</v>
      </c>
      <c r="E8" s="9" t="s">
        <v>357</v>
      </c>
      <c r="F8" s="9" t="s">
        <v>218</v>
      </c>
      <c r="G8" s="9" t="s">
        <v>56</v>
      </c>
      <c r="H8" s="18">
        <v>0.04</v>
      </c>
      <c r="I8" s="18">
        <f t="shared" si="1"/>
        <v>0.04</v>
      </c>
      <c r="J8" s="18">
        <f t="shared" si="1"/>
        <v>0.04</v>
      </c>
      <c r="K8" s="18">
        <f t="shared" si="1"/>
        <v>0.04</v>
      </c>
      <c r="L8" s="18">
        <f t="shared" si="1"/>
        <v>0.04</v>
      </c>
      <c r="M8" s="18">
        <f t="shared" si="1"/>
        <v>0.04</v>
      </c>
      <c r="N8" s="18">
        <f t="shared" si="1"/>
        <v>0.04</v>
      </c>
      <c r="O8" s="18">
        <f t="shared" si="1"/>
        <v>0.04</v>
      </c>
      <c r="P8" s="18">
        <f t="shared" si="1"/>
        <v>0.04</v>
      </c>
      <c r="Q8" s="18">
        <f t="shared" si="1"/>
        <v>0.04</v>
      </c>
      <c r="R8" s="18">
        <f t="shared" si="1"/>
        <v>0.04</v>
      </c>
    </row>
    <row r="9" spans="2:18" x14ac:dyDescent="0.35">
      <c r="D9" s="9" t="s">
        <v>211</v>
      </c>
      <c r="E9" s="9" t="s">
        <v>357</v>
      </c>
      <c r="F9" s="9" t="s">
        <v>141</v>
      </c>
      <c r="G9" s="9" t="s">
        <v>138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5">
      <c r="D10" s="9" t="s">
        <v>211</v>
      </c>
      <c r="E10" s="9" t="s">
        <v>357</v>
      </c>
      <c r="F10" s="9" t="s">
        <v>215</v>
      </c>
      <c r="G10" s="9" t="s">
        <v>56</v>
      </c>
      <c r="H10" s="20">
        <v>5</v>
      </c>
      <c r="I10" s="20">
        <f t="shared" si="1"/>
        <v>5</v>
      </c>
      <c r="J10" s="20">
        <f t="shared" si="1"/>
        <v>5</v>
      </c>
      <c r="K10" s="20">
        <f t="shared" si="1"/>
        <v>5</v>
      </c>
      <c r="L10" s="20">
        <f t="shared" si="1"/>
        <v>5</v>
      </c>
      <c r="M10" s="20">
        <f t="shared" si="1"/>
        <v>5</v>
      </c>
      <c r="N10" s="20">
        <f t="shared" si="1"/>
        <v>5</v>
      </c>
      <c r="O10" s="20">
        <f t="shared" si="1"/>
        <v>5</v>
      </c>
      <c r="P10" s="20">
        <f t="shared" si="1"/>
        <v>5</v>
      </c>
      <c r="Q10" s="20">
        <f t="shared" si="1"/>
        <v>5</v>
      </c>
      <c r="R10" s="20">
        <f t="shared" si="1"/>
        <v>5</v>
      </c>
    </row>
    <row r="11" spans="2:18" x14ac:dyDescent="0.35">
      <c r="D11" s="85" t="s">
        <v>211</v>
      </c>
      <c r="E11" s="85" t="s">
        <v>357</v>
      </c>
      <c r="F11" s="85" t="s">
        <v>218</v>
      </c>
      <c r="G11" s="85" t="s">
        <v>56</v>
      </c>
      <c r="H11" s="92">
        <v>0.04</v>
      </c>
      <c r="I11" s="92">
        <f t="shared" si="1"/>
        <v>0.04</v>
      </c>
      <c r="J11" s="92">
        <f t="shared" si="1"/>
        <v>0.04</v>
      </c>
      <c r="K11" s="92">
        <f t="shared" si="1"/>
        <v>0.04</v>
      </c>
      <c r="L11" s="92">
        <f t="shared" si="1"/>
        <v>0.04</v>
      </c>
      <c r="M11" s="92">
        <f t="shared" si="1"/>
        <v>0.04</v>
      </c>
      <c r="N11" s="92">
        <f t="shared" si="1"/>
        <v>0.04</v>
      </c>
      <c r="O11" s="92">
        <f t="shared" si="1"/>
        <v>0.04</v>
      </c>
      <c r="P11" s="92">
        <f t="shared" si="1"/>
        <v>0.04</v>
      </c>
      <c r="Q11" s="92">
        <f t="shared" si="1"/>
        <v>0.04</v>
      </c>
      <c r="R11" s="92">
        <f t="shared" si="1"/>
        <v>0.04</v>
      </c>
    </row>
    <row r="12" spans="2:18" x14ac:dyDescent="0.35">
      <c r="D12" s="9" t="s">
        <v>214</v>
      </c>
      <c r="E12" s="9" t="s">
        <v>357</v>
      </c>
      <c r="F12" s="9" t="s">
        <v>140</v>
      </c>
      <c r="G12" s="9" t="s">
        <v>138</v>
      </c>
      <c r="H12" s="20">
        <v>1</v>
      </c>
      <c r="I12" s="20">
        <f>IF(H12="","",H12)</f>
        <v>1</v>
      </c>
      <c r="J12" s="20">
        <f t="shared" si="1"/>
        <v>1</v>
      </c>
      <c r="K12" s="20">
        <f t="shared" si="1"/>
        <v>1</v>
      </c>
      <c r="L12" s="20">
        <f t="shared" si="1"/>
        <v>1</v>
      </c>
      <c r="M12" s="20">
        <f t="shared" si="1"/>
        <v>1</v>
      </c>
      <c r="N12" s="20">
        <f t="shared" si="1"/>
        <v>1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20">
        <f t="shared" si="1"/>
        <v>1</v>
      </c>
    </row>
    <row r="13" spans="2:18" x14ac:dyDescent="0.35">
      <c r="D13" s="9" t="s">
        <v>214</v>
      </c>
      <c r="E13" s="9" t="s">
        <v>357</v>
      </c>
      <c r="F13" s="9" t="s">
        <v>141</v>
      </c>
      <c r="G13" s="9" t="s">
        <v>138</v>
      </c>
      <c r="H13" s="20">
        <v>1</v>
      </c>
      <c r="I13" s="20">
        <v>1</v>
      </c>
      <c r="J13" s="20">
        <f t="shared" si="1"/>
        <v>1</v>
      </c>
      <c r="K13" s="20">
        <f t="shared" si="1"/>
        <v>1</v>
      </c>
      <c r="L13" s="20">
        <f t="shared" si="1"/>
        <v>1</v>
      </c>
      <c r="M13" s="20">
        <f t="shared" si="1"/>
        <v>1</v>
      </c>
      <c r="N13" s="20">
        <f t="shared" si="1"/>
        <v>1</v>
      </c>
      <c r="O13" s="20">
        <f t="shared" si="1"/>
        <v>1</v>
      </c>
      <c r="P13" s="20">
        <f t="shared" si="1"/>
        <v>1</v>
      </c>
      <c r="Q13" s="20">
        <f t="shared" si="1"/>
        <v>1</v>
      </c>
      <c r="R13" s="20">
        <f t="shared" si="1"/>
        <v>1</v>
      </c>
    </row>
    <row r="14" spans="2:18" x14ac:dyDescent="0.35">
      <c r="D14" s="9" t="s">
        <v>214</v>
      </c>
      <c r="E14" s="9" t="s">
        <v>357</v>
      </c>
      <c r="F14" s="9" t="s">
        <v>215</v>
      </c>
      <c r="G14" s="9" t="s">
        <v>56</v>
      </c>
      <c r="H14" s="20">
        <v>5</v>
      </c>
      <c r="I14" s="20">
        <f t="shared" si="1"/>
        <v>5</v>
      </c>
      <c r="J14" s="20">
        <f t="shared" si="1"/>
        <v>5</v>
      </c>
      <c r="K14" s="20">
        <f t="shared" si="1"/>
        <v>5</v>
      </c>
      <c r="L14" s="20">
        <f t="shared" si="1"/>
        <v>5</v>
      </c>
      <c r="M14" s="20">
        <f t="shared" si="1"/>
        <v>5</v>
      </c>
      <c r="N14" s="20">
        <f t="shared" si="1"/>
        <v>5</v>
      </c>
      <c r="O14" s="20">
        <f t="shared" si="1"/>
        <v>5</v>
      </c>
      <c r="P14" s="20">
        <f t="shared" si="1"/>
        <v>5</v>
      </c>
      <c r="Q14" s="20">
        <f t="shared" si="1"/>
        <v>5</v>
      </c>
      <c r="R14" s="20">
        <f t="shared" si="1"/>
        <v>5</v>
      </c>
    </row>
    <row r="15" spans="2:18" x14ac:dyDescent="0.35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5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5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5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5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5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5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5">
      <c r="D22" s="9"/>
      <c r="E22" s="9"/>
      <c r="F22" s="9"/>
      <c r="G22" s="9"/>
      <c r="H22" s="20"/>
      <c r="I22" s="20" t="str">
        <f t="shared" si="1"/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5">
      <c r="D23" s="9"/>
      <c r="E23" s="9"/>
      <c r="F23" s="9"/>
      <c r="G23" s="9"/>
      <c r="H23" s="20"/>
      <c r="I23" s="20" t="str">
        <f t="shared" ref="I23:R38" si="2">IF(H23="","",H23)</f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5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5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5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5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5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5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5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5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5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5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5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5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5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5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5">
      <c r="D38" s="9"/>
      <c r="E38" s="9"/>
      <c r="F38" s="9"/>
      <c r="G38" s="9"/>
      <c r="H38" s="20"/>
      <c r="I38" s="20" t="str">
        <f t="shared" si="2"/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5">
      <c r="D39" s="9"/>
      <c r="E39" s="9"/>
      <c r="F39" s="9"/>
      <c r="G39" s="9"/>
      <c r="H39" s="20"/>
      <c r="I39" s="20" t="str">
        <f t="shared" ref="I39:R49" si="3">IF(H39="","",H39)</f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5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5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5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5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5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5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5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5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5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ht="15" thickBot="1" x14ac:dyDescent="0.4">
      <c r="D49" s="10"/>
      <c r="E49" s="10"/>
      <c r="F49" s="10"/>
      <c r="G49" s="10"/>
      <c r="H49" s="28"/>
      <c r="I49" s="28" t="str">
        <f t="shared" si="3"/>
        <v/>
      </c>
      <c r="J49" s="28" t="str">
        <f t="shared" si="3"/>
        <v/>
      </c>
      <c r="K49" s="28" t="str">
        <f t="shared" si="3"/>
        <v/>
      </c>
      <c r="L49" s="28" t="str">
        <f t="shared" si="3"/>
        <v/>
      </c>
      <c r="M49" s="28" t="str">
        <f t="shared" si="3"/>
        <v/>
      </c>
      <c r="N49" s="28" t="str">
        <f t="shared" si="3"/>
        <v/>
      </c>
      <c r="O49" s="28" t="str">
        <f t="shared" si="3"/>
        <v/>
      </c>
      <c r="P49" s="28" t="str">
        <f t="shared" si="3"/>
        <v/>
      </c>
      <c r="Q49" s="28" t="str">
        <f t="shared" si="3"/>
        <v/>
      </c>
      <c r="R49" s="28" t="str">
        <f t="shared" si="3"/>
        <v/>
      </c>
    </row>
    <row r="50" spans="4:18" x14ac:dyDescent="0.35">
      <c r="D50" s="5" t="e">
        <v>#N/A</v>
      </c>
      <c r="F50" s="5" t="e">
        <v>#N/A</v>
      </c>
      <c r="G50" s="5" t="e">
        <v>#N/A</v>
      </c>
      <c r="H50" s="5" t="e">
        <v>#N/A</v>
      </c>
      <c r="I50" s="5" t="e">
        <v>#N/A</v>
      </c>
      <c r="J50" s="5" t="e">
        <v>#N/A</v>
      </c>
      <c r="K50" s="5" t="e">
        <v>#N/A</v>
      </c>
      <c r="L50" s="5" t="e">
        <v>#N/A</v>
      </c>
      <c r="M50" s="5" t="e">
        <v>#N/A</v>
      </c>
      <c r="N50" s="5" t="e">
        <v>#N/A</v>
      </c>
      <c r="O50" s="5" t="e">
        <v>#N/A</v>
      </c>
      <c r="P50" s="5" t="e">
        <v>#N/A</v>
      </c>
      <c r="Q50" s="5" t="e">
        <v>#N/A</v>
      </c>
      <c r="R50" s="5" t="e">
        <v>#N/A</v>
      </c>
    </row>
  </sheetData>
  <dataValidations count="4">
    <dataValidation type="list" allowBlank="1" showInputMessage="1" showErrorMessage="1" sqref="E5:E49">
      <formula1>PAPInputs</formula1>
    </dataValidation>
    <dataValidation type="list" allowBlank="1" showInputMessage="1" showErrorMessage="1" sqref="D5:D49">
      <formula1>PAPProcess</formula1>
    </dataValidation>
    <dataValidation type="list" allowBlank="1" showInputMessage="1" showErrorMessage="1" sqref="F5:F49">
      <formula1>PAPProducts</formula1>
    </dataValidation>
    <dataValidation type="list" allowBlank="1" showInputMessage="1" showErrorMessage="1" sqref="G5:G49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51"/>
  <sheetViews>
    <sheetView workbookViewId="0">
      <selection activeCell="L6" sqref="L6"/>
    </sheetView>
  </sheetViews>
  <sheetFormatPr defaultColWidth="11.54296875" defaultRowHeight="14.5" outlineLevelCol="1" x14ac:dyDescent="0.35"/>
  <cols>
    <col min="1" max="3" width="3.6328125" style="5" customWidth="1"/>
    <col min="4" max="4" width="15.6328125" style="5" customWidth="1"/>
    <col min="5" max="5" width="30.6328125" style="5" customWidth="1"/>
    <col min="6" max="10" width="15.6328125" style="5" customWidth="1"/>
    <col min="11" max="11" width="8.6328125" style="5" customWidth="1"/>
    <col min="12" max="21" width="8.6328125" style="5" customWidth="1" outlineLevel="1"/>
    <col min="22" max="16384" width="11.54296875" style="5"/>
  </cols>
  <sheetData>
    <row r="1" spans="2:21" s="81" customFormat="1" ht="25.25" customHeight="1" x14ac:dyDescent="0.35">
      <c r="B1" s="80" t="s">
        <v>245</v>
      </c>
    </row>
    <row r="3" spans="2:21" ht="15" thickBot="1" x14ac:dyDescent="0.4">
      <c r="D3" s="38" t="str">
        <f>JESA_UploadTable(B1,D4:U50)</f>
        <v>pap_opex___specific_consumptions Saved! @08:24:17</v>
      </c>
    </row>
    <row r="4" spans="2:21" ht="30" customHeight="1" thickBot="1" x14ac:dyDescent="0.4">
      <c r="D4" s="82" t="s">
        <v>8</v>
      </c>
      <c r="E4" s="82" t="s">
        <v>25</v>
      </c>
      <c r="F4" s="84" t="s">
        <v>242</v>
      </c>
      <c r="G4" s="82" t="s">
        <v>244</v>
      </c>
      <c r="H4" s="82" t="s">
        <v>12</v>
      </c>
      <c r="I4" s="82" t="s">
        <v>24</v>
      </c>
      <c r="J4" s="84" t="s">
        <v>17</v>
      </c>
      <c r="K4" s="91" t="s">
        <v>37</v>
      </c>
      <c r="L4" s="91" t="s">
        <v>38</v>
      </c>
      <c r="M4" s="91" t="s">
        <v>39</v>
      </c>
      <c r="N4" s="91" t="s">
        <v>40</v>
      </c>
      <c r="O4" s="91" t="s">
        <v>41</v>
      </c>
      <c r="P4" s="91" t="s">
        <v>42</v>
      </c>
      <c r="Q4" s="91" t="s">
        <v>43</v>
      </c>
      <c r="R4" s="91" t="s">
        <v>44</v>
      </c>
      <c r="S4" s="91" t="s">
        <v>45</v>
      </c>
      <c r="T4" s="91" t="s">
        <v>46</v>
      </c>
      <c r="U4" s="91" t="s">
        <v>47</v>
      </c>
    </row>
    <row r="5" spans="2:21" x14ac:dyDescent="0.35">
      <c r="D5" s="8" t="s">
        <v>3</v>
      </c>
      <c r="E5" s="8" t="s">
        <v>209</v>
      </c>
      <c r="F5" s="8">
        <v>500</v>
      </c>
      <c r="G5" s="8" t="s">
        <v>357</v>
      </c>
      <c r="H5" s="8" t="s">
        <v>13</v>
      </c>
      <c r="I5" s="8" t="s">
        <v>140</v>
      </c>
      <c r="J5" s="8" t="s">
        <v>60</v>
      </c>
      <c r="K5" s="17">
        <v>7.9</v>
      </c>
      <c r="L5" s="18">
        <f t="shared" ref="L5:U19" si="0">IF(K5="","",K5)</f>
        <v>7.9</v>
      </c>
      <c r="M5" s="18">
        <f t="shared" si="0"/>
        <v>7.9</v>
      </c>
      <c r="N5" s="18">
        <f t="shared" si="0"/>
        <v>7.9</v>
      </c>
      <c r="O5" s="18">
        <f t="shared" si="0"/>
        <v>7.9</v>
      </c>
      <c r="P5" s="18">
        <f t="shared" si="0"/>
        <v>7.9</v>
      </c>
      <c r="Q5" s="18">
        <f t="shared" si="0"/>
        <v>7.9</v>
      </c>
      <c r="R5" s="18">
        <f t="shared" si="0"/>
        <v>7.9</v>
      </c>
      <c r="S5" s="18">
        <f t="shared" si="0"/>
        <v>7.9</v>
      </c>
      <c r="T5" s="18">
        <f t="shared" si="0"/>
        <v>7.9</v>
      </c>
      <c r="U5" s="18">
        <f t="shared" si="0"/>
        <v>7.9</v>
      </c>
    </row>
    <row r="6" spans="2:21" x14ac:dyDescent="0.35">
      <c r="D6" s="9" t="s">
        <v>3</v>
      </c>
      <c r="E6" s="9" t="s">
        <v>209</v>
      </c>
      <c r="F6" s="9">
        <v>500</v>
      </c>
      <c r="G6" s="9" t="s">
        <v>357</v>
      </c>
      <c r="H6" s="9" t="s">
        <v>15</v>
      </c>
      <c r="I6" s="9" t="s">
        <v>140</v>
      </c>
      <c r="J6" s="9" t="s">
        <v>64</v>
      </c>
      <c r="K6" s="18">
        <v>150</v>
      </c>
      <c r="L6" s="18">
        <f t="shared" si="0"/>
        <v>150</v>
      </c>
      <c r="M6" s="18">
        <f t="shared" si="0"/>
        <v>150</v>
      </c>
      <c r="N6" s="18">
        <f t="shared" si="0"/>
        <v>150</v>
      </c>
      <c r="O6" s="18">
        <f t="shared" si="0"/>
        <v>150</v>
      </c>
      <c r="P6" s="18">
        <f t="shared" si="0"/>
        <v>150</v>
      </c>
      <c r="Q6" s="18">
        <f t="shared" si="0"/>
        <v>150</v>
      </c>
      <c r="R6" s="18">
        <f t="shared" si="0"/>
        <v>150</v>
      </c>
      <c r="S6" s="18">
        <f t="shared" si="0"/>
        <v>150</v>
      </c>
      <c r="T6" s="18">
        <f t="shared" si="0"/>
        <v>150</v>
      </c>
      <c r="U6" s="18">
        <f t="shared" si="0"/>
        <v>150</v>
      </c>
    </row>
    <row r="7" spans="2:21" x14ac:dyDescent="0.35">
      <c r="D7" s="9" t="s">
        <v>3</v>
      </c>
      <c r="E7" s="9" t="s">
        <v>209</v>
      </c>
      <c r="F7" s="9">
        <v>500</v>
      </c>
      <c r="G7" s="9" t="s">
        <v>357</v>
      </c>
      <c r="H7" s="9" t="s">
        <v>357</v>
      </c>
      <c r="I7" s="9" t="s">
        <v>140</v>
      </c>
      <c r="J7" s="9" t="s">
        <v>199</v>
      </c>
      <c r="K7" s="18">
        <v>3.6</v>
      </c>
      <c r="L7" s="18">
        <f t="shared" si="0"/>
        <v>3.6</v>
      </c>
      <c r="M7" s="18">
        <f t="shared" si="0"/>
        <v>3.6</v>
      </c>
      <c r="N7" s="18">
        <f t="shared" si="0"/>
        <v>3.6</v>
      </c>
      <c r="O7" s="18">
        <f t="shared" si="0"/>
        <v>3.6</v>
      </c>
      <c r="P7" s="18">
        <f t="shared" si="0"/>
        <v>3.6</v>
      </c>
      <c r="Q7" s="18">
        <f t="shared" si="0"/>
        <v>3.6</v>
      </c>
      <c r="R7" s="18">
        <f t="shared" si="0"/>
        <v>3.6</v>
      </c>
      <c r="S7" s="18">
        <f t="shared" si="0"/>
        <v>3.6</v>
      </c>
      <c r="T7" s="18">
        <f t="shared" si="0"/>
        <v>3.6</v>
      </c>
      <c r="U7" s="18">
        <f t="shared" si="0"/>
        <v>3.6</v>
      </c>
    </row>
    <row r="8" spans="2:21" ht="15" thickBot="1" x14ac:dyDescent="0.4">
      <c r="D8" s="85" t="s">
        <v>3</v>
      </c>
      <c r="E8" s="85" t="s">
        <v>209</v>
      </c>
      <c r="F8" s="85">
        <v>500</v>
      </c>
      <c r="G8" s="85" t="s">
        <v>357</v>
      </c>
      <c r="H8" s="85" t="s">
        <v>22</v>
      </c>
      <c r="I8" s="85" t="s">
        <v>140</v>
      </c>
      <c r="J8" s="85" t="s">
        <v>131</v>
      </c>
      <c r="K8" s="92">
        <v>576</v>
      </c>
      <c r="L8" s="92">
        <f t="shared" si="0"/>
        <v>576</v>
      </c>
      <c r="M8" s="92">
        <f t="shared" si="0"/>
        <v>576</v>
      </c>
      <c r="N8" s="92">
        <f t="shared" si="0"/>
        <v>576</v>
      </c>
      <c r="O8" s="92">
        <f t="shared" si="0"/>
        <v>576</v>
      </c>
      <c r="P8" s="92">
        <f t="shared" si="0"/>
        <v>576</v>
      </c>
      <c r="Q8" s="92">
        <f t="shared" si="0"/>
        <v>576</v>
      </c>
      <c r="R8" s="92">
        <f t="shared" si="0"/>
        <v>576</v>
      </c>
      <c r="S8" s="92">
        <f t="shared" si="0"/>
        <v>576</v>
      </c>
      <c r="T8" s="92">
        <f t="shared" si="0"/>
        <v>576</v>
      </c>
      <c r="U8" s="92">
        <f t="shared" si="0"/>
        <v>576</v>
      </c>
    </row>
    <row r="9" spans="2:21" x14ac:dyDescent="0.35">
      <c r="D9" s="8" t="s">
        <v>3</v>
      </c>
      <c r="E9" s="8" t="s">
        <v>209</v>
      </c>
      <c r="F9" s="8">
        <v>750</v>
      </c>
      <c r="G9" s="8" t="s">
        <v>357</v>
      </c>
      <c r="H9" s="8" t="s">
        <v>13</v>
      </c>
      <c r="I9" s="8" t="s">
        <v>140</v>
      </c>
      <c r="J9" s="8" t="s">
        <v>60</v>
      </c>
      <c r="K9" s="42">
        <v>7</v>
      </c>
      <c r="L9" s="42">
        <v>7</v>
      </c>
      <c r="M9" s="42">
        <v>7</v>
      </c>
      <c r="N9" s="42">
        <v>7</v>
      </c>
      <c r="O9" s="42">
        <v>7</v>
      </c>
      <c r="P9" s="42">
        <v>7</v>
      </c>
      <c r="Q9" s="42">
        <v>7</v>
      </c>
      <c r="R9" s="42">
        <v>7</v>
      </c>
      <c r="S9" s="42">
        <v>7</v>
      </c>
      <c r="T9" s="42">
        <v>7</v>
      </c>
      <c r="U9" s="42">
        <v>7</v>
      </c>
    </row>
    <row r="10" spans="2:21" x14ac:dyDescent="0.35">
      <c r="D10" s="9" t="s">
        <v>3</v>
      </c>
      <c r="E10" s="9" t="s">
        <v>209</v>
      </c>
      <c r="F10" s="9">
        <v>750</v>
      </c>
      <c r="G10" s="9" t="s">
        <v>357</v>
      </c>
      <c r="H10" s="9" t="s">
        <v>15</v>
      </c>
      <c r="I10" s="9" t="s">
        <v>140</v>
      </c>
      <c r="J10" s="9" t="s">
        <v>64</v>
      </c>
      <c r="K10" s="43">
        <v>135</v>
      </c>
      <c r="L10" s="43">
        <v>135</v>
      </c>
      <c r="M10" s="43">
        <v>135</v>
      </c>
      <c r="N10" s="43">
        <v>135</v>
      </c>
      <c r="O10" s="43">
        <v>135</v>
      </c>
      <c r="P10" s="43">
        <v>135</v>
      </c>
      <c r="Q10" s="43">
        <v>135</v>
      </c>
      <c r="R10" s="43">
        <v>135</v>
      </c>
      <c r="S10" s="43">
        <v>135</v>
      </c>
      <c r="T10" s="43">
        <v>135</v>
      </c>
      <c r="U10" s="43">
        <v>135</v>
      </c>
    </row>
    <row r="11" spans="2:21" x14ac:dyDescent="0.35">
      <c r="D11" s="9" t="s">
        <v>3</v>
      </c>
      <c r="E11" s="9" t="s">
        <v>209</v>
      </c>
      <c r="F11" s="9">
        <v>750</v>
      </c>
      <c r="G11" s="9" t="s">
        <v>357</v>
      </c>
      <c r="H11" s="9" t="s">
        <v>357</v>
      </c>
      <c r="I11" s="9" t="s">
        <v>140</v>
      </c>
      <c r="J11" s="9" t="s">
        <v>199</v>
      </c>
      <c r="K11" s="43">
        <v>3.6</v>
      </c>
      <c r="L11" s="43">
        <v>3.6</v>
      </c>
      <c r="M11" s="43">
        <v>3.6</v>
      </c>
      <c r="N11" s="43">
        <v>3.6</v>
      </c>
      <c r="O11" s="43">
        <v>3.6</v>
      </c>
      <c r="P11" s="43">
        <v>3.6</v>
      </c>
      <c r="Q11" s="43">
        <v>3.6</v>
      </c>
      <c r="R11" s="43">
        <v>3.6</v>
      </c>
      <c r="S11" s="43">
        <v>3.6</v>
      </c>
      <c r="T11" s="43">
        <v>3.6</v>
      </c>
      <c r="U11" s="43">
        <v>3.6</v>
      </c>
    </row>
    <row r="12" spans="2:21" ht="15" thickBot="1" x14ac:dyDescent="0.4">
      <c r="D12" s="10" t="s">
        <v>3</v>
      </c>
      <c r="E12" s="10" t="s">
        <v>209</v>
      </c>
      <c r="F12" s="10">
        <v>750</v>
      </c>
      <c r="G12" s="10" t="s">
        <v>357</v>
      </c>
      <c r="H12" s="10" t="s">
        <v>22</v>
      </c>
      <c r="I12" s="85" t="s">
        <v>140</v>
      </c>
      <c r="J12" s="10" t="s">
        <v>131</v>
      </c>
      <c r="K12" s="45">
        <v>584</v>
      </c>
      <c r="L12" s="45">
        <v>584</v>
      </c>
      <c r="M12" s="45">
        <v>584</v>
      </c>
      <c r="N12" s="45">
        <v>584</v>
      </c>
      <c r="O12" s="45">
        <v>584</v>
      </c>
      <c r="P12" s="45">
        <v>584</v>
      </c>
      <c r="Q12" s="45">
        <v>584</v>
      </c>
      <c r="R12" s="45">
        <v>584</v>
      </c>
      <c r="S12" s="45">
        <v>584</v>
      </c>
      <c r="T12" s="45">
        <v>584</v>
      </c>
      <c r="U12" s="45">
        <v>584</v>
      </c>
    </row>
    <row r="13" spans="2:21" x14ac:dyDescent="0.35">
      <c r="D13" s="8" t="s">
        <v>3</v>
      </c>
      <c r="E13" s="8" t="s">
        <v>211</v>
      </c>
      <c r="F13" s="8"/>
      <c r="G13" s="8" t="s">
        <v>357</v>
      </c>
      <c r="H13" s="8" t="s">
        <v>13</v>
      </c>
      <c r="I13" s="8" t="s">
        <v>140</v>
      </c>
      <c r="J13" s="8" t="s">
        <v>60</v>
      </c>
      <c r="K13" s="17">
        <v>7</v>
      </c>
      <c r="L13" s="17">
        <f t="shared" si="0"/>
        <v>7</v>
      </c>
      <c r="M13" s="17">
        <f t="shared" si="0"/>
        <v>7</v>
      </c>
      <c r="N13" s="17">
        <f t="shared" si="0"/>
        <v>7</v>
      </c>
      <c r="O13" s="17">
        <f t="shared" si="0"/>
        <v>7</v>
      </c>
      <c r="P13" s="17">
        <f t="shared" si="0"/>
        <v>7</v>
      </c>
      <c r="Q13" s="17">
        <f t="shared" si="0"/>
        <v>7</v>
      </c>
      <c r="R13" s="17">
        <f t="shared" si="0"/>
        <v>7</v>
      </c>
      <c r="S13" s="17">
        <f t="shared" si="0"/>
        <v>7</v>
      </c>
      <c r="T13" s="17">
        <f t="shared" si="0"/>
        <v>7</v>
      </c>
      <c r="U13" s="17">
        <f t="shared" si="0"/>
        <v>7</v>
      </c>
    </row>
    <row r="14" spans="2:21" x14ac:dyDescent="0.35">
      <c r="D14" s="9" t="s">
        <v>3</v>
      </c>
      <c r="E14" s="9" t="s">
        <v>211</v>
      </c>
      <c r="F14" s="9"/>
      <c r="G14" s="9" t="s">
        <v>357</v>
      </c>
      <c r="H14" s="9" t="s">
        <v>15</v>
      </c>
      <c r="I14" s="9" t="s">
        <v>140</v>
      </c>
      <c r="J14" s="9" t="s">
        <v>64</v>
      </c>
      <c r="K14" s="18">
        <v>135</v>
      </c>
      <c r="L14" s="18">
        <f t="shared" si="0"/>
        <v>135</v>
      </c>
      <c r="M14" s="18">
        <f t="shared" si="0"/>
        <v>135</v>
      </c>
      <c r="N14" s="18">
        <f t="shared" si="0"/>
        <v>135</v>
      </c>
      <c r="O14" s="18">
        <f t="shared" si="0"/>
        <v>135</v>
      </c>
      <c r="P14" s="18">
        <f t="shared" si="0"/>
        <v>135</v>
      </c>
      <c r="Q14" s="18">
        <f t="shared" si="0"/>
        <v>135</v>
      </c>
      <c r="R14" s="18">
        <f t="shared" si="0"/>
        <v>135</v>
      </c>
      <c r="S14" s="18">
        <f t="shared" si="0"/>
        <v>135</v>
      </c>
      <c r="T14" s="18">
        <f t="shared" si="0"/>
        <v>135</v>
      </c>
      <c r="U14" s="18">
        <f t="shared" si="0"/>
        <v>135</v>
      </c>
    </row>
    <row r="15" spans="2:21" x14ac:dyDescent="0.35">
      <c r="D15" s="9" t="s">
        <v>3</v>
      </c>
      <c r="E15" s="9" t="s">
        <v>211</v>
      </c>
      <c r="F15" s="9"/>
      <c r="G15" s="9" t="s">
        <v>357</v>
      </c>
      <c r="H15" s="9" t="s">
        <v>198</v>
      </c>
      <c r="I15" s="9" t="s">
        <v>140</v>
      </c>
      <c r="J15" s="9" t="s">
        <v>199</v>
      </c>
      <c r="K15" s="18">
        <v>3.6</v>
      </c>
      <c r="L15" s="18">
        <f t="shared" si="0"/>
        <v>3.6</v>
      </c>
      <c r="M15" s="18">
        <f t="shared" si="0"/>
        <v>3.6</v>
      </c>
      <c r="N15" s="18">
        <f t="shared" si="0"/>
        <v>3.6</v>
      </c>
      <c r="O15" s="18">
        <f t="shared" si="0"/>
        <v>3.6</v>
      </c>
      <c r="P15" s="18">
        <f t="shared" si="0"/>
        <v>3.6</v>
      </c>
      <c r="Q15" s="18">
        <f t="shared" si="0"/>
        <v>3.6</v>
      </c>
      <c r="R15" s="18">
        <f t="shared" si="0"/>
        <v>3.6</v>
      </c>
      <c r="S15" s="18">
        <f t="shared" si="0"/>
        <v>3.6</v>
      </c>
      <c r="T15" s="18">
        <f t="shared" si="0"/>
        <v>3.6</v>
      </c>
      <c r="U15" s="18">
        <f t="shared" si="0"/>
        <v>3.6</v>
      </c>
    </row>
    <row r="16" spans="2:21" ht="15" thickBot="1" x14ac:dyDescent="0.4">
      <c r="D16" s="10" t="s">
        <v>3</v>
      </c>
      <c r="E16" s="10" t="s">
        <v>211</v>
      </c>
      <c r="F16" s="10"/>
      <c r="G16" s="10" t="s">
        <v>357</v>
      </c>
      <c r="H16" s="10" t="s">
        <v>22</v>
      </c>
      <c r="I16" s="85" t="s">
        <v>140</v>
      </c>
      <c r="J16" s="10" t="s">
        <v>131</v>
      </c>
      <c r="K16" s="45">
        <v>584</v>
      </c>
      <c r="L16" s="45">
        <f t="shared" si="0"/>
        <v>584</v>
      </c>
      <c r="M16" s="45">
        <f t="shared" si="0"/>
        <v>584</v>
      </c>
      <c r="N16" s="45">
        <f t="shared" si="0"/>
        <v>584</v>
      </c>
      <c r="O16" s="45">
        <f t="shared" si="0"/>
        <v>584</v>
      </c>
      <c r="P16" s="45">
        <f t="shared" si="0"/>
        <v>584</v>
      </c>
      <c r="Q16" s="45">
        <f t="shared" si="0"/>
        <v>584</v>
      </c>
      <c r="R16" s="45">
        <f t="shared" si="0"/>
        <v>584</v>
      </c>
      <c r="S16" s="45">
        <f t="shared" si="0"/>
        <v>584</v>
      </c>
      <c r="T16" s="45">
        <f t="shared" si="0"/>
        <v>584</v>
      </c>
      <c r="U16" s="45">
        <f t="shared" si="0"/>
        <v>584</v>
      </c>
    </row>
    <row r="17" spans="4:22" x14ac:dyDescent="0.35">
      <c r="D17" s="8" t="s">
        <v>26</v>
      </c>
      <c r="E17" s="8" t="s">
        <v>209</v>
      </c>
      <c r="F17" s="8">
        <v>500</v>
      </c>
      <c r="G17" s="8" t="s">
        <v>357</v>
      </c>
      <c r="H17" s="8" t="s">
        <v>13</v>
      </c>
      <c r="I17" s="8" t="s">
        <v>140</v>
      </c>
      <c r="J17" s="8" t="s">
        <v>60</v>
      </c>
      <c r="K17" s="17">
        <v>7.9</v>
      </c>
      <c r="L17" s="18">
        <f t="shared" si="0"/>
        <v>7.9</v>
      </c>
      <c r="M17" s="18">
        <f t="shared" si="0"/>
        <v>7.9</v>
      </c>
      <c r="N17" s="18">
        <f t="shared" si="0"/>
        <v>7.9</v>
      </c>
      <c r="O17" s="18">
        <f t="shared" si="0"/>
        <v>7.9</v>
      </c>
      <c r="P17" s="18">
        <f t="shared" si="0"/>
        <v>7.9</v>
      </c>
      <c r="Q17" s="18">
        <f t="shared" si="0"/>
        <v>7.9</v>
      </c>
      <c r="R17" s="18">
        <f t="shared" si="0"/>
        <v>7.9</v>
      </c>
      <c r="S17" s="18">
        <f t="shared" si="0"/>
        <v>7.9</v>
      </c>
      <c r="T17" s="18">
        <f t="shared" si="0"/>
        <v>7.9</v>
      </c>
      <c r="U17" s="18">
        <f t="shared" si="0"/>
        <v>7.9</v>
      </c>
    </row>
    <row r="18" spans="4:22" x14ac:dyDescent="0.35">
      <c r="D18" s="9" t="s">
        <v>26</v>
      </c>
      <c r="E18" s="9" t="s">
        <v>209</v>
      </c>
      <c r="F18" s="9">
        <v>500</v>
      </c>
      <c r="G18" s="9" t="s">
        <v>357</v>
      </c>
      <c r="H18" s="9" t="s">
        <v>15</v>
      </c>
      <c r="I18" s="9" t="s">
        <v>140</v>
      </c>
      <c r="J18" s="9" t="s">
        <v>64</v>
      </c>
      <c r="K18" s="18">
        <v>150</v>
      </c>
      <c r="L18" s="18">
        <f t="shared" si="0"/>
        <v>150</v>
      </c>
      <c r="M18" s="18">
        <f t="shared" si="0"/>
        <v>150</v>
      </c>
      <c r="N18" s="18">
        <f t="shared" si="0"/>
        <v>150</v>
      </c>
      <c r="O18" s="18">
        <f t="shared" si="0"/>
        <v>150</v>
      </c>
      <c r="P18" s="18">
        <f t="shared" si="0"/>
        <v>150</v>
      </c>
      <c r="Q18" s="18">
        <f t="shared" si="0"/>
        <v>150</v>
      </c>
      <c r="R18" s="18">
        <f t="shared" si="0"/>
        <v>150</v>
      </c>
      <c r="S18" s="18">
        <f t="shared" si="0"/>
        <v>150</v>
      </c>
      <c r="T18" s="18">
        <f t="shared" si="0"/>
        <v>150</v>
      </c>
      <c r="U18" s="18">
        <f t="shared" si="0"/>
        <v>150</v>
      </c>
    </row>
    <row r="19" spans="4:22" x14ac:dyDescent="0.35">
      <c r="D19" s="9" t="s">
        <v>26</v>
      </c>
      <c r="E19" s="9" t="s">
        <v>209</v>
      </c>
      <c r="F19" s="9">
        <v>500</v>
      </c>
      <c r="G19" s="9" t="s">
        <v>357</v>
      </c>
      <c r="H19" s="9" t="s">
        <v>357</v>
      </c>
      <c r="I19" s="9" t="s">
        <v>140</v>
      </c>
      <c r="J19" s="9" t="s">
        <v>199</v>
      </c>
      <c r="K19" s="18">
        <v>3.6</v>
      </c>
      <c r="L19" s="18">
        <f t="shared" si="0"/>
        <v>3.6</v>
      </c>
      <c r="M19" s="18">
        <f t="shared" si="0"/>
        <v>3.6</v>
      </c>
      <c r="N19" s="18">
        <f t="shared" si="0"/>
        <v>3.6</v>
      </c>
      <c r="O19" s="18">
        <f t="shared" si="0"/>
        <v>3.6</v>
      </c>
      <c r="P19" s="18">
        <f t="shared" si="0"/>
        <v>3.6</v>
      </c>
      <c r="Q19" s="18">
        <f t="shared" si="0"/>
        <v>3.6</v>
      </c>
      <c r="R19" s="18">
        <f t="shared" si="0"/>
        <v>3.6</v>
      </c>
      <c r="S19" s="18">
        <f t="shared" si="0"/>
        <v>3.6</v>
      </c>
      <c r="T19" s="18">
        <f t="shared" si="0"/>
        <v>3.6</v>
      </c>
      <c r="U19" s="18">
        <f t="shared" si="0"/>
        <v>3.6</v>
      </c>
    </row>
    <row r="20" spans="4:22" ht="15" thickBot="1" x14ac:dyDescent="0.4">
      <c r="D20" s="85" t="s">
        <v>26</v>
      </c>
      <c r="E20" s="85" t="s">
        <v>209</v>
      </c>
      <c r="F20" s="85">
        <v>500</v>
      </c>
      <c r="G20" s="85" t="s">
        <v>357</v>
      </c>
      <c r="H20" s="85" t="s">
        <v>22</v>
      </c>
      <c r="I20" s="85" t="s">
        <v>140</v>
      </c>
      <c r="J20" s="85" t="s">
        <v>131</v>
      </c>
      <c r="K20" s="92">
        <v>584</v>
      </c>
      <c r="L20" s="92">
        <v>584</v>
      </c>
      <c r="M20" s="92">
        <v>584</v>
      </c>
      <c r="N20" s="92">
        <v>584</v>
      </c>
      <c r="O20" s="92">
        <v>584</v>
      </c>
      <c r="P20" s="92">
        <v>584</v>
      </c>
      <c r="Q20" s="92">
        <v>584</v>
      </c>
      <c r="R20" s="92">
        <v>584</v>
      </c>
      <c r="S20" s="92">
        <v>584</v>
      </c>
      <c r="T20" s="92">
        <v>584</v>
      </c>
      <c r="U20" s="92">
        <v>584</v>
      </c>
    </row>
    <row r="21" spans="4:22" x14ac:dyDescent="0.35">
      <c r="D21" s="8" t="s">
        <v>26</v>
      </c>
      <c r="E21" s="8" t="s">
        <v>209</v>
      </c>
      <c r="F21" s="8">
        <v>750</v>
      </c>
      <c r="G21" s="8" t="s">
        <v>357</v>
      </c>
      <c r="H21" s="8" t="s">
        <v>13</v>
      </c>
      <c r="I21" s="8" t="s">
        <v>140</v>
      </c>
      <c r="J21" s="8" t="s">
        <v>60</v>
      </c>
      <c r="K21" s="42">
        <v>7</v>
      </c>
      <c r="L21" s="42">
        <v>7</v>
      </c>
      <c r="M21" s="42">
        <v>7</v>
      </c>
      <c r="N21" s="42">
        <v>7</v>
      </c>
      <c r="O21" s="42">
        <v>7</v>
      </c>
      <c r="P21" s="42">
        <v>7</v>
      </c>
      <c r="Q21" s="42">
        <v>7</v>
      </c>
      <c r="R21" s="42">
        <v>7</v>
      </c>
      <c r="S21" s="42">
        <v>7</v>
      </c>
      <c r="T21" s="42">
        <v>7</v>
      </c>
      <c r="U21" s="42">
        <v>7</v>
      </c>
    </row>
    <row r="22" spans="4:22" x14ac:dyDescent="0.35">
      <c r="D22" s="9" t="s">
        <v>26</v>
      </c>
      <c r="E22" s="9" t="s">
        <v>209</v>
      </c>
      <c r="F22" s="9">
        <v>750</v>
      </c>
      <c r="G22" s="9" t="s">
        <v>357</v>
      </c>
      <c r="H22" s="9" t="s">
        <v>15</v>
      </c>
      <c r="I22" s="9" t="s">
        <v>140</v>
      </c>
      <c r="J22" s="9" t="s">
        <v>64</v>
      </c>
      <c r="K22" s="43">
        <v>135</v>
      </c>
      <c r="L22" s="43">
        <v>135</v>
      </c>
      <c r="M22" s="43">
        <v>135</v>
      </c>
      <c r="N22" s="43">
        <v>135</v>
      </c>
      <c r="O22" s="43">
        <v>135</v>
      </c>
      <c r="P22" s="43">
        <v>135</v>
      </c>
      <c r="Q22" s="43">
        <v>135</v>
      </c>
      <c r="R22" s="43">
        <v>135</v>
      </c>
      <c r="S22" s="43">
        <v>135</v>
      </c>
      <c r="T22" s="43">
        <v>135</v>
      </c>
      <c r="U22" s="43">
        <v>135</v>
      </c>
    </row>
    <row r="23" spans="4:22" x14ac:dyDescent="0.35">
      <c r="D23" s="9" t="s">
        <v>26</v>
      </c>
      <c r="E23" s="9" t="s">
        <v>209</v>
      </c>
      <c r="F23" s="9">
        <v>750</v>
      </c>
      <c r="G23" s="9" t="s">
        <v>357</v>
      </c>
      <c r="H23" s="9" t="s">
        <v>357</v>
      </c>
      <c r="I23" s="9" t="s">
        <v>140</v>
      </c>
      <c r="J23" s="9" t="s">
        <v>199</v>
      </c>
      <c r="K23" s="43">
        <v>3.6</v>
      </c>
      <c r="L23" s="43">
        <v>3.6</v>
      </c>
      <c r="M23" s="43">
        <v>3.6</v>
      </c>
      <c r="N23" s="43">
        <v>3.6</v>
      </c>
      <c r="O23" s="43">
        <v>3.6</v>
      </c>
      <c r="P23" s="43">
        <v>3.6</v>
      </c>
      <c r="Q23" s="43">
        <v>3.6</v>
      </c>
      <c r="R23" s="43">
        <v>3.6</v>
      </c>
      <c r="S23" s="43">
        <v>3.6</v>
      </c>
      <c r="T23" s="43">
        <v>3.6</v>
      </c>
      <c r="U23" s="43">
        <v>3.6</v>
      </c>
    </row>
    <row r="24" spans="4:22" ht="15" thickBot="1" x14ac:dyDescent="0.4">
      <c r="D24" s="10" t="s">
        <v>26</v>
      </c>
      <c r="E24" s="10" t="s">
        <v>209</v>
      </c>
      <c r="F24" s="10">
        <v>750</v>
      </c>
      <c r="G24" s="10" t="s">
        <v>357</v>
      </c>
      <c r="H24" s="10" t="s">
        <v>22</v>
      </c>
      <c r="I24" s="85" t="s">
        <v>140</v>
      </c>
      <c r="J24" s="10" t="s">
        <v>131</v>
      </c>
      <c r="K24" s="45">
        <v>584</v>
      </c>
      <c r="L24" s="45">
        <v>584</v>
      </c>
      <c r="M24" s="45">
        <v>584</v>
      </c>
      <c r="N24" s="45">
        <v>584</v>
      </c>
      <c r="O24" s="45">
        <v>584</v>
      </c>
      <c r="P24" s="45">
        <v>584</v>
      </c>
      <c r="Q24" s="45">
        <v>584</v>
      </c>
      <c r="R24" s="45">
        <v>584</v>
      </c>
      <c r="S24" s="45">
        <v>584</v>
      </c>
      <c r="T24" s="45">
        <v>584</v>
      </c>
      <c r="U24" s="45">
        <v>584</v>
      </c>
    </row>
    <row r="25" spans="4:22" x14ac:dyDescent="0.35">
      <c r="D25" s="8" t="s">
        <v>26</v>
      </c>
      <c r="E25" s="8" t="s">
        <v>211</v>
      </c>
      <c r="F25" s="8"/>
      <c r="G25" s="8" t="s">
        <v>357</v>
      </c>
      <c r="H25" s="8" t="s">
        <v>13</v>
      </c>
      <c r="I25" s="8" t="s">
        <v>140</v>
      </c>
      <c r="J25" s="8" t="s">
        <v>60</v>
      </c>
      <c r="K25" s="17">
        <v>7</v>
      </c>
      <c r="L25" s="17">
        <f t="shared" ref="L25:U27" si="1">IF(K25="","",K25)</f>
        <v>7</v>
      </c>
      <c r="M25" s="17">
        <f t="shared" si="1"/>
        <v>7</v>
      </c>
      <c r="N25" s="17">
        <f t="shared" si="1"/>
        <v>7</v>
      </c>
      <c r="O25" s="17">
        <f t="shared" si="1"/>
        <v>7</v>
      </c>
      <c r="P25" s="17">
        <f t="shared" si="1"/>
        <v>7</v>
      </c>
      <c r="Q25" s="17">
        <f t="shared" si="1"/>
        <v>7</v>
      </c>
      <c r="R25" s="17">
        <f t="shared" si="1"/>
        <v>7</v>
      </c>
      <c r="S25" s="17">
        <f t="shared" si="1"/>
        <v>7</v>
      </c>
      <c r="T25" s="17">
        <f t="shared" si="1"/>
        <v>7</v>
      </c>
      <c r="U25" s="17">
        <f t="shared" si="1"/>
        <v>7</v>
      </c>
    </row>
    <row r="26" spans="4:22" x14ac:dyDescent="0.35">
      <c r="D26" s="9" t="s">
        <v>26</v>
      </c>
      <c r="E26" s="9" t="s">
        <v>211</v>
      </c>
      <c r="F26" s="9"/>
      <c r="G26" s="9" t="s">
        <v>357</v>
      </c>
      <c r="H26" s="9" t="s">
        <v>15</v>
      </c>
      <c r="I26" s="9" t="s">
        <v>140</v>
      </c>
      <c r="J26" s="9" t="s">
        <v>64</v>
      </c>
      <c r="K26" s="18">
        <v>135</v>
      </c>
      <c r="L26" s="18">
        <f t="shared" si="1"/>
        <v>135</v>
      </c>
      <c r="M26" s="18">
        <f t="shared" si="1"/>
        <v>135</v>
      </c>
      <c r="N26" s="18">
        <f t="shared" si="1"/>
        <v>135</v>
      </c>
      <c r="O26" s="18">
        <f t="shared" si="1"/>
        <v>135</v>
      </c>
      <c r="P26" s="18">
        <f t="shared" si="1"/>
        <v>135</v>
      </c>
      <c r="Q26" s="18">
        <f t="shared" si="1"/>
        <v>135</v>
      </c>
      <c r="R26" s="18">
        <f t="shared" si="1"/>
        <v>135</v>
      </c>
      <c r="S26" s="18">
        <f t="shared" si="1"/>
        <v>135</v>
      </c>
      <c r="T26" s="18">
        <f t="shared" si="1"/>
        <v>135</v>
      </c>
      <c r="U26" s="18">
        <f t="shared" si="1"/>
        <v>135</v>
      </c>
    </row>
    <row r="27" spans="4:22" x14ac:dyDescent="0.35">
      <c r="D27" s="9" t="s">
        <v>26</v>
      </c>
      <c r="E27" s="9" t="s">
        <v>211</v>
      </c>
      <c r="F27" s="9"/>
      <c r="G27" s="9" t="s">
        <v>357</v>
      </c>
      <c r="H27" s="9" t="s">
        <v>357</v>
      </c>
      <c r="I27" s="9" t="s">
        <v>140</v>
      </c>
      <c r="J27" s="9" t="s">
        <v>199</v>
      </c>
      <c r="K27" s="18">
        <v>3.6</v>
      </c>
      <c r="L27" s="18">
        <f t="shared" si="1"/>
        <v>3.6</v>
      </c>
      <c r="M27" s="18">
        <f t="shared" si="1"/>
        <v>3.6</v>
      </c>
      <c r="N27" s="18">
        <f t="shared" si="1"/>
        <v>3.6</v>
      </c>
      <c r="O27" s="18">
        <f t="shared" si="1"/>
        <v>3.6</v>
      </c>
      <c r="P27" s="18">
        <f t="shared" si="1"/>
        <v>3.6</v>
      </c>
      <c r="Q27" s="18">
        <f t="shared" si="1"/>
        <v>3.6</v>
      </c>
      <c r="R27" s="18">
        <f t="shared" si="1"/>
        <v>3.6</v>
      </c>
      <c r="S27" s="18">
        <f t="shared" si="1"/>
        <v>3.6</v>
      </c>
      <c r="T27" s="18">
        <f t="shared" si="1"/>
        <v>3.6</v>
      </c>
      <c r="U27" s="18">
        <f t="shared" si="1"/>
        <v>3.6</v>
      </c>
    </row>
    <row r="28" spans="4:22" ht="15" thickBot="1" x14ac:dyDescent="0.4">
      <c r="D28" s="10" t="s">
        <v>26</v>
      </c>
      <c r="E28" s="10" t="s">
        <v>211</v>
      </c>
      <c r="F28" s="10"/>
      <c r="G28" s="10" t="s">
        <v>357</v>
      </c>
      <c r="H28" s="10" t="s">
        <v>22</v>
      </c>
      <c r="I28" s="85" t="s">
        <v>140</v>
      </c>
      <c r="J28" s="10" t="s">
        <v>131</v>
      </c>
      <c r="K28" s="45">
        <v>584</v>
      </c>
      <c r="L28" s="45">
        <v>584</v>
      </c>
      <c r="M28" s="45">
        <v>584</v>
      </c>
      <c r="N28" s="45">
        <v>584</v>
      </c>
      <c r="O28" s="45">
        <v>584</v>
      </c>
      <c r="P28" s="45">
        <v>584</v>
      </c>
      <c r="Q28" s="45">
        <v>584</v>
      </c>
      <c r="R28" s="45">
        <v>584</v>
      </c>
      <c r="S28" s="45">
        <v>584</v>
      </c>
      <c r="T28" s="45">
        <v>584</v>
      </c>
      <c r="U28" s="45">
        <v>584</v>
      </c>
    </row>
    <row r="29" spans="4:22" x14ac:dyDescent="0.35">
      <c r="D29" s="8" t="s">
        <v>26</v>
      </c>
      <c r="E29" s="8" t="s">
        <v>214</v>
      </c>
      <c r="F29" s="8"/>
      <c r="G29" s="8" t="s">
        <v>357</v>
      </c>
      <c r="H29" s="8" t="s">
        <v>13</v>
      </c>
      <c r="I29" s="8" t="s">
        <v>140</v>
      </c>
      <c r="J29" s="8" t="s">
        <v>60</v>
      </c>
      <c r="K29" s="42">
        <v>7</v>
      </c>
      <c r="L29" s="42">
        <v>7</v>
      </c>
      <c r="M29" s="42">
        <v>7</v>
      </c>
      <c r="N29" s="42">
        <v>7</v>
      </c>
      <c r="O29" s="42">
        <v>7</v>
      </c>
      <c r="P29" s="42">
        <v>7</v>
      </c>
      <c r="Q29" s="42">
        <v>7</v>
      </c>
      <c r="R29" s="42">
        <v>7</v>
      </c>
      <c r="S29" s="42">
        <v>7</v>
      </c>
      <c r="T29" s="42">
        <v>7</v>
      </c>
      <c r="U29" s="42">
        <v>7</v>
      </c>
      <c r="V29" s="149" t="s">
        <v>246</v>
      </c>
    </row>
    <row r="30" spans="4:22" x14ac:dyDescent="0.35">
      <c r="D30" s="9" t="s">
        <v>26</v>
      </c>
      <c r="E30" s="9" t="s">
        <v>214</v>
      </c>
      <c r="F30" s="9"/>
      <c r="G30" s="9" t="s">
        <v>357</v>
      </c>
      <c r="H30" s="9" t="s">
        <v>15</v>
      </c>
      <c r="I30" s="9" t="s">
        <v>140</v>
      </c>
      <c r="J30" s="9" t="s">
        <v>64</v>
      </c>
      <c r="K30" s="43">
        <v>135</v>
      </c>
      <c r="L30" s="43">
        <v>135</v>
      </c>
      <c r="M30" s="43">
        <v>135</v>
      </c>
      <c r="N30" s="43">
        <v>135</v>
      </c>
      <c r="O30" s="43">
        <v>135</v>
      </c>
      <c r="P30" s="43">
        <v>135</v>
      </c>
      <c r="Q30" s="43">
        <v>135</v>
      </c>
      <c r="R30" s="43">
        <v>135</v>
      </c>
      <c r="S30" s="43">
        <v>135</v>
      </c>
      <c r="T30" s="43">
        <v>135</v>
      </c>
      <c r="U30" s="43">
        <v>135</v>
      </c>
      <c r="V30" s="149"/>
    </row>
    <row r="31" spans="4:22" x14ac:dyDescent="0.35">
      <c r="D31" s="9" t="s">
        <v>26</v>
      </c>
      <c r="E31" s="9" t="s">
        <v>214</v>
      </c>
      <c r="F31" s="9"/>
      <c r="G31" s="9" t="s">
        <v>357</v>
      </c>
      <c r="H31" s="9" t="s">
        <v>357</v>
      </c>
      <c r="I31" s="9" t="s">
        <v>140</v>
      </c>
      <c r="J31" s="9" t="s">
        <v>199</v>
      </c>
      <c r="K31" s="43">
        <v>3.6</v>
      </c>
      <c r="L31" s="43">
        <v>3.6</v>
      </c>
      <c r="M31" s="43">
        <v>3.6</v>
      </c>
      <c r="N31" s="43">
        <v>3.6</v>
      </c>
      <c r="O31" s="43">
        <v>3.6</v>
      </c>
      <c r="P31" s="43">
        <v>3.6</v>
      </c>
      <c r="Q31" s="43">
        <v>3.6</v>
      </c>
      <c r="R31" s="43">
        <v>3.6</v>
      </c>
      <c r="S31" s="43">
        <v>3.6</v>
      </c>
      <c r="T31" s="43">
        <v>3.6</v>
      </c>
      <c r="U31" s="43">
        <v>3.6</v>
      </c>
      <c r="V31" s="149"/>
    </row>
    <row r="32" spans="4:22" ht="15" thickBot="1" x14ac:dyDescent="0.4">
      <c r="D32" s="10" t="s">
        <v>26</v>
      </c>
      <c r="E32" s="9" t="s">
        <v>214</v>
      </c>
      <c r="F32" s="10"/>
      <c r="G32" s="10" t="s">
        <v>357</v>
      </c>
      <c r="H32" s="10" t="s">
        <v>22</v>
      </c>
      <c r="I32" s="85" t="s">
        <v>140</v>
      </c>
      <c r="J32" s="10" t="s">
        <v>131</v>
      </c>
      <c r="K32" s="45">
        <v>584</v>
      </c>
      <c r="L32" s="45">
        <v>584</v>
      </c>
      <c r="M32" s="45">
        <v>584</v>
      </c>
      <c r="N32" s="45">
        <v>584</v>
      </c>
      <c r="O32" s="45">
        <v>584</v>
      </c>
      <c r="P32" s="45">
        <v>584</v>
      </c>
      <c r="Q32" s="45">
        <v>584</v>
      </c>
      <c r="R32" s="45">
        <v>584</v>
      </c>
      <c r="S32" s="45">
        <v>584</v>
      </c>
      <c r="T32" s="45">
        <v>584</v>
      </c>
      <c r="U32" s="45">
        <v>584</v>
      </c>
      <c r="V32" s="149"/>
    </row>
    <row r="33" spans="4:21" x14ac:dyDescent="0.35">
      <c r="D33" s="9"/>
      <c r="E33" s="9"/>
      <c r="F33" s="9"/>
      <c r="G33" s="9"/>
      <c r="H33" s="9"/>
      <c r="I33" s="9"/>
      <c r="J33" s="9"/>
      <c r="K33" s="18"/>
      <c r="L33" s="18" t="str">
        <f t="shared" ref="L33:U44" si="2">IF(K33="","",K33)</f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  <c r="S33" s="18" t="str">
        <f t="shared" si="2"/>
        <v/>
      </c>
      <c r="T33" s="18" t="str">
        <f t="shared" si="2"/>
        <v/>
      </c>
      <c r="U33" s="18" t="str">
        <f t="shared" si="2"/>
        <v/>
      </c>
    </row>
    <row r="34" spans="4:21" x14ac:dyDescent="0.35">
      <c r="D34" s="9"/>
      <c r="E34" s="9"/>
      <c r="F34" s="9"/>
      <c r="G34" s="9"/>
      <c r="H34" s="9"/>
      <c r="I34" s="9"/>
      <c r="J34" s="9"/>
      <c r="K34" s="18"/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  <c r="S34" s="18" t="str">
        <f t="shared" si="2"/>
        <v/>
      </c>
      <c r="T34" s="18" t="str">
        <f t="shared" si="2"/>
        <v/>
      </c>
      <c r="U34" s="18" t="str">
        <f t="shared" si="2"/>
        <v/>
      </c>
    </row>
    <row r="35" spans="4:21" x14ac:dyDescent="0.35">
      <c r="D35" s="9"/>
      <c r="E35" s="9"/>
      <c r="F35" s="9"/>
      <c r="G35" s="9"/>
      <c r="H35" s="9"/>
      <c r="I35" s="9"/>
      <c r="J35" s="9"/>
      <c r="K35" s="18"/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  <c r="S35" s="18" t="str">
        <f t="shared" si="2"/>
        <v/>
      </c>
      <c r="T35" s="18" t="str">
        <f t="shared" si="2"/>
        <v/>
      </c>
      <c r="U35" s="18" t="str">
        <f t="shared" si="2"/>
        <v/>
      </c>
    </row>
    <row r="36" spans="4:21" x14ac:dyDescent="0.35">
      <c r="D36" s="9"/>
      <c r="E36" s="9"/>
      <c r="F36" s="9"/>
      <c r="G36" s="9"/>
      <c r="H36" s="9"/>
      <c r="I36" s="9"/>
      <c r="J36" s="9"/>
      <c r="K36" s="18"/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  <c r="S36" s="18" t="str">
        <f t="shared" si="2"/>
        <v/>
      </c>
      <c r="T36" s="18" t="str">
        <f t="shared" si="2"/>
        <v/>
      </c>
      <c r="U36" s="18" t="str">
        <f t="shared" si="2"/>
        <v/>
      </c>
    </row>
    <row r="37" spans="4:21" x14ac:dyDescent="0.35">
      <c r="D37" s="9"/>
      <c r="E37" s="9"/>
      <c r="F37" s="9"/>
      <c r="G37" s="9"/>
      <c r="H37" s="9"/>
      <c r="I37" s="9"/>
      <c r="J37" s="9"/>
      <c r="K37" s="18"/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</row>
    <row r="38" spans="4:21" x14ac:dyDescent="0.35">
      <c r="D38" s="9"/>
      <c r="E38" s="9"/>
      <c r="F38" s="9"/>
      <c r="G38" s="9"/>
      <c r="H38" s="9"/>
      <c r="I38" s="9"/>
      <c r="J38" s="9"/>
      <c r="K38" s="18"/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  <c r="T38" s="18" t="str">
        <f t="shared" si="2"/>
        <v/>
      </c>
      <c r="U38" s="18" t="str">
        <f t="shared" si="2"/>
        <v/>
      </c>
    </row>
    <row r="39" spans="4:21" x14ac:dyDescent="0.35">
      <c r="D39" s="9"/>
      <c r="E39" s="9"/>
      <c r="F39" s="9"/>
      <c r="G39" s="9"/>
      <c r="H39" s="9"/>
      <c r="I39" s="9"/>
      <c r="J39" s="9"/>
      <c r="K39" s="18"/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  <c r="T39" s="18" t="str">
        <f t="shared" si="2"/>
        <v/>
      </c>
      <c r="U39" s="18" t="str">
        <f t="shared" si="2"/>
        <v/>
      </c>
    </row>
    <row r="40" spans="4:21" x14ac:dyDescent="0.35">
      <c r="D40" s="9"/>
      <c r="E40" s="9"/>
      <c r="F40" s="9"/>
      <c r="G40" s="9"/>
      <c r="H40" s="9"/>
      <c r="I40" s="9"/>
      <c r="J40" s="9"/>
      <c r="K40" s="18"/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  <c r="T40" s="18" t="str">
        <f t="shared" si="2"/>
        <v/>
      </c>
      <c r="U40" s="18" t="str">
        <f t="shared" si="2"/>
        <v/>
      </c>
    </row>
    <row r="41" spans="4:21" x14ac:dyDescent="0.35">
      <c r="D41" s="9"/>
      <c r="E41" s="9"/>
      <c r="F41" s="9"/>
      <c r="G41" s="9"/>
      <c r="H41" s="9"/>
      <c r="I41" s="9"/>
      <c r="J41" s="9"/>
      <c r="K41" s="18"/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  <c r="T41" s="18" t="str">
        <f t="shared" si="2"/>
        <v/>
      </c>
      <c r="U41" s="18" t="str">
        <f t="shared" si="2"/>
        <v/>
      </c>
    </row>
    <row r="42" spans="4:21" x14ac:dyDescent="0.35">
      <c r="D42" s="9"/>
      <c r="E42" s="9"/>
      <c r="F42" s="9"/>
      <c r="G42" s="9"/>
      <c r="H42" s="9"/>
      <c r="I42" s="9"/>
      <c r="J42" s="9"/>
      <c r="K42" s="18"/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  <c r="T42" s="18" t="str">
        <f t="shared" si="2"/>
        <v/>
      </c>
      <c r="U42" s="18" t="str">
        <f t="shared" si="2"/>
        <v/>
      </c>
    </row>
    <row r="43" spans="4:21" x14ac:dyDescent="0.35">
      <c r="D43" s="9"/>
      <c r="E43" s="9"/>
      <c r="F43" s="9"/>
      <c r="G43" s="9"/>
      <c r="H43" s="9"/>
      <c r="I43" s="9"/>
      <c r="J43" s="9"/>
      <c r="K43" s="18"/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  <c r="T43" s="18" t="str">
        <f t="shared" si="2"/>
        <v/>
      </c>
      <c r="U43" s="18" t="str">
        <f t="shared" si="2"/>
        <v/>
      </c>
    </row>
    <row r="44" spans="4:21" x14ac:dyDescent="0.35">
      <c r="D44" s="9"/>
      <c r="E44" s="9"/>
      <c r="F44" s="9"/>
      <c r="G44" s="9"/>
      <c r="H44" s="9"/>
      <c r="I44" s="9"/>
      <c r="J44" s="9"/>
      <c r="K44" s="18"/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  <c r="T44" s="18" t="str">
        <f t="shared" si="2"/>
        <v/>
      </c>
      <c r="U44" s="18" t="str">
        <f t="shared" si="2"/>
        <v/>
      </c>
    </row>
    <row r="45" spans="4:21" x14ac:dyDescent="0.35">
      <c r="D45" s="9"/>
      <c r="E45" s="9"/>
      <c r="F45" s="9"/>
      <c r="G45" s="9"/>
      <c r="H45" s="9"/>
      <c r="I45" s="9"/>
      <c r="J45" s="9"/>
      <c r="K45" s="18"/>
      <c r="L45" s="18" t="str">
        <f t="shared" ref="L45:U50" si="3">IF(K45="","",K45)</f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  <c r="S45" s="18" t="str">
        <f t="shared" si="3"/>
        <v/>
      </c>
      <c r="T45" s="18" t="str">
        <f t="shared" si="3"/>
        <v/>
      </c>
      <c r="U45" s="18" t="str">
        <f t="shared" si="3"/>
        <v/>
      </c>
    </row>
    <row r="46" spans="4:21" x14ac:dyDescent="0.35">
      <c r="D46" s="9"/>
      <c r="E46" s="9"/>
      <c r="F46" s="9"/>
      <c r="G46" s="9"/>
      <c r="H46" s="9"/>
      <c r="I46" s="9"/>
      <c r="J46" s="9"/>
      <c r="K46" s="18"/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  <c r="S46" s="18" t="str">
        <f t="shared" si="3"/>
        <v/>
      </c>
      <c r="T46" s="18" t="str">
        <f t="shared" si="3"/>
        <v/>
      </c>
      <c r="U46" s="18" t="str">
        <f t="shared" si="3"/>
        <v/>
      </c>
    </row>
    <row r="47" spans="4:21" x14ac:dyDescent="0.35">
      <c r="D47" s="9"/>
      <c r="E47" s="9"/>
      <c r="F47" s="9"/>
      <c r="G47" s="9"/>
      <c r="H47" s="9"/>
      <c r="I47" s="9"/>
      <c r="J47" s="9"/>
      <c r="K47" s="18"/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  <c r="S47" s="18" t="str">
        <f t="shared" si="3"/>
        <v/>
      </c>
      <c r="T47" s="18" t="str">
        <f t="shared" si="3"/>
        <v/>
      </c>
      <c r="U47" s="18" t="str">
        <f t="shared" si="3"/>
        <v/>
      </c>
    </row>
    <row r="48" spans="4:21" x14ac:dyDescent="0.35">
      <c r="D48" s="9"/>
      <c r="E48" s="9"/>
      <c r="F48" s="9"/>
      <c r="G48" s="9"/>
      <c r="H48" s="9"/>
      <c r="I48" s="9"/>
      <c r="J48" s="9"/>
      <c r="K48" s="18"/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  <c r="S48" s="18" t="str">
        <f t="shared" si="3"/>
        <v/>
      </c>
      <c r="T48" s="18" t="str">
        <f t="shared" si="3"/>
        <v/>
      </c>
      <c r="U48" s="18" t="str">
        <f t="shared" si="3"/>
        <v/>
      </c>
    </row>
    <row r="49" spans="4:21" x14ac:dyDescent="0.35">
      <c r="D49" s="9"/>
      <c r="E49" s="9"/>
      <c r="F49" s="9"/>
      <c r="G49" s="9"/>
      <c r="H49" s="9"/>
      <c r="I49" s="9"/>
      <c r="J49" s="9"/>
      <c r="K49" s="18"/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  <c r="S49" s="18" t="str">
        <f t="shared" si="3"/>
        <v/>
      </c>
      <c r="T49" s="18" t="str">
        <f t="shared" si="3"/>
        <v/>
      </c>
      <c r="U49" s="18" t="str">
        <f t="shared" si="3"/>
        <v/>
      </c>
    </row>
    <row r="50" spans="4:21" ht="15" thickBot="1" x14ac:dyDescent="0.4">
      <c r="D50" s="10"/>
      <c r="E50" s="10"/>
      <c r="F50" s="10"/>
      <c r="G50" s="10"/>
      <c r="H50" s="10"/>
      <c r="I50" s="10"/>
      <c r="J50" s="10"/>
      <c r="K50" s="53"/>
      <c r="L50" s="53" t="str">
        <f t="shared" si="3"/>
        <v/>
      </c>
      <c r="M50" s="53" t="str">
        <f t="shared" si="3"/>
        <v/>
      </c>
      <c r="N50" s="53" t="str">
        <f t="shared" si="3"/>
        <v/>
      </c>
      <c r="O50" s="53" t="str">
        <f t="shared" si="3"/>
        <v/>
      </c>
      <c r="P50" s="53" t="str">
        <f t="shared" si="3"/>
        <v/>
      </c>
      <c r="Q50" s="53" t="str">
        <f t="shared" si="3"/>
        <v/>
      </c>
      <c r="R50" s="53" t="str">
        <f t="shared" si="3"/>
        <v/>
      </c>
      <c r="S50" s="53" t="str">
        <f t="shared" si="3"/>
        <v/>
      </c>
      <c r="T50" s="53" t="str">
        <f t="shared" si="3"/>
        <v/>
      </c>
      <c r="U50" s="53" t="str">
        <f t="shared" si="3"/>
        <v/>
      </c>
    </row>
    <row r="51" spans="4:21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mergeCells count="1">
    <mergeCell ref="V29:V32"/>
  </mergeCells>
  <dataValidations count="7">
    <dataValidation type="list" allowBlank="1" showInputMessage="1" showErrorMessage="1" sqref="G5:G50">
      <formula1>PAPInputs</formula1>
    </dataValidation>
    <dataValidation type="list" allowBlank="1" showInputMessage="1" showErrorMessage="1" sqref="I5:I50">
      <formula1>PAPProducts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PAPProcess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H5:H50">
      <formula1>OPEX</formula1>
    </dataValidation>
    <dataValidation type="list" allowBlank="1" showInputMessage="1" showErrorMessage="1" sqref="J5:J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51"/>
  <sheetViews>
    <sheetView workbookViewId="0">
      <selection activeCell="D3" sqref="D3"/>
    </sheetView>
  </sheetViews>
  <sheetFormatPr defaultColWidth="11.54296875" defaultRowHeight="14.5" x14ac:dyDescent="0.35"/>
  <cols>
    <col min="1" max="3" width="3.6328125" style="5" customWidth="1"/>
    <col min="4" max="4" width="15.6328125" style="5" customWidth="1"/>
    <col min="5" max="5" width="30.6328125" style="5" customWidth="1"/>
    <col min="6" max="9" width="15.6328125" style="5" customWidth="1"/>
    <col min="10" max="19" width="8.6328125" style="5" customWidth="1"/>
    <col min="20" max="16384" width="11.54296875" style="5"/>
  </cols>
  <sheetData>
    <row r="1" spans="2:19" s="81" customFormat="1" ht="25.25" customHeight="1" x14ac:dyDescent="0.35">
      <c r="B1" s="80" t="s">
        <v>247</v>
      </c>
    </row>
    <row r="3" spans="2:19" ht="15" thickBot="1" x14ac:dyDescent="0.4">
      <c r="D3" s="38" t="str">
        <f>JESA_UploadTable(B1,D4:S50)</f>
        <v>pap_capex Saved! @08:35:46</v>
      </c>
      <c r="J3" s="148" t="s">
        <v>187</v>
      </c>
      <c r="K3" s="148"/>
      <c r="L3" s="148"/>
      <c r="M3" s="148"/>
      <c r="N3" s="148"/>
      <c r="O3" s="148"/>
      <c r="P3" s="148"/>
      <c r="Q3" s="148"/>
      <c r="R3" s="148"/>
      <c r="S3" s="148"/>
    </row>
    <row r="4" spans="2:19" ht="30" customHeight="1" thickBot="1" x14ac:dyDescent="0.4">
      <c r="D4" s="82" t="s">
        <v>8</v>
      </c>
      <c r="E4" s="82" t="s">
        <v>25</v>
      </c>
      <c r="F4" s="84" t="s">
        <v>242</v>
      </c>
      <c r="G4" s="82" t="s">
        <v>12</v>
      </c>
      <c r="H4" s="84" t="s">
        <v>69</v>
      </c>
      <c r="I4" s="91" t="s">
        <v>149</v>
      </c>
      <c r="J4" s="91" t="s">
        <v>72</v>
      </c>
      <c r="K4" s="91" t="s">
        <v>73</v>
      </c>
      <c r="L4" s="91" t="s">
        <v>74</v>
      </c>
      <c r="M4" s="91" t="s">
        <v>75</v>
      </c>
      <c r="N4" s="91" t="s">
        <v>76</v>
      </c>
      <c r="O4" s="91" t="s">
        <v>77</v>
      </c>
      <c r="P4" s="91" t="s">
        <v>78</v>
      </c>
      <c r="Q4" s="91" t="s">
        <v>79</v>
      </c>
      <c r="R4" s="91" t="s">
        <v>80</v>
      </c>
      <c r="S4" s="91" t="s">
        <v>81</v>
      </c>
    </row>
    <row r="5" spans="2:19" ht="15" thickBot="1" x14ac:dyDescent="0.4">
      <c r="D5" s="8" t="s">
        <v>3</v>
      </c>
      <c r="E5" s="8" t="s">
        <v>209</v>
      </c>
      <c r="F5" s="8">
        <v>500</v>
      </c>
      <c r="G5" s="8" t="s">
        <v>22</v>
      </c>
      <c r="H5" s="8" t="s">
        <v>70</v>
      </c>
      <c r="I5" s="39">
        <v>1000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ht="15" thickBot="1" x14ac:dyDescent="0.4">
      <c r="D6" s="9" t="s">
        <v>3</v>
      </c>
      <c r="E6" s="9" t="s">
        <v>209</v>
      </c>
      <c r="F6" s="9">
        <v>750</v>
      </c>
      <c r="G6" s="9" t="s">
        <v>22</v>
      </c>
      <c r="H6" s="9" t="s">
        <v>70</v>
      </c>
      <c r="I6" s="39">
        <v>1000</v>
      </c>
      <c r="J6" s="26"/>
      <c r="K6" s="26"/>
      <c r="L6" s="26">
        <v>0.2</v>
      </c>
      <c r="M6" s="26">
        <v>0.1</v>
      </c>
      <c r="N6" s="26">
        <v>0.1</v>
      </c>
      <c r="O6" s="26">
        <v>0.6</v>
      </c>
      <c r="P6" s="26"/>
      <c r="Q6" s="26"/>
      <c r="R6" s="26"/>
      <c r="S6" s="26"/>
    </row>
    <row r="7" spans="2:19" ht="15" thickBot="1" x14ac:dyDescent="0.4">
      <c r="D7" s="9" t="s">
        <v>3</v>
      </c>
      <c r="E7" s="9" t="s">
        <v>211</v>
      </c>
      <c r="F7" s="9">
        <v>250</v>
      </c>
      <c r="G7" s="9" t="s">
        <v>22</v>
      </c>
      <c r="H7" s="9" t="s">
        <v>70</v>
      </c>
      <c r="I7" s="39">
        <v>1000</v>
      </c>
      <c r="J7" s="26"/>
      <c r="K7" s="26"/>
      <c r="L7" s="26">
        <v>0.2</v>
      </c>
      <c r="M7" s="26">
        <v>0.1</v>
      </c>
      <c r="N7" s="26">
        <v>0.1</v>
      </c>
      <c r="O7" s="26">
        <v>0.6</v>
      </c>
      <c r="P7" s="26"/>
      <c r="Q7" s="26"/>
      <c r="R7" s="26"/>
      <c r="S7" s="26"/>
    </row>
    <row r="8" spans="2:19" ht="15" thickBot="1" x14ac:dyDescent="0.4">
      <c r="D8" s="8" t="s">
        <v>26</v>
      </c>
      <c r="E8" s="8" t="s">
        <v>209</v>
      </c>
      <c r="F8" s="8">
        <v>500</v>
      </c>
      <c r="G8" s="8" t="s">
        <v>22</v>
      </c>
      <c r="H8" s="8" t="s">
        <v>70</v>
      </c>
      <c r="I8" s="39">
        <v>1000</v>
      </c>
      <c r="J8" s="26"/>
      <c r="K8" s="26"/>
      <c r="L8" s="26">
        <v>0.2</v>
      </c>
      <c r="M8" s="26">
        <v>0.1</v>
      </c>
      <c r="N8" s="26">
        <v>0.1</v>
      </c>
      <c r="O8" s="26">
        <v>0.6</v>
      </c>
      <c r="P8" s="26"/>
      <c r="Q8" s="26"/>
      <c r="R8" s="26"/>
      <c r="S8" s="26"/>
    </row>
    <row r="9" spans="2:19" ht="15" thickBot="1" x14ac:dyDescent="0.4">
      <c r="D9" s="9" t="s">
        <v>26</v>
      </c>
      <c r="E9" s="9" t="s">
        <v>209</v>
      </c>
      <c r="F9" s="9">
        <v>750</v>
      </c>
      <c r="G9" s="9" t="s">
        <v>22</v>
      </c>
      <c r="H9" s="9" t="s">
        <v>70</v>
      </c>
      <c r="I9" s="39">
        <v>1000</v>
      </c>
      <c r="J9" s="26"/>
      <c r="K9" s="26"/>
      <c r="L9" s="26">
        <v>0.2</v>
      </c>
      <c r="M9" s="26">
        <v>0.1</v>
      </c>
      <c r="N9" s="26">
        <v>0.1</v>
      </c>
      <c r="O9" s="26">
        <v>0.6</v>
      </c>
      <c r="P9" s="26"/>
      <c r="Q9" s="26"/>
      <c r="R9" s="26"/>
      <c r="S9" s="26"/>
    </row>
    <row r="10" spans="2:19" x14ac:dyDescent="0.35">
      <c r="D10" s="9" t="s">
        <v>26</v>
      </c>
      <c r="E10" s="9" t="s">
        <v>211</v>
      </c>
      <c r="F10" s="9">
        <v>250</v>
      </c>
      <c r="G10" s="9" t="s">
        <v>22</v>
      </c>
      <c r="H10" s="9" t="s">
        <v>70</v>
      </c>
      <c r="I10" s="39">
        <v>1000</v>
      </c>
      <c r="J10" s="26"/>
      <c r="K10" s="26"/>
      <c r="L10" s="26">
        <v>0.2</v>
      </c>
      <c r="M10" s="26">
        <v>0.1</v>
      </c>
      <c r="N10" s="26">
        <v>0.1</v>
      </c>
      <c r="O10" s="26">
        <v>0.6</v>
      </c>
      <c r="P10" s="26"/>
      <c r="Q10" s="26"/>
      <c r="R10" s="26"/>
      <c r="S10" s="26"/>
    </row>
    <row r="11" spans="2:19" x14ac:dyDescent="0.35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5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5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5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5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5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5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5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5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5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5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5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5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5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5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5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5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5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5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5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5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5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5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5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5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5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5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5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5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5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5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5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5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5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5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5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5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5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5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4">
      <c r="D50" s="10"/>
      <c r="E50" s="10"/>
      <c r="F50" s="10"/>
      <c r="G50" s="10"/>
      <c r="H50" s="10"/>
      <c r="I50" s="56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E5:E50">
      <formula1>PAPOptionsProcess</formula1>
    </dataValidation>
    <dataValidation type="list" allowBlank="1" showInputMessage="1" showErrorMessage="1" sqref="G5:G50">
      <formula1>PAPCapex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L7" sqref="L7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1" width="1.81640625" style="1" customWidth="1"/>
    <col min="12" max="12" width="20.81640625" style="1" customWidth="1"/>
    <col min="13" max="13" width="1.81640625" style="1" customWidth="1"/>
    <col min="14" max="14" width="20.6328125" style="31" customWidth="1"/>
    <col min="15" max="16384" width="11.54296875" style="1"/>
  </cols>
  <sheetData>
    <row r="1" spans="2:14" s="95" customFormat="1" ht="25" customHeight="1" x14ac:dyDescent="0.35">
      <c r="B1" s="94" t="s">
        <v>252</v>
      </c>
      <c r="N1" s="145"/>
    </row>
    <row r="3" spans="2:14" ht="15" thickBot="1" x14ac:dyDescent="0.4">
      <c r="D3" s="139" t="str">
        <f>JESA_UploadTable(D4,D4:D40)</f>
        <v>granulation.name Saved! @08:24:15</v>
      </c>
      <c r="E3" s="139"/>
      <c r="F3" s="139" t="str">
        <f>JESA_UploadTable(F4,F4:F40)</f>
        <v>granulation.process Saved! @08:24:14</v>
      </c>
      <c r="G3" s="139"/>
      <c r="H3" s="139" t="str">
        <f>JESA_UploadTable(H4,H4:H40)</f>
        <v>granulation.product Saved! @08:24:15</v>
      </c>
      <c r="I3" s="139"/>
      <c r="J3" s="139" t="str">
        <f>JESA_UploadTable(J4,J4:J40)</f>
        <v>granulation.capex Saved! @08:24:14</v>
      </c>
      <c r="K3" s="139"/>
      <c r="L3" s="139" t="str">
        <f>JESA_UploadTable(L4,L4:L40)</f>
        <v>granulation.input Saved! @08:24:13</v>
      </c>
      <c r="N3" s="1" t="str">
        <f>JESA_UploadTable(N4,N4:N40)</f>
        <v>granulation.capacities[kt] Saved! @08:24:13</v>
      </c>
    </row>
    <row r="4" spans="2:14" ht="30" customHeight="1" thickBot="1" x14ac:dyDescent="0.4">
      <c r="D4" s="96" t="s">
        <v>253</v>
      </c>
      <c r="F4" s="96" t="s">
        <v>254</v>
      </c>
      <c r="H4" s="96" t="s">
        <v>255</v>
      </c>
      <c r="J4" s="96" t="s">
        <v>256</v>
      </c>
      <c r="L4" s="96" t="s">
        <v>257</v>
      </c>
      <c r="N4" s="144" t="s">
        <v>378</v>
      </c>
    </row>
    <row r="5" spans="2:14" x14ac:dyDescent="0.35">
      <c r="D5" s="97" t="s">
        <v>122</v>
      </c>
      <c r="F5" s="97" t="s">
        <v>258</v>
      </c>
      <c r="H5" s="97" t="s">
        <v>83</v>
      </c>
      <c r="J5" s="97" t="s">
        <v>22</v>
      </c>
      <c r="L5" s="97" t="s">
        <v>140</v>
      </c>
      <c r="N5" s="29">
        <v>250</v>
      </c>
    </row>
    <row r="6" spans="2:14" x14ac:dyDescent="0.35">
      <c r="D6" s="98" t="s">
        <v>121</v>
      </c>
      <c r="F6" s="98" t="s">
        <v>259</v>
      </c>
      <c r="H6" s="98" t="s">
        <v>84</v>
      </c>
      <c r="J6" s="98" t="s">
        <v>260</v>
      </c>
      <c r="L6" s="98" t="s">
        <v>141</v>
      </c>
      <c r="N6" s="33">
        <v>500</v>
      </c>
    </row>
    <row r="7" spans="2:14" x14ac:dyDescent="0.35">
      <c r="D7" s="98"/>
      <c r="F7" s="98" t="s">
        <v>261</v>
      </c>
      <c r="H7" s="98" t="s">
        <v>85</v>
      </c>
      <c r="J7" s="98" t="s">
        <v>262</v>
      </c>
      <c r="L7" s="98"/>
      <c r="N7" s="33">
        <v>750</v>
      </c>
    </row>
    <row r="8" spans="2:14" x14ac:dyDescent="0.35">
      <c r="D8" s="98"/>
      <c r="F8" s="98" t="s">
        <v>377</v>
      </c>
      <c r="H8" s="98" t="s">
        <v>263</v>
      </c>
      <c r="J8" s="98" t="s">
        <v>264</v>
      </c>
      <c r="L8" s="98"/>
      <c r="N8" s="33">
        <v>1500</v>
      </c>
    </row>
    <row r="9" spans="2:14" x14ac:dyDescent="0.35">
      <c r="D9" s="98"/>
      <c r="F9" s="98"/>
      <c r="H9" s="98" t="s">
        <v>265</v>
      </c>
      <c r="J9" s="98"/>
      <c r="L9" s="98"/>
      <c r="N9" s="33"/>
    </row>
    <row r="10" spans="2:14" x14ac:dyDescent="0.35">
      <c r="D10" s="98"/>
      <c r="F10" s="98"/>
      <c r="H10" s="98" t="s">
        <v>86</v>
      </c>
      <c r="J10" s="98"/>
      <c r="L10" s="98"/>
      <c r="N10" s="33"/>
    </row>
    <row r="11" spans="2:14" x14ac:dyDescent="0.35">
      <c r="D11" s="98"/>
      <c r="F11" s="98"/>
      <c r="H11" s="98" t="s">
        <v>87</v>
      </c>
      <c r="J11" s="98"/>
      <c r="L11" s="98"/>
      <c r="N11" s="33"/>
    </row>
    <row r="12" spans="2:14" x14ac:dyDescent="0.35">
      <c r="D12" s="98"/>
      <c r="F12" s="98"/>
      <c r="H12" s="98" t="s">
        <v>266</v>
      </c>
      <c r="J12" s="98"/>
      <c r="L12" s="98"/>
      <c r="N12" s="33"/>
    </row>
    <row r="13" spans="2:14" x14ac:dyDescent="0.35">
      <c r="D13" s="98"/>
      <c r="F13" s="98"/>
      <c r="H13" s="98"/>
      <c r="J13" s="98"/>
      <c r="L13" s="98"/>
      <c r="N13" s="33"/>
    </row>
    <row r="14" spans="2:14" x14ac:dyDescent="0.35">
      <c r="D14" s="98"/>
      <c r="F14" s="98"/>
      <c r="H14" s="98"/>
      <c r="J14" s="98"/>
      <c r="L14" s="98"/>
      <c r="N14" s="33"/>
    </row>
    <row r="15" spans="2:14" x14ac:dyDescent="0.35">
      <c r="D15" s="98"/>
      <c r="F15" s="98"/>
      <c r="H15" s="98"/>
      <c r="J15" s="98"/>
      <c r="L15" s="98"/>
      <c r="N15" s="33"/>
    </row>
    <row r="16" spans="2:14" x14ac:dyDescent="0.35">
      <c r="D16" s="98"/>
      <c r="F16" s="98"/>
      <c r="H16" s="98"/>
      <c r="J16" s="98"/>
      <c r="L16" s="98"/>
      <c r="N16" s="33"/>
    </row>
    <row r="17" spans="4:14" x14ac:dyDescent="0.35">
      <c r="D17" s="98"/>
      <c r="F17" s="98"/>
      <c r="H17" s="98"/>
      <c r="J17" s="98"/>
      <c r="L17" s="98"/>
      <c r="N17" s="33"/>
    </row>
    <row r="18" spans="4:14" x14ac:dyDescent="0.35">
      <c r="D18" s="98"/>
      <c r="F18" s="98"/>
      <c r="H18" s="98"/>
      <c r="J18" s="98"/>
      <c r="L18" s="98"/>
      <c r="N18" s="33"/>
    </row>
    <row r="19" spans="4:14" x14ac:dyDescent="0.35">
      <c r="D19" s="98"/>
      <c r="F19" s="98"/>
      <c r="H19" s="98"/>
      <c r="J19" s="98"/>
      <c r="L19" s="98"/>
      <c r="N19" s="33"/>
    </row>
    <row r="20" spans="4:14" x14ac:dyDescent="0.35">
      <c r="D20" s="98"/>
      <c r="F20" s="98"/>
      <c r="H20" s="98"/>
      <c r="J20" s="98"/>
      <c r="L20" s="98"/>
      <c r="N20" s="33"/>
    </row>
    <row r="21" spans="4:14" x14ac:dyDescent="0.35">
      <c r="D21" s="98"/>
      <c r="F21" s="98"/>
      <c r="H21" s="98"/>
      <c r="J21" s="98"/>
      <c r="L21" s="98"/>
      <c r="N21" s="33"/>
    </row>
    <row r="22" spans="4:14" x14ac:dyDescent="0.35">
      <c r="D22" s="98"/>
      <c r="F22" s="98"/>
      <c r="H22" s="98"/>
      <c r="J22" s="98"/>
      <c r="L22" s="98"/>
      <c r="N22" s="33"/>
    </row>
    <row r="23" spans="4:14" x14ac:dyDescent="0.35">
      <c r="D23" s="98"/>
      <c r="F23" s="98"/>
      <c r="H23" s="98"/>
      <c r="J23" s="98"/>
      <c r="L23" s="98"/>
      <c r="N23" s="33"/>
    </row>
    <row r="24" spans="4:14" x14ac:dyDescent="0.35">
      <c r="D24" s="98"/>
      <c r="F24" s="98"/>
      <c r="H24" s="98"/>
      <c r="J24" s="98"/>
      <c r="L24" s="98"/>
      <c r="N24" s="33"/>
    </row>
    <row r="25" spans="4:14" x14ac:dyDescent="0.35">
      <c r="D25" s="98"/>
      <c r="F25" s="98"/>
      <c r="H25" s="98"/>
      <c r="J25" s="98"/>
      <c r="L25" s="98"/>
      <c r="N25" s="33"/>
    </row>
    <row r="26" spans="4:14" x14ac:dyDescent="0.35">
      <c r="D26" s="98"/>
      <c r="F26" s="98"/>
      <c r="H26" s="98"/>
      <c r="J26" s="98"/>
      <c r="L26" s="98"/>
      <c r="N26" s="33"/>
    </row>
    <row r="27" spans="4:14" x14ac:dyDescent="0.35">
      <c r="D27" s="98"/>
      <c r="F27" s="98"/>
      <c r="H27" s="98"/>
      <c r="J27" s="98"/>
      <c r="L27" s="98"/>
      <c r="N27" s="33"/>
    </row>
    <row r="28" spans="4:14" x14ac:dyDescent="0.35">
      <c r="D28" s="98"/>
      <c r="F28" s="98"/>
      <c r="H28" s="98"/>
      <c r="J28" s="98"/>
      <c r="L28" s="98"/>
      <c r="N28" s="33"/>
    </row>
    <row r="29" spans="4:14" x14ac:dyDescent="0.35">
      <c r="D29" s="98"/>
      <c r="F29" s="98"/>
      <c r="H29" s="98"/>
      <c r="J29" s="98"/>
      <c r="L29" s="98"/>
      <c r="N29" s="33"/>
    </row>
    <row r="30" spans="4:14" x14ac:dyDescent="0.35">
      <c r="D30" s="98"/>
      <c r="F30" s="98"/>
      <c r="H30" s="98"/>
      <c r="J30" s="98"/>
      <c r="L30" s="98"/>
      <c r="N30" s="33"/>
    </row>
    <row r="31" spans="4:14" x14ac:dyDescent="0.35">
      <c r="D31" s="98"/>
      <c r="F31" s="98"/>
      <c r="H31" s="98"/>
      <c r="J31" s="98"/>
      <c r="L31" s="98"/>
      <c r="N31" s="33"/>
    </row>
    <row r="32" spans="4:14" x14ac:dyDescent="0.35">
      <c r="D32" s="98"/>
      <c r="F32" s="98"/>
      <c r="H32" s="98"/>
      <c r="J32" s="98"/>
      <c r="L32" s="98"/>
      <c r="N32" s="33"/>
    </row>
    <row r="33" spans="4:14" x14ac:dyDescent="0.35">
      <c r="D33" s="98"/>
      <c r="F33" s="98"/>
      <c r="H33" s="98"/>
      <c r="J33" s="98"/>
      <c r="L33" s="98"/>
      <c r="N33" s="33"/>
    </row>
    <row r="34" spans="4:14" x14ac:dyDescent="0.35">
      <c r="D34" s="98"/>
      <c r="F34" s="98"/>
      <c r="H34" s="98"/>
      <c r="J34" s="98"/>
      <c r="L34" s="98"/>
      <c r="N34" s="33"/>
    </row>
    <row r="35" spans="4:14" x14ac:dyDescent="0.35">
      <c r="D35" s="98"/>
      <c r="F35" s="98"/>
      <c r="H35" s="98"/>
      <c r="J35" s="98"/>
      <c r="L35" s="98"/>
      <c r="N35" s="33"/>
    </row>
    <row r="36" spans="4:14" x14ac:dyDescent="0.35">
      <c r="D36" s="98"/>
      <c r="F36" s="98"/>
      <c r="H36" s="98"/>
      <c r="J36" s="98"/>
      <c r="L36" s="98"/>
      <c r="N36" s="33"/>
    </row>
    <row r="37" spans="4:14" x14ac:dyDescent="0.35">
      <c r="D37" s="98"/>
      <c r="F37" s="98"/>
      <c r="H37" s="98"/>
      <c r="J37" s="98"/>
      <c r="L37" s="98"/>
      <c r="N37" s="33"/>
    </row>
    <row r="38" spans="4:14" x14ac:dyDescent="0.35">
      <c r="D38" s="98"/>
      <c r="F38" s="98"/>
      <c r="H38" s="98"/>
      <c r="J38" s="98"/>
      <c r="L38" s="98"/>
      <c r="N38" s="33"/>
    </row>
    <row r="39" spans="4:14" x14ac:dyDescent="0.35">
      <c r="D39" s="98"/>
      <c r="F39" s="98"/>
      <c r="H39" s="98"/>
      <c r="J39" s="98"/>
      <c r="L39" s="98"/>
      <c r="N39" s="33"/>
    </row>
    <row r="40" spans="4:14" ht="15" thickBot="1" x14ac:dyDescent="0.4">
      <c r="D40" s="99"/>
      <c r="F40" s="99"/>
      <c r="H40" s="99"/>
      <c r="J40" s="99"/>
      <c r="L40" s="99"/>
      <c r="N40" s="34"/>
    </row>
    <row r="41" spans="4:14" x14ac:dyDescent="0.35">
      <c r="D41" s="1" t="s">
        <v>94</v>
      </c>
      <c r="F41" s="1" t="s">
        <v>94</v>
      </c>
      <c r="H41" s="1" t="s">
        <v>94</v>
      </c>
      <c r="J41" s="1" t="s">
        <v>94</v>
      </c>
      <c r="L41" s="1" t="s">
        <v>94</v>
      </c>
      <c r="N41" s="31" t="s">
        <v>94</v>
      </c>
    </row>
  </sheetData>
  <dataValidations count="1">
    <dataValidation type="list" allowBlank="1" showInputMessage="1" showErrorMessage="1" sqref="D5:D39">
      <formula1>Names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K51"/>
  <sheetViews>
    <sheetView workbookViewId="0">
      <selection activeCell="I2" sqref="I2"/>
    </sheetView>
  </sheetViews>
  <sheetFormatPr defaultColWidth="11.54296875" defaultRowHeight="14.5" x14ac:dyDescent="0.35"/>
  <cols>
    <col min="1" max="3" width="3.81640625" style="5" customWidth="1"/>
    <col min="4" max="5" width="15.81640625" style="5" customWidth="1"/>
    <col min="6" max="6" width="27" style="5" bestFit="1" customWidth="1"/>
    <col min="7" max="10" width="15.81640625" style="5" customWidth="1"/>
    <col min="11" max="11" width="59.36328125" style="5" bestFit="1" customWidth="1"/>
    <col min="12" max="16384" width="11.54296875" style="5"/>
  </cols>
  <sheetData>
    <row r="1" spans="2:11" s="95" customFormat="1" ht="25" customHeight="1" x14ac:dyDescent="0.35">
      <c r="B1" s="94" t="s">
        <v>267</v>
      </c>
    </row>
    <row r="3" spans="2:11" ht="15" thickBot="1" x14ac:dyDescent="0.4">
      <c r="D3" s="38" t="str">
        <f>JESA_UploadTable(B1,D4:K10)</f>
        <v>granulation_options Saved! @08:24:18</v>
      </c>
    </row>
    <row r="4" spans="2:11" ht="30" customHeight="1" thickBot="1" x14ac:dyDescent="0.4">
      <c r="D4" s="100" t="s">
        <v>8</v>
      </c>
      <c r="E4" s="100" t="s">
        <v>30</v>
      </c>
      <c r="F4" s="101" t="s">
        <v>25</v>
      </c>
      <c r="G4" s="96" t="s">
        <v>183</v>
      </c>
      <c r="H4" s="96" t="s">
        <v>71</v>
      </c>
      <c r="I4" s="96" t="s">
        <v>147</v>
      </c>
      <c r="J4" s="96" t="s">
        <v>153</v>
      </c>
      <c r="K4" s="100" t="s">
        <v>154</v>
      </c>
    </row>
    <row r="5" spans="2:11" ht="15" thickBot="1" x14ac:dyDescent="0.4">
      <c r="D5" s="8" t="s">
        <v>27</v>
      </c>
      <c r="E5" s="8" t="s">
        <v>122</v>
      </c>
      <c r="F5" s="8" t="s">
        <v>258</v>
      </c>
      <c r="G5" s="14">
        <v>500</v>
      </c>
      <c r="H5" s="13" t="s">
        <v>36</v>
      </c>
      <c r="I5" s="14">
        <v>1980</v>
      </c>
      <c r="J5" s="14">
        <v>2025</v>
      </c>
      <c r="K5" s="8" t="str">
        <f>IF(D5="","","/Granulation/"&amp;CONCATENATE(D5,"/",E5,"/",F5,"/",H5,"/",I5,"/",J5))</f>
        <v>/Granulation/SPH/GRANUL2/Chemical granulation/Existing/1980/2025</v>
      </c>
    </row>
    <row r="6" spans="2:11" ht="15" thickBot="1" x14ac:dyDescent="0.4">
      <c r="D6" s="9" t="s">
        <v>26</v>
      </c>
      <c r="E6" s="9" t="s">
        <v>121</v>
      </c>
      <c r="F6" s="9" t="s">
        <v>258</v>
      </c>
      <c r="G6" s="15">
        <v>250</v>
      </c>
      <c r="H6" s="11" t="s">
        <v>150</v>
      </c>
      <c r="I6" s="15">
        <f>IF(G6="New",2100,)</f>
        <v>0</v>
      </c>
      <c r="J6" s="15">
        <f t="shared" ref="I6:J50" si="0">IF(H6="New",2100,)</f>
        <v>2100</v>
      </c>
      <c r="K6" s="8" t="str">
        <f t="shared" ref="K6:K51" si="1">IF(D6="","","/Granulation/"&amp;CONCATENATE(D6,"/",E6,"/",F6,"/",H6,"/",I6,"/",J6))</f>
        <v>/Granulation/Safi/GRANUL1/Chemical granulation/New/0/2100</v>
      </c>
    </row>
    <row r="7" spans="2:11" ht="15" thickBot="1" x14ac:dyDescent="0.4">
      <c r="D7" s="9"/>
      <c r="E7" s="9"/>
      <c r="F7" s="9"/>
      <c r="G7" s="15"/>
      <c r="H7" s="11"/>
      <c r="I7" s="15">
        <f t="shared" si="0"/>
        <v>0</v>
      </c>
      <c r="J7" s="15">
        <f t="shared" si="0"/>
        <v>0</v>
      </c>
      <c r="K7" s="8" t="str">
        <f t="shared" si="1"/>
        <v/>
      </c>
    </row>
    <row r="8" spans="2:11" ht="15" thickBot="1" x14ac:dyDescent="0.4">
      <c r="D8" s="9"/>
      <c r="E8" s="9"/>
      <c r="F8" s="9"/>
      <c r="G8" s="15"/>
      <c r="H8" s="11"/>
      <c r="I8" s="15">
        <f t="shared" si="0"/>
        <v>0</v>
      </c>
      <c r="J8" s="15">
        <f t="shared" si="0"/>
        <v>0</v>
      </c>
      <c r="K8" s="8" t="str">
        <f t="shared" si="1"/>
        <v/>
      </c>
    </row>
    <row r="9" spans="2:11" ht="15" thickBot="1" x14ac:dyDescent="0.4">
      <c r="D9" s="9"/>
      <c r="E9" s="9"/>
      <c r="F9" s="9"/>
      <c r="G9" s="15"/>
      <c r="H9" s="11"/>
      <c r="I9" s="15">
        <f t="shared" si="0"/>
        <v>0</v>
      </c>
      <c r="J9" s="15">
        <f t="shared" si="0"/>
        <v>0</v>
      </c>
      <c r="K9" s="8" t="str">
        <f t="shared" si="1"/>
        <v/>
      </c>
    </row>
    <row r="10" spans="2:11" ht="15" thickBot="1" x14ac:dyDescent="0.4">
      <c r="D10" s="9"/>
      <c r="E10" s="9"/>
      <c r="F10" s="9"/>
      <c r="G10" s="15"/>
      <c r="H10" s="11"/>
      <c r="I10" s="15">
        <f t="shared" si="0"/>
        <v>0</v>
      </c>
      <c r="J10" s="15">
        <f t="shared" si="0"/>
        <v>0</v>
      </c>
      <c r="K10" s="8" t="str">
        <f t="shared" si="1"/>
        <v/>
      </c>
    </row>
    <row r="11" spans="2:11" ht="15" thickBot="1" x14ac:dyDescent="0.4">
      <c r="D11" s="9"/>
      <c r="E11" s="9"/>
      <c r="F11" s="9"/>
      <c r="G11" s="15"/>
      <c r="H11" s="11"/>
      <c r="I11" s="15">
        <f t="shared" si="0"/>
        <v>0</v>
      </c>
      <c r="J11" s="15">
        <f t="shared" si="0"/>
        <v>0</v>
      </c>
      <c r="K11" s="8" t="str">
        <f t="shared" si="1"/>
        <v/>
      </c>
    </row>
    <row r="12" spans="2:11" ht="15" thickBot="1" x14ac:dyDescent="0.4">
      <c r="D12" s="9"/>
      <c r="E12" s="9"/>
      <c r="F12" s="9"/>
      <c r="G12" s="15"/>
      <c r="H12" s="11"/>
      <c r="I12" s="15">
        <f t="shared" si="0"/>
        <v>0</v>
      </c>
      <c r="J12" s="15">
        <f t="shared" si="0"/>
        <v>0</v>
      </c>
      <c r="K12" s="8" t="str">
        <f t="shared" si="1"/>
        <v/>
      </c>
    </row>
    <row r="13" spans="2:11" ht="15" thickBot="1" x14ac:dyDescent="0.4">
      <c r="D13" s="9"/>
      <c r="E13" s="9"/>
      <c r="F13" s="9"/>
      <c r="G13" s="15"/>
      <c r="H13" s="11"/>
      <c r="I13" s="15">
        <f t="shared" si="0"/>
        <v>0</v>
      </c>
      <c r="J13" s="15">
        <f t="shared" si="0"/>
        <v>0</v>
      </c>
      <c r="K13" s="8" t="str">
        <f t="shared" si="1"/>
        <v/>
      </c>
    </row>
    <row r="14" spans="2:11" ht="15" thickBot="1" x14ac:dyDescent="0.4">
      <c r="D14" s="9"/>
      <c r="E14" s="9"/>
      <c r="F14" s="9"/>
      <c r="G14" s="15"/>
      <c r="H14" s="11"/>
      <c r="I14" s="15">
        <f t="shared" si="0"/>
        <v>0</v>
      </c>
      <c r="J14" s="15">
        <f t="shared" si="0"/>
        <v>0</v>
      </c>
      <c r="K14" s="8" t="str">
        <f t="shared" si="1"/>
        <v/>
      </c>
    </row>
    <row r="15" spans="2:11" ht="15" thickBot="1" x14ac:dyDescent="0.4">
      <c r="D15" s="9"/>
      <c r="E15" s="9"/>
      <c r="F15" s="9"/>
      <c r="G15" s="15"/>
      <c r="H15" s="11"/>
      <c r="I15" s="15">
        <f t="shared" si="0"/>
        <v>0</v>
      </c>
      <c r="J15" s="15">
        <f t="shared" si="0"/>
        <v>0</v>
      </c>
      <c r="K15" s="8" t="str">
        <f t="shared" si="1"/>
        <v/>
      </c>
    </row>
    <row r="16" spans="2:11" ht="15" thickBot="1" x14ac:dyDescent="0.4">
      <c r="D16" s="9"/>
      <c r="E16" s="9"/>
      <c r="F16" s="9"/>
      <c r="G16" s="15"/>
      <c r="H16" s="11"/>
      <c r="I16" s="15">
        <f t="shared" si="0"/>
        <v>0</v>
      </c>
      <c r="J16" s="15">
        <f t="shared" si="0"/>
        <v>0</v>
      </c>
      <c r="K16" s="8" t="str">
        <f t="shared" si="1"/>
        <v/>
      </c>
    </row>
    <row r="17" spans="4:11" ht="15" thickBot="1" x14ac:dyDescent="0.4">
      <c r="D17" s="9"/>
      <c r="E17" s="9"/>
      <c r="F17" s="9"/>
      <c r="G17" s="15"/>
      <c r="H17" s="11"/>
      <c r="I17" s="15">
        <f t="shared" si="0"/>
        <v>0</v>
      </c>
      <c r="J17" s="15">
        <f t="shared" si="0"/>
        <v>0</v>
      </c>
      <c r="K17" s="8" t="str">
        <f t="shared" si="1"/>
        <v/>
      </c>
    </row>
    <row r="18" spans="4:11" ht="15" thickBot="1" x14ac:dyDescent="0.4">
      <c r="D18" s="9"/>
      <c r="E18" s="9"/>
      <c r="F18" s="9"/>
      <c r="G18" s="15"/>
      <c r="H18" s="11"/>
      <c r="I18" s="15">
        <f t="shared" si="0"/>
        <v>0</v>
      </c>
      <c r="J18" s="15">
        <f t="shared" si="0"/>
        <v>0</v>
      </c>
      <c r="K18" s="8" t="str">
        <f t="shared" si="1"/>
        <v/>
      </c>
    </row>
    <row r="19" spans="4:11" ht="15" thickBot="1" x14ac:dyDescent="0.4">
      <c r="D19" s="9"/>
      <c r="E19" s="9"/>
      <c r="F19" s="9"/>
      <c r="G19" s="15"/>
      <c r="H19" s="11"/>
      <c r="I19" s="15">
        <f t="shared" si="0"/>
        <v>0</v>
      </c>
      <c r="J19" s="15">
        <f t="shared" si="0"/>
        <v>0</v>
      </c>
      <c r="K19" s="8" t="str">
        <f t="shared" si="1"/>
        <v/>
      </c>
    </row>
    <row r="20" spans="4:11" ht="15" thickBot="1" x14ac:dyDescent="0.4">
      <c r="D20" s="9"/>
      <c r="E20" s="9"/>
      <c r="F20" s="9"/>
      <c r="G20" s="15"/>
      <c r="H20" s="11"/>
      <c r="I20" s="15">
        <f t="shared" si="0"/>
        <v>0</v>
      </c>
      <c r="J20" s="15">
        <f t="shared" si="0"/>
        <v>0</v>
      </c>
      <c r="K20" s="8" t="str">
        <f t="shared" si="1"/>
        <v/>
      </c>
    </row>
    <row r="21" spans="4:11" ht="15" thickBot="1" x14ac:dyDescent="0.4">
      <c r="D21" s="9"/>
      <c r="E21" s="9"/>
      <c r="F21" s="9"/>
      <c r="G21" s="15"/>
      <c r="H21" s="11"/>
      <c r="I21" s="15">
        <f t="shared" si="0"/>
        <v>0</v>
      </c>
      <c r="J21" s="15">
        <f t="shared" si="0"/>
        <v>0</v>
      </c>
      <c r="K21" s="8" t="str">
        <f t="shared" si="1"/>
        <v/>
      </c>
    </row>
    <row r="22" spans="4:11" ht="15" thickBot="1" x14ac:dyDescent="0.4">
      <c r="D22" s="9"/>
      <c r="E22" s="9"/>
      <c r="F22" s="9"/>
      <c r="G22" s="15"/>
      <c r="H22" s="11"/>
      <c r="I22" s="15">
        <f t="shared" si="0"/>
        <v>0</v>
      </c>
      <c r="J22" s="15">
        <f t="shared" si="0"/>
        <v>0</v>
      </c>
      <c r="K22" s="8" t="str">
        <f t="shared" si="1"/>
        <v/>
      </c>
    </row>
    <row r="23" spans="4:11" ht="15" thickBot="1" x14ac:dyDescent="0.4">
      <c r="D23" s="9"/>
      <c r="E23" s="9"/>
      <c r="F23" s="9"/>
      <c r="G23" s="15"/>
      <c r="H23" s="11"/>
      <c r="I23" s="15">
        <f t="shared" si="0"/>
        <v>0</v>
      </c>
      <c r="J23" s="15">
        <f t="shared" si="0"/>
        <v>0</v>
      </c>
      <c r="K23" s="8" t="str">
        <f t="shared" si="1"/>
        <v/>
      </c>
    </row>
    <row r="24" spans="4:11" ht="15" thickBot="1" x14ac:dyDescent="0.4">
      <c r="D24" s="9"/>
      <c r="E24" s="9"/>
      <c r="F24" s="9"/>
      <c r="G24" s="15"/>
      <c r="H24" s="11"/>
      <c r="I24" s="15">
        <f t="shared" si="0"/>
        <v>0</v>
      </c>
      <c r="J24" s="15">
        <f t="shared" si="0"/>
        <v>0</v>
      </c>
      <c r="K24" s="8" t="str">
        <f t="shared" si="1"/>
        <v/>
      </c>
    </row>
    <row r="25" spans="4:11" ht="15" thickBot="1" x14ac:dyDescent="0.4">
      <c r="D25" s="9"/>
      <c r="E25" s="9"/>
      <c r="F25" s="9"/>
      <c r="G25" s="15"/>
      <c r="H25" s="11"/>
      <c r="I25" s="15">
        <f t="shared" si="0"/>
        <v>0</v>
      </c>
      <c r="J25" s="15">
        <f t="shared" si="0"/>
        <v>0</v>
      </c>
      <c r="K25" s="8" t="str">
        <f t="shared" si="1"/>
        <v/>
      </c>
    </row>
    <row r="26" spans="4:11" ht="15" thickBot="1" x14ac:dyDescent="0.4">
      <c r="D26" s="9"/>
      <c r="E26" s="9"/>
      <c r="F26" s="9"/>
      <c r="G26" s="15"/>
      <c r="H26" s="11"/>
      <c r="I26" s="15">
        <f t="shared" si="0"/>
        <v>0</v>
      </c>
      <c r="J26" s="15">
        <f t="shared" si="0"/>
        <v>0</v>
      </c>
      <c r="K26" s="8" t="str">
        <f t="shared" si="1"/>
        <v/>
      </c>
    </row>
    <row r="27" spans="4:11" ht="15" thickBot="1" x14ac:dyDescent="0.4">
      <c r="D27" s="9"/>
      <c r="E27" s="9"/>
      <c r="F27" s="9"/>
      <c r="G27" s="15"/>
      <c r="H27" s="11"/>
      <c r="I27" s="15">
        <f t="shared" si="0"/>
        <v>0</v>
      </c>
      <c r="J27" s="15">
        <f t="shared" si="0"/>
        <v>0</v>
      </c>
      <c r="K27" s="8" t="str">
        <f t="shared" si="1"/>
        <v/>
      </c>
    </row>
    <row r="28" spans="4:11" ht="15" thickBot="1" x14ac:dyDescent="0.4">
      <c r="D28" s="9"/>
      <c r="E28" s="9"/>
      <c r="F28" s="9"/>
      <c r="G28" s="15"/>
      <c r="H28" s="11"/>
      <c r="I28" s="15">
        <f t="shared" si="0"/>
        <v>0</v>
      </c>
      <c r="J28" s="15">
        <f t="shared" si="0"/>
        <v>0</v>
      </c>
      <c r="K28" s="8" t="str">
        <f t="shared" si="1"/>
        <v/>
      </c>
    </row>
    <row r="29" spans="4:11" ht="15" thickBot="1" x14ac:dyDescent="0.4">
      <c r="D29" s="9"/>
      <c r="E29" s="9"/>
      <c r="F29" s="9"/>
      <c r="G29" s="15"/>
      <c r="H29" s="11"/>
      <c r="I29" s="15">
        <f t="shared" si="0"/>
        <v>0</v>
      </c>
      <c r="J29" s="15">
        <f t="shared" si="0"/>
        <v>0</v>
      </c>
      <c r="K29" s="8" t="str">
        <f t="shared" si="1"/>
        <v/>
      </c>
    </row>
    <row r="30" spans="4:11" ht="15" thickBot="1" x14ac:dyDescent="0.4">
      <c r="D30" s="9"/>
      <c r="E30" s="9"/>
      <c r="F30" s="9"/>
      <c r="G30" s="15"/>
      <c r="H30" s="11"/>
      <c r="I30" s="15">
        <f t="shared" si="0"/>
        <v>0</v>
      </c>
      <c r="J30" s="15">
        <f t="shared" si="0"/>
        <v>0</v>
      </c>
      <c r="K30" s="8" t="str">
        <f t="shared" si="1"/>
        <v/>
      </c>
    </row>
    <row r="31" spans="4:11" ht="15" thickBot="1" x14ac:dyDescent="0.4">
      <c r="D31" s="9"/>
      <c r="E31" s="9"/>
      <c r="F31" s="9"/>
      <c r="G31" s="15"/>
      <c r="H31" s="11"/>
      <c r="I31" s="15">
        <f t="shared" si="0"/>
        <v>0</v>
      </c>
      <c r="J31" s="15">
        <f t="shared" si="0"/>
        <v>0</v>
      </c>
      <c r="K31" s="8" t="str">
        <f t="shared" si="1"/>
        <v/>
      </c>
    </row>
    <row r="32" spans="4:11" ht="15" thickBot="1" x14ac:dyDescent="0.4">
      <c r="D32" s="9"/>
      <c r="E32" s="9"/>
      <c r="F32" s="9"/>
      <c r="G32" s="15"/>
      <c r="H32" s="11"/>
      <c r="I32" s="15">
        <f t="shared" si="0"/>
        <v>0</v>
      </c>
      <c r="J32" s="15">
        <f t="shared" si="0"/>
        <v>0</v>
      </c>
      <c r="K32" s="8" t="str">
        <f t="shared" si="1"/>
        <v/>
      </c>
    </row>
    <row r="33" spans="4:11" ht="15" thickBot="1" x14ac:dyDescent="0.4">
      <c r="D33" s="9"/>
      <c r="E33" s="9"/>
      <c r="F33" s="9"/>
      <c r="G33" s="15"/>
      <c r="H33" s="11"/>
      <c r="I33" s="15">
        <f t="shared" si="0"/>
        <v>0</v>
      </c>
      <c r="J33" s="15">
        <f t="shared" si="0"/>
        <v>0</v>
      </c>
      <c r="K33" s="8" t="str">
        <f t="shared" si="1"/>
        <v/>
      </c>
    </row>
    <row r="34" spans="4:11" ht="15" thickBot="1" x14ac:dyDescent="0.4">
      <c r="D34" s="9"/>
      <c r="E34" s="9"/>
      <c r="F34" s="9"/>
      <c r="G34" s="15"/>
      <c r="H34" s="11"/>
      <c r="I34" s="15">
        <f t="shared" si="0"/>
        <v>0</v>
      </c>
      <c r="J34" s="15">
        <f t="shared" si="0"/>
        <v>0</v>
      </c>
      <c r="K34" s="8" t="str">
        <f t="shared" si="1"/>
        <v/>
      </c>
    </row>
    <row r="35" spans="4:11" ht="15" thickBot="1" x14ac:dyDescent="0.4">
      <c r="D35" s="9"/>
      <c r="E35" s="9"/>
      <c r="F35" s="9"/>
      <c r="G35" s="15"/>
      <c r="H35" s="11"/>
      <c r="I35" s="15">
        <f>IF(G35="New",2100,)</f>
        <v>0</v>
      </c>
      <c r="J35" s="15">
        <f t="shared" si="0"/>
        <v>0</v>
      </c>
      <c r="K35" s="8" t="str">
        <f t="shared" si="1"/>
        <v/>
      </c>
    </row>
    <row r="36" spans="4:11" ht="15" thickBot="1" x14ac:dyDescent="0.4">
      <c r="D36" s="9"/>
      <c r="E36" s="9"/>
      <c r="F36" s="9"/>
      <c r="G36" s="15"/>
      <c r="H36" s="11"/>
      <c r="I36" s="15">
        <f t="shared" si="0"/>
        <v>0</v>
      </c>
      <c r="J36" s="15">
        <f t="shared" si="0"/>
        <v>0</v>
      </c>
      <c r="K36" s="8" t="str">
        <f t="shared" si="1"/>
        <v/>
      </c>
    </row>
    <row r="37" spans="4:11" ht="15" thickBot="1" x14ac:dyDescent="0.4">
      <c r="D37" s="9"/>
      <c r="E37" s="9"/>
      <c r="F37" s="9"/>
      <c r="G37" s="15"/>
      <c r="H37" s="11"/>
      <c r="I37" s="15">
        <f t="shared" si="0"/>
        <v>0</v>
      </c>
      <c r="J37" s="15">
        <f t="shared" si="0"/>
        <v>0</v>
      </c>
      <c r="K37" s="8" t="str">
        <f t="shared" si="1"/>
        <v/>
      </c>
    </row>
    <row r="38" spans="4:11" ht="15" thickBot="1" x14ac:dyDescent="0.4">
      <c r="D38" s="9"/>
      <c r="E38" s="9"/>
      <c r="F38" s="9"/>
      <c r="G38" s="15"/>
      <c r="H38" s="11"/>
      <c r="I38" s="15">
        <f t="shared" si="0"/>
        <v>0</v>
      </c>
      <c r="J38" s="15">
        <f t="shared" si="0"/>
        <v>0</v>
      </c>
      <c r="K38" s="8" t="str">
        <f t="shared" si="1"/>
        <v/>
      </c>
    </row>
    <row r="39" spans="4:11" ht="15" thickBot="1" x14ac:dyDescent="0.4">
      <c r="D39" s="9"/>
      <c r="E39" s="9"/>
      <c r="F39" s="9"/>
      <c r="G39" s="15"/>
      <c r="H39" s="11"/>
      <c r="I39" s="15">
        <f t="shared" si="0"/>
        <v>0</v>
      </c>
      <c r="J39" s="15">
        <f t="shared" si="0"/>
        <v>0</v>
      </c>
      <c r="K39" s="8" t="str">
        <f t="shared" si="1"/>
        <v/>
      </c>
    </row>
    <row r="40" spans="4:11" ht="15" thickBot="1" x14ac:dyDescent="0.4">
      <c r="D40" s="9"/>
      <c r="E40" s="9"/>
      <c r="F40" s="9"/>
      <c r="G40" s="15"/>
      <c r="H40" s="11"/>
      <c r="I40" s="15">
        <f t="shared" si="0"/>
        <v>0</v>
      </c>
      <c r="J40" s="15">
        <f t="shared" si="0"/>
        <v>0</v>
      </c>
      <c r="K40" s="8" t="str">
        <f t="shared" si="1"/>
        <v/>
      </c>
    </row>
    <row r="41" spans="4:11" ht="15" thickBot="1" x14ac:dyDescent="0.4">
      <c r="D41" s="9"/>
      <c r="E41" s="9"/>
      <c r="F41" s="9"/>
      <c r="G41" s="15"/>
      <c r="H41" s="11"/>
      <c r="I41" s="15">
        <f t="shared" si="0"/>
        <v>0</v>
      </c>
      <c r="J41" s="15">
        <f t="shared" si="0"/>
        <v>0</v>
      </c>
      <c r="K41" s="8" t="str">
        <f t="shared" si="1"/>
        <v/>
      </c>
    </row>
    <row r="42" spans="4:11" ht="15" thickBot="1" x14ac:dyDescent="0.4">
      <c r="D42" s="9"/>
      <c r="E42" s="9"/>
      <c r="F42" s="9"/>
      <c r="G42" s="15"/>
      <c r="H42" s="11"/>
      <c r="I42" s="15">
        <f t="shared" si="0"/>
        <v>0</v>
      </c>
      <c r="J42" s="15">
        <f t="shared" si="0"/>
        <v>0</v>
      </c>
      <c r="K42" s="8" t="str">
        <f t="shared" si="1"/>
        <v/>
      </c>
    </row>
    <row r="43" spans="4:11" ht="15" thickBot="1" x14ac:dyDescent="0.4">
      <c r="D43" s="9"/>
      <c r="E43" s="9"/>
      <c r="F43" s="9"/>
      <c r="G43" s="15"/>
      <c r="H43" s="11"/>
      <c r="I43" s="15">
        <f t="shared" si="0"/>
        <v>0</v>
      </c>
      <c r="J43" s="15">
        <f t="shared" si="0"/>
        <v>0</v>
      </c>
      <c r="K43" s="8" t="str">
        <f t="shared" si="1"/>
        <v/>
      </c>
    </row>
    <row r="44" spans="4:11" ht="15" thickBot="1" x14ac:dyDescent="0.4">
      <c r="D44" s="9"/>
      <c r="E44" s="9"/>
      <c r="F44" s="9"/>
      <c r="G44" s="15"/>
      <c r="H44" s="11"/>
      <c r="I44" s="15">
        <f t="shared" si="0"/>
        <v>0</v>
      </c>
      <c r="J44" s="15">
        <f t="shared" si="0"/>
        <v>0</v>
      </c>
      <c r="K44" s="8" t="str">
        <f t="shared" si="1"/>
        <v/>
      </c>
    </row>
    <row r="45" spans="4:11" ht="15" thickBot="1" x14ac:dyDescent="0.4">
      <c r="D45" s="9"/>
      <c r="E45" s="9"/>
      <c r="F45" s="9"/>
      <c r="G45" s="15"/>
      <c r="H45" s="11"/>
      <c r="I45" s="15">
        <f t="shared" si="0"/>
        <v>0</v>
      </c>
      <c r="J45" s="15">
        <f t="shared" si="0"/>
        <v>0</v>
      </c>
      <c r="K45" s="8" t="str">
        <f t="shared" si="1"/>
        <v/>
      </c>
    </row>
    <row r="46" spans="4:11" ht="15" thickBot="1" x14ac:dyDescent="0.4">
      <c r="D46" s="9"/>
      <c r="E46" s="9"/>
      <c r="F46" s="9"/>
      <c r="G46" s="15"/>
      <c r="H46" s="11"/>
      <c r="I46" s="15">
        <f t="shared" si="0"/>
        <v>0</v>
      </c>
      <c r="J46" s="15">
        <f t="shared" si="0"/>
        <v>0</v>
      </c>
      <c r="K46" s="8" t="str">
        <f t="shared" si="1"/>
        <v/>
      </c>
    </row>
    <row r="47" spans="4:11" ht="15" thickBot="1" x14ac:dyDescent="0.4">
      <c r="D47" s="9"/>
      <c r="E47" s="9"/>
      <c r="F47" s="9"/>
      <c r="G47" s="15"/>
      <c r="H47" s="11"/>
      <c r="I47" s="15">
        <f t="shared" si="0"/>
        <v>0</v>
      </c>
      <c r="J47" s="15">
        <f t="shared" si="0"/>
        <v>0</v>
      </c>
      <c r="K47" s="8" t="str">
        <f t="shared" si="1"/>
        <v/>
      </c>
    </row>
    <row r="48" spans="4:11" ht="15" thickBot="1" x14ac:dyDescent="0.4">
      <c r="D48" s="9"/>
      <c r="E48" s="9"/>
      <c r="F48" s="9"/>
      <c r="G48" s="15"/>
      <c r="H48" s="11"/>
      <c r="I48" s="15">
        <f t="shared" si="0"/>
        <v>0</v>
      </c>
      <c r="J48" s="15">
        <f t="shared" si="0"/>
        <v>0</v>
      </c>
      <c r="K48" s="8" t="str">
        <f t="shared" si="1"/>
        <v/>
      </c>
    </row>
    <row r="49" spans="4:11" ht="15" thickBot="1" x14ac:dyDescent="0.4">
      <c r="D49" s="9"/>
      <c r="E49" s="9"/>
      <c r="F49" s="9"/>
      <c r="G49" s="15"/>
      <c r="H49" s="11"/>
      <c r="I49" s="15">
        <f t="shared" si="0"/>
        <v>0</v>
      </c>
      <c r="J49" s="15">
        <f t="shared" si="0"/>
        <v>0</v>
      </c>
      <c r="K49" s="8" t="str">
        <f t="shared" si="1"/>
        <v/>
      </c>
    </row>
    <row r="50" spans="4:11" ht="15" thickBot="1" x14ac:dyDescent="0.4">
      <c r="D50" s="10"/>
      <c r="E50" s="10"/>
      <c r="F50" s="10"/>
      <c r="G50" s="16"/>
      <c r="H50" s="12"/>
      <c r="I50" s="16">
        <f t="shared" si="0"/>
        <v>0</v>
      </c>
      <c r="J50" s="16">
        <f t="shared" si="0"/>
        <v>0</v>
      </c>
      <c r="K50" s="8" t="str">
        <f t="shared" si="1"/>
        <v/>
      </c>
    </row>
    <row r="51" spans="4:11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8" t="e">
        <f t="shared" si="1"/>
        <v>#N/A</v>
      </c>
    </row>
  </sheetData>
  <dataValidations count="5">
    <dataValidation type="list" allowBlank="1" showInputMessage="1" showErrorMessage="1" sqref="H5:H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GranulationProcess</formula1>
    </dataValidation>
    <dataValidation type="list" allowBlank="1" showInputMessage="1" showErrorMessage="1" sqref="E5:E50">
      <formula1>GranulationName</formula1>
    </dataValidation>
    <dataValidation type="list" allowBlank="1" showInputMessage="1" showErrorMessage="1" sqref="G5:G50">
      <formula1>GranulCapacities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topLeftCell="D1" workbookViewId="0">
      <selection activeCell="D7" sqref="D7:R7"/>
    </sheetView>
  </sheetViews>
  <sheetFormatPr defaultColWidth="11.54296875" defaultRowHeight="14.5" outlineLevelCol="1" x14ac:dyDescent="0.35"/>
  <cols>
    <col min="1" max="3" width="3.81640625" style="5" customWidth="1"/>
    <col min="4" max="4" width="25.81640625" style="5" customWidth="1"/>
    <col min="5" max="5" width="15.6328125" style="5" customWidth="1"/>
    <col min="6" max="7" width="15.81640625" style="5" customWidth="1"/>
    <col min="8" max="8" width="8.81640625" style="5" customWidth="1"/>
    <col min="9" max="18" width="8.81640625" style="5" customWidth="1" outlineLevel="1"/>
    <col min="19" max="16384" width="11.54296875" style="5"/>
  </cols>
  <sheetData>
    <row r="1" spans="2:18" s="95" customFormat="1" ht="25" customHeight="1" x14ac:dyDescent="0.35">
      <c r="B1" s="94" t="s">
        <v>268</v>
      </c>
    </row>
    <row r="3" spans="2:18" ht="15" thickBot="1" x14ac:dyDescent="0.4">
      <c r="D3" s="38" t="str">
        <f>JESA_UploadTable(B1,D4:R50)</f>
        <v>granulation_production Saved! @08:45:45</v>
      </c>
    </row>
    <row r="4" spans="2:18" ht="30" customHeight="1" thickBot="1" x14ac:dyDescent="0.4">
      <c r="D4" s="100" t="s">
        <v>25</v>
      </c>
      <c r="E4" s="100" t="s">
        <v>244</v>
      </c>
      <c r="F4" s="100" t="s">
        <v>24</v>
      </c>
      <c r="G4" s="96" t="s">
        <v>17</v>
      </c>
      <c r="H4" s="102" t="s">
        <v>37</v>
      </c>
      <c r="I4" s="102" t="s">
        <v>38</v>
      </c>
      <c r="J4" s="102" t="s">
        <v>39</v>
      </c>
      <c r="K4" s="102" t="s">
        <v>40</v>
      </c>
      <c r="L4" s="102" t="s">
        <v>41</v>
      </c>
      <c r="M4" s="102" t="s">
        <v>42</v>
      </c>
      <c r="N4" s="102" t="s">
        <v>43</v>
      </c>
      <c r="O4" s="102" t="s">
        <v>44</v>
      </c>
      <c r="P4" s="102" t="s">
        <v>45</v>
      </c>
      <c r="Q4" s="102" t="s">
        <v>46</v>
      </c>
      <c r="R4" s="102" t="s">
        <v>47</v>
      </c>
    </row>
    <row r="5" spans="2:18" x14ac:dyDescent="0.35">
      <c r="D5" s="8" t="s">
        <v>258</v>
      </c>
      <c r="E5" s="8" t="s">
        <v>140</v>
      </c>
      <c r="F5" s="8" t="s">
        <v>83</v>
      </c>
      <c r="G5" s="8" t="s">
        <v>58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x14ac:dyDescent="0.35">
      <c r="D6" s="9" t="s">
        <v>258</v>
      </c>
      <c r="E6" s="9" t="s">
        <v>140</v>
      </c>
      <c r="F6" s="9" t="s">
        <v>84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x14ac:dyDescent="0.35">
      <c r="D7" s="9"/>
      <c r="E7" s="9"/>
      <c r="F7" s="9"/>
      <c r="G7" s="9"/>
      <c r="H7" s="18"/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</row>
    <row r="8" spans="2:18" x14ac:dyDescent="0.35">
      <c r="D8" s="9"/>
      <c r="E8" s="9"/>
      <c r="F8" s="9"/>
      <c r="G8" s="9"/>
      <c r="H8" s="18"/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</row>
    <row r="9" spans="2:18" x14ac:dyDescent="0.35">
      <c r="D9" s="9"/>
      <c r="E9" s="9"/>
      <c r="F9" s="9"/>
      <c r="G9" s="9"/>
      <c r="H9" s="18"/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</row>
    <row r="10" spans="2:18" x14ac:dyDescent="0.35">
      <c r="D10" s="9"/>
      <c r="E10" s="9"/>
      <c r="F10" s="9"/>
      <c r="G10" s="9"/>
      <c r="H10" s="18"/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</row>
    <row r="11" spans="2:18" x14ac:dyDescent="0.35">
      <c r="D11" s="9"/>
      <c r="E11" s="9"/>
      <c r="F11" s="9"/>
      <c r="G11" s="9"/>
      <c r="H11" s="18"/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</row>
    <row r="12" spans="2:18" x14ac:dyDescent="0.35">
      <c r="D12" s="9"/>
      <c r="E12" s="9"/>
      <c r="F12" s="9"/>
      <c r="G12" s="9"/>
      <c r="H12" s="18"/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</row>
    <row r="13" spans="2:18" x14ac:dyDescent="0.35">
      <c r="D13" s="9"/>
      <c r="E13" s="9"/>
      <c r="F13" s="9"/>
      <c r="G13" s="9"/>
      <c r="H13" s="18"/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</row>
    <row r="14" spans="2:18" x14ac:dyDescent="0.35">
      <c r="D14" s="9"/>
      <c r="E14" s="9"/>
      <c r="F14" s="9"/>
      <c r="G14" s="9"/>
      <c r="H14" s="18"/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</row>
    <row r="15" spans="2:18" x14ac:dyDescent="0.35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35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35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35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35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35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35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5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35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35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35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35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35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35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35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35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35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35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35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35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35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35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35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5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35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35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5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5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5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5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5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5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5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5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5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4">
      <c r="D50" s="10"/>
      <c r="E50" s="10"/>
      <c r="F50" s="10"/>
      <c r="G50" s="10"/>
      <c r="H50" s="53"/>
      <c r="I50" s="53" t="str">
        <f t="shared" si="2"/>
        <v/>
      </c>
      <c r="J50" s="53" t="str">
        <f t="shared" si="2"/>
        <v/>
      </c>
      <c r="K50" s="53" t="str">
        <f t="shared" si="2"/>
        <v/>
      </c>
      <c r="L50" s="53" t="str">
        <f t="shared" si="2"/>
        <v/>
      </c>
      <c r="M50" s="53" t="str">
        <f t="shared" si="2"/>
        <v/>
      </c>
      <c r="N50" s="53" t="str">
        <f t="shared" si="2"/>
        <v/>
      </c>
      <c r="O50" s="53" t="str">
        <f t="shared" si="2"/>
        <v/>
      </c>
      <c r="P50" s="53" t="str">
        <f t="shared" si="2"/>
        <v/>
      </c>
      <c r="Q50" s="53" t="str">
        <f t="shared" si="2"/>
        <v/>
      </c>
      <c r="R50" s="53" t="str">
        <f t="shared" si="2"/>
        <v/>
      </c>
    </row>
    <row r="51" spans="4:18" x14ac:dyDescent="0.3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GranulationProcess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T51"/>
  <sheetViews>
    <sheetView workbookViewId="0">
      <selection activeCell="H4" sqref="H4"/>
    </sheetView>
  </sheetViews>
  <sheetFormatPr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5.81640625" style="5" customWidth="1"/>
    <col min="6" max="9" width="15.81640625" style="5" customWidth="1"/>
    <col min="10" max="10" width="8.81640625" style="5" customWidth="1"/>
    <col min="11" max="20" width="8.81640625" style="5" customWidth="1" outlineLevel="1"/>
    <col min="21" max="16384" width="11.54296875" style="5"/>
  </cols>
  <sheetData>
    <row r="1" spans="2:20" s="95" customFormat="1" ht="25" customHeight="1" x14ac:dyDescent="0.35">
      <c r="B1" s="94" t="s">
        <v>269</v>
      </c>
    </row>
    <row r="3" spans="2:20" ht="15" thickBot="1" x14ac:dyDescent="0.4">
      <c r="D3" s="38" t="str">
        <f>JESA_UploadTable(B1,D4:T50)</f>
        <v>granulation_opex Saved! @08:24:18</v>
      </c>
      <c r="E3" s="38"/>
    </row>
    <row r="4" spans="2:20" ht="30" customHeight="1" thickBot="1" x14ac:dyDescent="0.4">
      <c r="D4" s="100" t="s">
        <v>8</v>
      </c>
      <c r="E4" s="100" t="s">
        <v>25</v>
      </c>
      <c r="F4" s="96" t="s">
        <v>183</v>
      </c>
      <c r="G4" s="100" t="s">
        <v>24</v>
      </c>
      <c r="H4" s="100" t="s">
        <v>12</v>
      </c>
      <c r="I4" s="96" t="s">
        <v>17</v>
      </c>
      <c r="J4" s="102" t="s">
        <v>37</v>
      </c>
      <c r="K4" s="102" t="s">
        <v>38</v>
      </c>
      <c r="L4" s="102" t="s">
        <v>39</v>
      </c>
      <c r="M4" s="102" t="s">
        <v>40</v>
      </c>
      <c r="N4" s="102" t="s">
        <v>41</v>
      </c>
      <c r="O4" s="102" t="s">
        <v>42</v>
      </c>
      <c r="P4" s="102" t="s">
        <v>43</v>
      </c>
      <c r="Q4" s="102" t="s">
        <v>44</v>
      </c>
      <c r="R4" s="102" t="s">
        <v>45</v>
      </c>
      <c r="S4" s="102" t="s">
        <v>46</v>
      </c>
      <c r="T4" s="102" t="s">
        <v>47</v>
      </c>
    </row>
    <row r="5" spans="2:20" x14ac:dyDescent="0.35">
      <c r="D5" s="8" t="s">
        <v>26</v>
      </c>
      <c r="E5" s="8" t="s">
        <v>258</v>
      </c>
      <c r="F5" s="14">
        <v>250</v>
      </c>
      <c r="G5" s="8" t="s">
        <v>83</v>
      </c>
      <c r="H5" s="8" t="s">
        <v>140</v>
      </c>
      <c r="I5" s="8" t="s">
        <v>62</v>
      </c>
      <c r="J5" s="17">
        <v>4</v>
      </c>
      <c r="K5" s="17">
        <f t="shared" ref="K5:T20" si="0">IF(J5="","",J5)</f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  <c r="T5" s="17">
        <f t="shared" si="0"/>
        <v>4</v>
      </c>
    </row>
    <row r="6" spans="2:20" x14ac:dyDescent="0.35">
      <c r="D6" s="9" t="s">
        <v>27</v>
      </c>
      <c r="E6" s="9" t="s">
        <v>258</v>
      </c>
      <c r="F6" s="15">
        <v>500</v>
      </c>
      <c r="G6" s="9" t="s">
        <v>84</v>
      </c>
      <c r="H6" s="9" t="s">
        <v>140</v>
      </c>
      <c r="I6" s="9" t="s">
        <v>66</v>
      </c>
      <c r="J6" s="18"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  <c r="T6" s="18">
        <f t="shared" si="0"/>
        <v>6</v>
      </c>
    </row>
    <row r="7" spans="2:20" x14ac:dyDescent="0.35">
      <c r="D7" s="9" t="s">
        <v>26</v>
      </c>
      <c r="E7" s="9" t="s">
        <v>258</v>
      </c>
      <c r="F7" s="15">
        <v>250</v>
      </c>
      <c r="G7" s="9" t="s">
        <v>84</v>
      </c>
      <c r="H7" s="9" t="s">
        <v>140</v>
      </c>
      <c r="I7" s="9" t="s">
        <v>62</v>
      </c>
      <c r="J7" s="18">
        <v>5</v>
      </c>
      <c r="K7" s="18">
        <f t="shared" si="0"/>
        <v>5</v>
      </c>
      <c r="L7" s="18">
        <f t="shared" si="0"/>
        <v>5</v>
      </c>
      <c r="M7" s="18">
        <f t="shared" si="0"/>
        <v>5</v>
      </c>
      <c r="N7" s="18">
        <f t="shared" si="0"/>
        <v>5</v>
      </c>
      <c r="O7" s="18">
        <f t="shared" si="0"/>
        <v>5</v>
      </c>
      <c r="P7" s="18">
        <f t="shared" si="0"/>
        <v>5</v>
      </c>
      <c r="Q7" s="18">
        <f t="shared" si="0"/>
        <v>5</v>
      </c>
      <c r="R7" s="18">
        <f t="shared" si="0"/>
        <v>5</v>
      </c>
      <c r="S7" s="18">
        <f t="shared" si="0"/>
        <v>5</v>
      </c>
      <c r="T7" s="18">
        <f t="shared" si="0"/>
        <v>5</v>
      </c>
    </row>
    <row r="8" spans="2:20" x14ac:dyDescent="0.35">
      <c r="D8" s="9" t="s">
        <v>27</v>
      </c>
      <c r="E8" s="9" t="s">
        <v>258</v>
      </c>
      <c r="F8" s="15">
        <v>500</v>
      </c>
      <c r="G8" s="9" t="s">
        <v>83</v>
      </c>
      <c r="H8" s="9" t="s">
        <v>140</v>
      </c>
      <c r="I8" s="9" t="s">
        <v>66</v>
      </c>
      <c r="J8" s="18">
        <v>7</v>
      </c>
      <c r="K8" s="18">
        <f t="shared" si="0"/>
        <v>7</v>
      </c>
      <c r="L8" s="18">
        <f t="shared" si="0"/>
        <v>7</v>
      </c>
      <c r="M8" s="18">
        <f t="shared" si="0"/>
        <v>7</v>
      </c>
      <c r="N8" s="18">
        <f t="shared" si="0"/>
        <v>7</v>
      </c>
      <c r="O8" s="18">
        <f t="shared" si="0"/>
        <v>7</v>
      </c>
      <c r="P8" s="18">
        <f t="shared" si="0"/>
        <v>7</v>
      </c>
      <c r="Q8" s="18">
        <f t="shared" si="0"/>
        <v>7</v>
      </c>
      <c r="R8" s="18">
        <f t="shared" si="0"/>
        <v>7</v>
      </c>
      <c r="S8" s="18">
        <f t="shared" si="0"/>
        <v>7</v>
      </c>
      <c r="T8" s="18">
        <f t="shared" si="0"/>
        <v>7</v>
      </c>
    </row>
    <row r="9" spans="2:20" x14ac:dyDescent="0.35">
      <c r="D9" s="9"/>
      <c r="E9" s="9"/>
      <c r="F9" s="15"/>
      <c r="G9" s="9"/>
      <c r="H9" s="9"/>
      <c r="I9" s="9"/>
      <c r="J9" s="18"/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  <c r="T9" s="18" t="str">
        <f t="shared" si="0"/>
        <v/>
      </c>
    </row>
    <row r="10" spans="2:20" x14ac:dyDescent="0.35">
      <c r="D10" s="9"/>
      <c r="E10" s="9"/>
      <c r="F10" s="15"/>
      <c r="G10" s="9"/>
      <c r="H10" s="9"/>
      <c r="I10" s="9"/>
      <c r="J10" s="18"/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  <c r="T10" s="18" t="str">
        <f t="shared" si="0"/>
        <v/>
      </c>
    </row>
    <row r="11" spans="2:20" x14ac:dyDescent="0.35">
      <c r="D11" s="9"/>
      <c r="E11" s="9"/>
      <c r="F11" s="15"/>
      <c r="G11" s="9"/>
      <c r="H11" s="9"/>
      <c r="I11" s="9"/>
      <c r="J11" s="18"/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  <c r="T11" s="18" t="str">
        <f t="shared" si="0"/>
        <v/>
      </c>
    </row>
    <row r="12" spans="2:20" x14ac:dyDescent="0.35">
      <c r="D12" s="9"/>
      <c r="E12" s="9"/>
      <c r="F12" s="15"/>
      <c r="G12" s="9"/>
      <c r="H12" s="9"/>
      <c r="I12" s="9"/>
      <c r="J12" s="18"/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  <c r="T12" s="18" t="str">
        <f t="shared" si="0"/>
        <v/>
      </c>
    </row>
    <row r="13" spans="2:20" x14ac:dyDescent="0.35">
      <c r="D13" s="9"/>
      <c r="E13" s="9"/>
      <c r="F13" s="15"/>
      <c r="G13" s="9"/>
      <c r="H13" s="9"/>
      <c r="I13" s="9"/>
      <c r="J13" s="18"/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  <c r="T13" s="18" t="str">
        <f t="shared" si="0"/>
        <v/>
      </c>
    </row>
    <row r="14" spans="2:20" x14ac:dyDescent="0.35">
      <c r="D14" s="9"/>
      <c r="E14" s="9"/>
      <c r="F14" s="15"/>
      <c r="G14" s="9"/>
      <c r="H14" s="9"/>
      <c r="I14" s="9"/>
      <c r="J14" s="18"/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  <c r="T14" s="18" t="str">
        <f t="shared" si="0"/>
        <v/>
      </c>
    </row>
    <row r="15" spans="2:20" x14ac:dyDescent="0.35">
      <c r="D15" s="9"/>
      <c r="E15" s="9"/>
      <c r="F15" s="15"/>
      <c r="G15" s="9"/>
      <c r="H15" s="9"/>
      <c r="I15" s="9"/>
      <c r="J15" s="18"/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  <c r="T15" s="18" t="str">
        <f t="shared" si="0"/>
        <v/>
      </c>
    </row>
    <row r="16" spans="2:20" x14ac:dyDescent="0.35">
      <c r="D16" s="9"/>
      <c r="E16" s="9"/>
      <c r="F16" s="15"/>
      <c r="G16" s="9"/>
      <c r="H16" s="9"/>
      <c r="I16" s="9"/>
      <c r="J16" s="18"/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  <c r="T16" s="18" t="str">
        <f t="shared" si="0"/>
        <v/>
      </c>
    </row>
    <row r="17" spans="4:20" x14ac:dyDescent="0.35">
      <c r="D17" s="9"/>
      <c r="E17" s="9"/>
      <c r="F17" s="15"/>
      <c r="G17" s="9"/>
      <c r="H17" s="9"/>
      <c r="I17" s="9"/>
      <c r="J17" s="18"/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  <c r="T17" s="18" t="str">
        <f t="shared" si="0"/>
        <v/>
      </c>
    </row>
    <row r="18" spans="4:20" x14ac:dyDescent="0.35">
      <c r="D18" s="9"/>
      <c r="E18" s="9"/>
      <c r="F18" s="15"/>
      <c r="G18" s="9"/>
      <c r="H18" s="9"/>
      <c r="I18" s="9"/>
      <c r="J18" s="18"/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  <c r="T18" s="18" t="str">
        <f t="shared" si="0"/>
        <v/>
      </c>
    </row>
    <row r="19" spans="4:20" x14ac:dyDescent="0.35">
      <c r="D19" s="9"/>
      <c r="E19" s="9"/>
      <c r="F19" s="15"/>
      <c r="G19" s="9"/>
      <c r="H19" s="9"/>
      <c r="I19" s="9"/>
      <c r="J19" s="18"/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  <c r="T19" s="18" t="str">
        <f t="shared" si="0"/>
        <v/>
      </c>
    </row>
    <row r="20" spans="4:20" x14ac:dyDescent="0.35">
      <c r="D20" s="9"/>
      <c r="E20" s="9"/>
      <c r="F20" s="15"/>
      <c r="G20" s="9"/>
      <c r="H20" s="9"/>
      <c r="I20" s="9"/>
      <c r="J20" s="18"/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  <c r="T20" s="18" t="str">
        <f t="shared" si="0"/>
        <v/>
      </c>
    </row>
    <row r="21" spans="4:20" x14ac:dyDescent="0.35">
      <c r="D21" s="9"/>
      <c r="E21" s="9"/>
      <c r="F21" s="15"/>
      <c r="G21" s="9"/>
      <c r="H21" s="9"/>
      <c r="I21" s="9"/>
      <c r="J21" s="18"/>
      <c r="K21" s="18" t="str">
        <f t="shared" ref="K21:T36" si="1">IF(J21="","",J21)</f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  <c r="T21" s="18" t="str">
        <f t="shared" si="1"/>
        <v/>
      </c>
    </row>
    <row r="22" spans="4:20" x14ac:dyDescent="0.35">
      <c r="D22" s="9"/>
      <c r="E22" s="9"/>
      <c r="F22" s="15"/>
      <c r="G22" s="9"/>
      <c r="H22" s="9"/>
      <c r="I22" s="9"/>
      <c r="J22" s="18"/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  <c r="T22" s="18" t="str">
        <f t="shared" si="1"/>
        <v/>
      </c>
    </row>
    <row r="23" spans="4:20" x14ac:dyDescent="0.35">
      <c r="D23" s="9"/>
      <c r="E23" s="9"/>
      <c r="F23" s="15"/>
      <c r="G23" s="9"/>
      <c r="H23" s="9"/>
      <c r="I23" s="9"/>
      <c r="J23" s="18"/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  <c r="T23" s="18" t="str">
        <f t="shared" si="1"/>
        <v/>
      </c>
    </row>
    <row r="24" spans="4:20" x14ac:dyDescent="0.35">
      <c r="D24" s="9"/>
      <c r="E24" s="9"/>
      <c r="F24" s="15"/>
      <c r="G24" s="9"/>
      <c r="H24" s="9"/>
      <c r="I24" s="9"/>
      <c r="J24" s="18"/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  <c r="T24" s="18" t="str">
        <f t="shared" si="1"/>
        <v/>
      </c>
    </row>
    <row r="25" spans="4:20" x14ac:dyDescent="0.35">
      <c r="D25" s="9"/>
      <c r="E25" s="9"/>
      <c r="F25" s="15"/>
      <c r="G25" s="9"/>
      <c r="H25" s="9"/>
      <c r="I25" s="9"/>
      <c r="J25" s="18"/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  <c r="T25" s="18" t="str">
        <f t="shared" si="1"/>
        <v/>
      </c>
    </row>
    <row r="26" spans="4:20" x14ac:dyDescent="0.35">
      <c r="D26" s="9"/>
      <c r="E26" s="9"/>
      <c r="F26" s="15"/>
      <c r="G26" s="9"/>
      <c r="H26" s="9"/>
      <c r="I26" s="9"/>
      <c r="J26" s="18"/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  <c r="T26" s="18" t="str">
        <f t="shared" si="1"/>
        <v/>
      </c>
    </row>
    <row r="27" spans="4:20" x14ac:dyDescent="0.35">
      <c r="D27" s="9"/>
      <c r="E27" s="9"/>
      <c r="F27" s="15"/>
      <c r="G27" s="9"/>
      <c r="H27" s="9"/>
      <c r="I27" s="9"/>
      <c r="J27" s="18"/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  <c r="T27" s="18" t="str">
        <f t="shared" si="1"/>
        <v/>
      </c>
    </row>
    <row r="28" spans="4:20" x14ac:dyDescent="0.35">
      <c r="D28" s="9"/>
      <c r="E28" s="9"/>
      <c r="F28" s="15"/>
      <c r="G28" s="9"/>
      <c r="H28" s="9"/>
      <c r="I28" s="9"/>
      <c r="J28" s="18"/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  <c r="T28" s="18" t="str">
        <f t="shared" si="1"/>
        <v/>
      </c>
    </row>
    <row r="29" spans="4:20" x14ac:dyDescent="0.35">
      <c r="D29" s="9"/>
      <c r="E29" s="9"/>
      <c r="F29" s="15"/>
      <c r="G29" s="9"/>
      <c r="H29" s="9"/>
      <c r="I29" s="9"/>
      <c r="J29" s="18"/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  <c r="T29" s="18" t="str">
        <f t="shared" si="1"/>
        <v/>
      </c>
    </row>
    <row r="30" spans="4:20" x14ac:dyDescent="0.35">
      <c r="D30" s="9"/>
      <c r="E30" s="9"/>
      <c r="F30" s="15"/>
      <c r="G30" s="9"/>
      <c r="H30" s="9"/>
      <c r="I30" s="9"/>
      <c r="J30" s="18"/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  <c r="T30" s="18" t="str">
        <f t="shared" si="1"/>
        <v/>
      </c>
    </row>
    <row r="31" spans="4:20" x14ac:dyDescent="0.35">
      <c r="D31" s="9"/>
      <c r="E31" s="9"/>
      <c r="F31" s="15"/>
      <c r="G31" s="9"/>
      <c r="H31" s="9"/>
      <c r="I31" s="9"/>
      <c r="J31" s="18"/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  <c r="T31" s="18" t="str">
        <f t="shared" si="1"/>
        <v/>
      </c>
    </row>
    <row r="32" spans="4:20" x14ac:dyDescent="0.35">
      <c r="D32" s="9"/>
      <c r="E32" s="9"/>
      <c r="F32" s="15"/>
      <c r="G32" s="9"/>
      <c r="H32" s="9"/>
      <c r="I32" s="9"/>
      <c r="J32" s="18"/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  <c r="T32" s="18" t="str">
        <f t="shared" si="1"/>
        <v/>
      </c>
    </row>
    <row r="33" spans="4:20" x14ac:dyDescent="0.35">
      <c r="D33" s="9"/>
      <c r="E33" s="9"/>
      <c r="F33" s="15"/>
      <c r="G33" s="9"/>
      <c r="H33" s="9"/>
      <c r="I33" s="9"/>
      <c r="J33" s="18"/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  <c r="T33" s="18" t="str">
        <f t="shared" si="1"/>
        <v/>
      </c>
    </row>
    <row r="34" spans="4:20" x14ac:dyDescent="0.35">
      <c r="D34" s="9"/>
      <c r="E34" s="9"/>
      <c r="F34" s="15"/>
      <c r="G34" s="9"/>
      <c r="H34" s="9"/>
      <c r="I34" s="9"/>
      <c r="J34" s="18"/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  <c r="T34" s="18" t="str">
        <f t="shared" si="1"/>
        <v/>
      </c>
    </row>
    <row r="35" spans="4:20" x14ac:dyDescent="0.35">
      <c r="D35" s="9"/>
      <c r="E35" s="9"/>
      <c r="F35" s="15"/>
      <c r="G35" s="9"/>
      <c r="H35" s="9"/>
      <c r="I35" s="9"/>
      <c r="J35" s="18"/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  <c r="T35" s="18" t="str">
        <f t="shared" si="1"/>
        <v/>
      </c>
    </row>
    <row r="36" spans="4:20" x14ac:dyDescent="0.35">
      <c r="D36" s="9"/>
      <c r="E36" s="9"/>
      <c r="F36" s="15"/>
      <c r="G36" s="9"/>
      <c r="H36" s="9"/>
      <c r="I36" s="9"/>
      <c r="J36" s="18"/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  <c r="T36" s="18" t="str">
        <f t="shared" si="1"/>
        <v/>
      </c>
    </row>
    <row r="37" spans="4:20" x14ac:dyDescent="0.35">
      <c r="D37" s="9"/>
      <c r="E37" s="9"/>
      <c r="F37" s="15"/>
      <c r="G37" s="9"/>
      <c r="H37" s="9"/>
      <c r="I37" s="9"/>
      <c r="J37" s="18"/>
      <c r="K37" s="18" t="str">
        <f t="shared" ref="K37:T50" si="2">IF(J37="","",J37)</f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</row>
    <row r="38" spans="4:20" x14ac:dyDescent="0.35">
      <c r="D38" s="9"/>
      <c r="E38" s="9"/>
      <c r="F38" s="15"/>
      <c r="G38" s="9"/>
      <c r="H38" s="9"/>
      <c r="I38" s="9"/>
      <c r="J38" s="18"/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  <c r="T38" s="18" t="str">
        <f t="shared" si="2"/>
        <v/>
      </c>
    </row>
    <row r="39" spans="4:20" x14ac:dyDescent="0.35">
      <c r="D39" s="9"/>
      <c r="E39" s="9"/>
      <c r="F39" s="15"/>
      <c r="G39" s="9"/>
      <c r="H39" s="9"/>
      <c r="I39" s="9"/>
      <c r="J39" s="18"/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  <c r="T39" s="18" t="str">
        <f t="shared" si="2"/>
        <v/>
      </c>
    </row>
    <row r="40" spans="4:20" x14ac:dyDescent="0.35">
      <c r="D40" s="9"/>
      <c r="E40" s="9"/>
      <c r="F40" s="15"/>
      <c r="G40" s="9"/>
      <c r="H40" s="9"/>
      <c r="I40" s="9"/>
      <c r="J40" s="18"/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  <c r="T40" s="18" t="str">
        <f t="shared" si="2"/>
        <v/>
      </c>
    </row>
    <row r="41" spans="4:20" x14ac:dyDescent="0.35">
      <c r="D41" s="9"/>
      <c r="E41" s="9"/>
      <c r="F41" s="15"/>
      <c r="G41" s="9"/>
      <c r="H41" s="9"/>
      <c r="I41" s="9"/>
      <c r="J41" s="18"/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  <c r="T41" s="18" t="str">
        <f t="shared" si="2"/>
        <v/>
      </c>
    </row>
    <row r="42" spans="4:20" x14ac:dyDescent="0.35">
      <c r="D42" s="9"/>
      <c r="E42" s="9"/>
      <c r="F42" s="15"/>
      <c r="G42" s="9"/>
      <c r="H42" s="9"/>
      <c r="I42" s="9"/>
      <c r="J42" s="18"/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  <c r="T42" s="18" t="str">
        <f t="shared" si="2"/>
        <v/>
      </c>
    </row>
    <row r="43" spans="4:20" x14ac:dyDescent="0.35">
      <c r="D43" s="9"/>
      <c r="E43" s="9"/>
      <c r="F43" s="15"/>
      <c r="G43" s="9"/>
      <c r="H43" s="9"/>
      <c r="I43" s="9"/>
      <c r="J43" s="18"/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  <c r="T43" s="18" t="str">
        <f t="shared" si="2"/>
        <v/>
      </c>
    </row>
    <row r="44" spans="4:20" x14ac:dyDescent="0.35">
      <c r="D44" s="9"/>
      <c r="E44" s="9"/>
      <c r="F44" s="15"/>
      <c r="G44" s="9"/>
      <c r="H44" s="9"/>
      <c r="I44" s="9"/>
      <c r="J44" s="18"/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  <c r="T44" s="18" t="str">
        <f t="shared" si="2"/>
        <v/>
      </c>
    </row>
    <row r="45" spans="4:20" x14ac:dyDescent="0.35">
      <c r="D45" s="9"/>
      <c r="E45" s="9"/>
      <c r="F45" s="15"/>
      <c r="G45" s="9"/>
      <c r="H45" s="9"/>
      <c r="I45" s="9"/>
      <c r="J45" s="18"/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  <c r="T45" s="18" t="str">
        <f t="shared" si="2"/>
        <v/>
      </c>
    </row>
    <row r="46" spans="4:20" x14ac:dyDescent="0.35">
      <c r="D46" s="9"/>
      <c r="E46" s="9"/>
      <c r="F46" s="15"/>
      <c r="G46" s="9"/>
      <c r="H46" s="9"/>
      <c r="I46" s="9"/>
      <c r="J46" s="18"/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  <c r="T46" s="18" t="str">
        <f t="shared" si="2"/>
        <v/>
      </c>
    </row>
    <row r="47" spans="4:20" x14ac:dyDescent="0.35">
      <c r="D47" s="9"/>
      <c r="E47" s="9"/>
      <c r="F47" s="15"/>
      <c r="G47" s="9"/>
      <c r="H47" s="9"/>
      <c r="I47" s="9"/>
      <c r="J47" s="18"/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  <c r="T47" s="18" t="str">
        <f t="shared" si="2"/>
        <v/>
      </c>
    </row>
    <row r="48" spans="4:20" x14ac:dyDescent="0.35">
      <c r="D48" s="9"/>
      <c r="E48" s="9"/>
      <c r="F48" s="15"/>
      <c r="G48" s="9"/>
      <c r="H48" s="9"/>
      <c r="I48" s="9"/>
      <c r="J48" s="18"/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  <c r="T48" s="18" t="str">
        <f t="shared" si="2"/>
        <v/>
      </c>
    </row>
    <row r="49" spans="4:20" x14ac:dyDescent="0.35">
      <c r="D49" s="9"/>
      <c r="E49" s="9"/>
      <c r="F49" s="15"/>
      <c r="G49" s="9"/>
      <c r="H49" s="9"/>
      <c r="I49" s="9"/>
      <c r="J49" s="18"/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  <c r="T49" s="18" t="str">
        <f t="shared" si="2"/>
        <v/>
      </c>
    </row>
    <row r="50" spans="4:20" ht="15" thickBot="1" x14ac:dyDescent="0.4">
      <c r="D50" s="10"/>
      <c r="E50" s="10"/>
      <c r="F50" s="16"/>
      <c r="G50" s="10"/>
      <c r="H50" s="10"/>
      <c r="I50" s="10"/>
      <c r="J50" s="53"/>
      <c r="K50" s="53" t="str">
        <f t="shared" si="2"/>
        <v/>
      </c>
      <c r="L50" s="53" t="str">
        <f t="shared" si="2"/>
        <v/>
      </c>
      <c r="M50" s="53" t="str">
        <f t="shared" si="2"/>
        <v/>
      </c>
      <c r="N50" s="53" t="str">
        <f t="shared" si="2"/>
        <v/>
      </c>
      <c r="O50" s="53" t="str">
        <f t="shared" si="2"/>
        <v/>
      </c>
      <c r="P50" s="53" t="str">
        <f t="shared" si="2"/>
        <v/>
      </c>
      <c r="Q50" s="53" t="str">
        <f t="shared" si="2"/>
        <v/>
      </c>
      <c r="R50" s="53" t="str">
        <f t="shared" si="2"/>
        <v/>
      </c>
      <c r="S50" s="53" t="str">
        <f t="shared" si="2"/>
        <v/>
      </c>
      <c r="T50" s="53" t="str">
        <f t="shared" si="2"/>
        <v/>
      </c>
    </row>
    <row r="51" spans="4:20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</row>
  </sheetData>
  <dataValidations count="6">
    <dataValidation type="list" allowBlank="1" showInputMessage="1" showErrorMessage="1" sqref="E5:E50">
      <formula1>GranulationProcess</formula1>
    </dataValidation>
    <dataValidation type="list" allowBlank="1" showInputMessage="1" showErrorMessage="1" sqref="I5:I50">
      <formula1>Unit</formula1>
    </dataValidation>
    <dataValidation type="list" allowBlank="1" showInputMessage="1" showErrorMessage="1" sqref="H5:H50">
      <formula1>OPEX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G5:G50">
      <formula1>GranulProducts</formula1>
    </dataValidation>
    <dataValidation type="list" allowBlank="1" showInputMessage="1" showErrorMessage="1" sqref="F5:F50">
      <formula1>GranulCapacities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S51"/>
  <sheetViews>
    <sheetView topLeftCell="D2" zoomScaleNormal="100" workbookViewId="0">
      <selection activeCell="D2" sqref="D2"/>
    </sheetView>
  </sheetViews>
  <sheetFormatPr defaultColWidth="11.54296875" defaultRowHeight="14.5" x14ac:dyDescent="0.35"/>
  <cols>
    <col min="1" max="3" width="3.81640625" style="5" customWidth="1"/>
    <col min="4" max="4" width="15.81640625" style="5" customWidth="1"/>
    <col min="5" max="5" width="25.81640625" style="5" customWidth="1"/>
    <col min="6" max="9" width="15.81640625" style="5" customWidth="1"/>
    <col min="10" max="19" width="8.81640625" style="5" customWidth="1"/>
    <col min="20" max="16384" width="11.54296875" style="5"/>
  </cols>
  <sheetData>
    <row r="1" spans="2:19" s="95" customFormat="1" ht="25" customHeight="1" x14ac:dyDescent="0.35">
      <c r="B1" s="94" t="s">
        <v>270</v>
      </c>
    </row>
    <row r="3" spans="2:19" ht="15" thickBot="1" x14ac:dyDescent="0.4">
      <c r="D3" s="38" t="str">
        <f>JESA_UploadTable(B1,D4:S50)</f>
        <v>granulation_capex Saved! @08:41:51</v>
      </c>
    </row>
    <row r="4" spans="2:19" ht="30" customHeight="1" thickBot="1" x14ac:dyDescent="0.4">
      <c r="D4" s="100" t="s">
        <v>8</v>
      </c>
      <c r="E4" s="100" t="s">
        <v>25</v>
      </c>
      <c r="F4" s="96" t="s">
        <v>183</v>
      </c>
      <c r="G4" s="100" t="s">
        <v>12</v>
      </c>
      <c r="H4" s="96" t="s">
        <v>69</v>
      </c>
      <c r="I4" s="96" t="s">
        <v>149</v>
      </c>
      <c r="J4" s="102" t="s">
        <v>72</v>
      </c>
      <c r="K4" s="102" t="s">
        <v>73</v>
      </c>
      <c r="L4" s="102" t="s">
        <v>74</v>
      </c>
      <c r="M4" s="102" t="s">
        <v>75</v>
      </c>
      <c r="N4" s="102" t="s">
        <v>76</v>
      </c>
      <c r="O4" s="102" t="s">
        <v>77</v>
      </c>
      <c r="P4" s="102" t="s">
        <v>78</v>
      </c>
      <c r="Q4" s="102" t="s">
        <v>79</v>
      </c>
      <c r="R4" s="102" t="s">
        <v>80</v>
      </c>
      <c r="S4" s="102" t="s">
        <v>81</v>
      </c>
    </row>
    <row r="5" spans="2:19" ht="15" thickBot="1" x14ac:dyDescent="0.4">
      <c r="D5" s="8" t="s">
        <v>26</v>
      </c>
      <c r="E5" s="8" t="s">
        <v>258</v>
      </c>
      <c r="F5" s="14">
        <v>500</v>
      </c>
      <c r="G5" s="8" t="s">
        <v>22</v>
      </c>
      <c r="H5" s="8" t="s">
        <v>70</v>
      </c>
      <c r="I5" s="17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5">
      <c r="D6" s="9" t="s">
        <v>26</v>
      </c>
      <c r="E6" s="9" t="s">
        <v>258</v>
      </c>
      <c r="F6" s="15">
        <v>250</v>
      </c>
      <c r="G6" s="9" t="s">
        <v>262</v>
      </c>
      <c r="H6" s="9" t="s">
        <v>70</v>
      </c>
      <c r="I6" s="18">
        <v>1000000</v>
      </c>
      <c r="J6" s="17">
        <v>0</v>
      </c>
      <c r="K6" s="17">
        <v>0</v>
      </c>
      <c r="L6" s="17">
        <v>1.5</v>
      </c>
      <c r="M6" s="17">
        <v>1</v>
      </c>
      <c r="N6" s="17">
        <v>0.75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</row>
    <row r="7" spans="2:19" x14ac:dyDescent="0.35">
      <c r="D7" s="9"/>
      <c r="E7" s="9"/>
      <c r="F7" s="15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5">
      <c r="D8" s="9"/>
      <c r="E8" s="9"/>
      <c r="F8" s="15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5">
      <c r="D9" s="9"/>
      <c r="E9" s="9"/>
      <c r="F9" s="15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5">
      <c r="D10" s="9"/>
      <c r="E10" s="9"/>
      <c r="F10" s="15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5">
      <c r="D11" s="9"/>
      <c r="E11" s="9"/>
      <c r="F11" s="15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5">
      <c r="D12" s="9"/>
      <c r="E12" s="9"/>
      <c r="F12" s="15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5">
      <c r="D13" s="9"/>
      <c r="E13" s="9"/>
      <c r="F13" s="15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5">
      <c r="D14" s="9"/>
      <c r="E14" s="9"/>
      <c r="F14" s="15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5">
      <c r="D15" s="9"/>
      <c r="E15" s="9"/>
      <c r="F15" s="15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5">
      <c r="D16" s="9"/>
      <c r="E16" s="9"/>
      <c r="F16" s="15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5">
      <c r="D17" s="9"/>
      <c r="E17" s="9"/>
      <c r="F17" s="15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5">
      <c r="D18" s="9"/>
      <c r="E18" s="9"/>
      <c r="F18" s="15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5">
      <c r="D19" s="9"/>
      <c r="E19" s="9"/>
      <c r="F19" s="15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5">
      <c r="D20" s="9"/>
      <c r="E20" s="9"/>
      <c r="F20" s="15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5">
      <c r="D21" s="9"/>
      <c r="E21" s="9"/>
      <c r="F21" s="15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5">
      <c r="D22" s="9"/>
      <c r="E22" s="9"/>
      <c r="F22" s="15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5">
      <c r="D23" s="9"/>
      <c r="E23" s="9"/>
      <c r="F23" s="15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5">
      <c r="D24" s="9"/>
      <c r="E24" s="9"/>
      <c r="F24" s="15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5">
      <c r="D25" s="9"/>
      <c r="E25" s="9"/>
      <c r="F25" s="15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5">
      <c r="D26" s="9"/>
      <c r="E26" s="9"/>
      <c r="F26" s="15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5">
      <c r="D27" s="9"/>
      <c r="E27" s="9"/>
      <c r="F27" s="15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5">
      <c r="D28" s="9"/>
      <c r="E28" s="9"/>
      <c r="F28" s="15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5">
      <c r="D29" s="9"/>
      <c r="E29" s="9"/>
      <c r="F29" s="15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5">
      <c r="D30" s="9"/>
      <c r="E30" s="9"/>
      <c r="F30" s="15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5">
      <c r="D31" s="9"/>
      <c r="E31" s="9"/>
      <c r="F31" s="15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5">
      <c r="D32" s="9"/>
      <c r="E32" s="9"/>
      <c r="F32" s="15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5">
      <c r="D33" s="9"/>
      <c r="E33" s="9"/>
      <c r="F33" s="15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5">
      <c r="D34" s="9"/>
      <c r="E34" s="9"/>
      <c r="F34" s="15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5">
      <c r="D35" s="9"/>
      <c r="E35" s="9"/>
      <c r="F35" s="15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5">
      <c r="D36" s="9"/>
      <c r="E36" s="9"/>
      <c r="F36" s="15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5">
      <c r="D37" s="9"/>
      <c r="E37" s="9"/>
      <c r="F37" s="15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5">
      <c r="D38" s="9"/>
      <c r="E38" s="9"/>
      <c r="F38" s="15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5">
      <c r="D39" s="9"/>
      <c r="E39" s="9"/>
      <c r="F39" s="15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5">
      <c r="D40" s="9"/>
      <c r="E40" s="9"/>
      <c r="F40" s="15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5">
      <c r="D41" s="9"/>
      <c r="E41" s="9"/>
      <c r="F41" s="15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5">
      <c r="D42" s="9"/>
      <c r="E42" s="9"/>
      <c r="F42" s="15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5">
      <c r="D43" s="9"/>
      <c r="E43" s="9"/>
      <c r="F43" s="15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5">
      <c r="D44" s="9"/>
      <c r="E44" s="9"/>
      <c r="F44" s="15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5">
      <c r="D45" s="9"/>
      <c r="E45" s="9"/>
      <c r="F45" s="15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5">
      <c r="D46" s="9"/>
      <c r="E46" s="9"/>
      <c r="F46" s="15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5">
      <c r="D47" s="9"/>
      <c r="E47" s="9"/>
      <c r="F47" s="15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5">
      <c r="D48" s="9"/>
      <c r="E48" s="9"/>
      <c r="F48" s="15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5">
      <c r="D49" s="9"/>
      <c r="E49" s="9"/>
      <c r="F49" s="15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4">
      <c r="D50" s="10"/>
      <c r="E50" s="10"/>
      <c r="F50" s="16"/>
      <c r="G50" s="10"/>
      <c r="H50" s="10"/>
      <c r="I50" s="10"/>
      <c r="J50" s="53"/>
      <c r="K50" s="53"/>
      <c r="L50" s="53"/>
      <c r="M50" s="53"/>
      <c r="N50" s="53"/>
      <c r="O50" s="53"/>
      <c r="P50" s="53"/>
      <c r="Q50" s="53"/>
      <c r="R50" s="53"/>
      <c r="S50" s="53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5">
    <dataValidation type="list" allowBlank="1" showInputMessage="1" showErrorMessage="1" sqref="E5:E50">
      <formula1>GranulationProcess</formula1>
    </dataValidation>
    <dataValidation type="list" allowBlank="1" showInputMessage="1" showErrorMessage="1" sqref="G5:G50">
      <formula1>GranulationCapex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GranulCapacities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0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04" customFormat="1" ht="25" customHeight="1" x14ac:dyDescent="0.35">
      <c r="B1" s="103" t="s">
        <v>271</v>
      </c>
    </row>
    <row r="3" spans="2:10" ht="15" thickBot="1" x14ac:dyDescent="0.4">
      <c r="D3" s="1" t="str">
        <f>JESA_UploadTable(D4,D4:D40)</f>
        <v>logistics.process Saved! @08:24:17</v>
      </c>
      <c r="F3" s="1" t="str">
        <f>JESA_UploadTable(F4,F4:F40)</f>
        <v>logistics.product Saved! @08:24:17</v>
      </c>
      <c r="H3" s="1" t="str">
        <f>JESA_UploadTable(H4,H4:H40)</f>
        <v>logistics.capex Saved! @08:24:15</v>
      </c>
      <c r="J3" s="1" t="str">
        <f>JESA_UploadTable(J4,J4:J40)</f>
        <v>logistics.name Saved! @08:24:16</v>
      </c>
    </row>
    <row r="4" spans="2:10" ht="30" customHeight="1" thickBot="1" x14ac:dyDescent="0.4">
      <c r="D4" s="105" t="s">
        <v>272</v>
      </c>
      <c r="F4" s="105" t="s">
        <v>273</v>
      </c>
      <c r="H4" s="105" t="s">
        <v>274</v>
      </c>
      <c r="J4" s="105" t="s">
        <v>275</v>
      </c>
    </row>
    <row r="5" spans="2:10" x14ac:dyDescent="0.35">
      <c r="D5" s="97" t="s">
        <v>276</v>
      </c>
      <c r="F5" s="97" t="s">
        <v>198</v>
      </c>
      <c r="H5" s="97" t="s">
        <v>22</v>
      </c>
      <c r="J5" s="97" t="s">
        <v>277</v>
      </c>
    </row>
    <row r="6" spans="2:10" x14ac:dyDescent="0.35">
      <c r="D6" s="98" t="s">
        <v>278</v>
      </c>
      <c r="F6" s="98" t="s">
        <v>279</v>
      </c>
      <c r="H6" s="98" t="s">
        <v>260</v>
      </c>
      <c r="J6" s="98" t="s">
        <v>280</v>
      </c>
    </row>
    <row r="7" spans="2:10" x14ac:dyDescent="0.35">
      <c r="D7" s="98" t="s">
        <v>281</v>
      </c>
      <c r="F7" s="98" t="s">
        <v>29</v>
      </c>
      <c r="H7" s="98" t="s">
        <v>282</v>
      </c>
      <c r="J7" s="98"/>
    </row>
    <row r="8" spans="2:10" x14ac:dyDescent="0.35">
      <c r="D8" s="98" t="s">
        <v>283</v>
      </c>
      <c r="F8" s="98" t="s">
        <v>284</v>
      </c>
      <c r="H8" s="98" t="s">
        <v>285</v>
      </c>
      <c r="J8" s="98"/>
    </row>
    <row r="9" spans="2:10" x14ac:dyDescent="0.35">
      <c r="D9" s="98"/>
      <c r="F9" s="98" t="s">
        <v>251</v>
      </c>
      <c r="H9" s="98"/>
      <c r="J9" s="98"/>
    </row>
    <row r="10" spans="2:10" x14ac:dyDescent="0.35">
      <c r="D10" s="98"/>
      <c r="F10" s="98"/>
      <c r="H10" s="98"/>
      <c r="J10" s="98"/>
    </row>
    <row r="11" spans="2:10" x14ac:dyDescent="0.35">
      <c r="D11" s="98"/>
      <c r="F11" s="98"/>
      <c r="H11" s="98"/>
      <c r="J11" s="98"/>
    </row>
    <row r="12" spans="2:10" x14ac:dyDescent="0.35">
      <c r="D12" s="98"/>
      <c r="F12" s="98"/>
      <c r="H12" s="98"/>
      <c r="J12" s="98"/>
    </row>
    <row r="13" spans="2:10" x14ac:dyDescent="0.35">
      <c r="D13" s="98"/>
      <c r="F13" s="98"/>
      <c r="H13" s="98"/>
      <c r="J13" s="98"/>
    </row>
    <row r="14" spans="2:10" x14ac:dyDescent="0.35">
      <c r="D14" s="98"/>
      <c r="F14" s="98"/>
      <c r="H14" s="98"/>
      <c r="J14" s="98"/>
    </row>
    <row r="15" spans="2:10" x14ac:dyDescent="0.35">
      <c r="D15" s="98"/>
      <c r="F15" s="98"/>
      <c r="H15" s="98"/>
      <c r="J15" s="98"/>
    </row>
    <row r="16" spans="2:10" x14ac:dyDescent="0.35">
      <c r="D16" s="98"/>
      <c r="F16" s="98"/>
      <c r="H16" s="98"/>
      <c r="J16" s="98"/>
    </row>
    <row r="17" spans="4:10" x14ac:dyDescent="0.35">
      <c r="D17" s="98"/>
      <c r="F17" s="98"/>
      <c r="H17" s="98"/>
      <c r="J17" s="98"/>
    </row>
    <row r="18" spans="4:10" x14ac:dyDescent="0.35">
      <c r="D18" s="98"/>
      <c r="F18" s="98"/>
      <c r="H18" s="98"/>
      <c r="J18" s="98"/>
    </row>
    <row r="19" spans="4:10" x14ac:dyDescent="0.35">
      <c r="D19" s="98"/>
      <c r="F19" s="98"/>
      <c r="H19" s="98"/>
      <c r="J19" s="98"/>
    </row>
    <row r="20" spans="4:10" x14ac:dyDescent="0.35">
      <c r="D20" s="98"/>
      <c r="F20" s="98"/>
      <c r="H20" s="98"/>
      <c r="J20" s="98"/>
    </row>
    <row r="21" spans="4:10" x14ac:dyDescent="0.35">
      <c r="D21" s="98"/>
      <c r="F21" s="98"/>
      <c r="H21" s="98"/>
      <c r="J21" s="98"/>
    </row>
    <row r="22" spans="4:10" x14ac:dyDescent="0.35">
      <c r="D22" s="98"/>
      <c r="F22" s="98"/>
      <c r="H22" s="98"/>
      <c r="J22" s="98"/>
    </row>
    <row r="23" spans="4:10" x14ac:dyDescent="0.35">
      <c r="D23" s="98"/>
      <c r="F23" s="98"/>
      <c r="H23" s="98"/>
      <c r="J23" s="98"/>
    </row>
    <row r="24" spans="4:10" x14ac:dyDescent="0.35">
      <c r="D24" s="98"/>
      <c r="F24" s="98"/>
      <c r="H24" s="98"/>
      <c r="J24" s="98"/>
    </row>
    <row r="25" spans="4:10" x14ac:dyDescent="0.35">
      <c r="D25" s="98"/>
      <c r="F25" s="98"/>
      <c r="H25" s="98"/>
      <c r="J25" s="98"/>
    </row>
    <row r="26" spans="4:10" x14ac:dyDescent="0.35">
      <c r="D26" s="98"/>
      <c r="F26" s="98"/>
      <c r="H26" s="98"/>
      <c r="J26" s="98"/>
    </row>
    <row r="27" spans="4:10" x14ac:dyDescent="0.35">
      <c r="D27" s="98"/>
      <c r="F27" s="98"/>
      <c r="H27" s="98"/>
      <c r="J27" s="98"/>
    </row>
    <row r="28" spans="4:10" x14ac:dyDescent="0.35">
      <c r="D28" s="98"/>
      <c r="F28" s="98"/>
      <c r="H28" s="98"/>
      <c r="J28" s="98"/>
    </row>
    <row r="29" spans="4:10" x14ac:dyDescent="0.35">
      <c r="D29" s="98"/>
      <c r="F29" s="98"/>
      <c r="H29" s="98"/>
      <c r="J29" s="98"/>
    </row>
    <row r="30" spans="4:10" x14ac:dyDescent="0.35">
      <c r="D30" s="98"/>
      <c r="F30" s="98"/>
      <c r="H30" s="98"/>
      <c r="J30" s="98"/>
    </row>
    <row r="31" spans="4:10" x14ac:dyDescent="0.35">
      <c r="D31" s="98"/>
      <c r="F31" s="98"/>
      <c r="H31" s="98"/>
      <c r="J31" s="98"/>
    </row>
    <row r="32" spans="4:10" x14ac:dyDescent="0.35">
      <c r="D32" s="98"/>
      <c r="F32" s="98"/>
      <c r="H32" s="98"/>
      <c r="J32" s="98"/>
    </row>
    <row r="33" spans="4:10" x14ac:dyDescent="0.35">
      <c r="D33" s="98"/>
      <c r="F33" s="98"/>
      <c r="H33" s="98"/>
      <c r="J33" s="98"/>
    </row>
    <row r="34" spans="4:10" x14ac:dyDescent="0.35">
      <c r="D34" s="98"/>
      <c r="F34" s="98"/>
      <c r="H34" s="98"/>
      <c r="J34" s="98"/>
    </row>
    <row r="35" spans="4:10" x14ac:dyDescent="0.35">
      <c r="D35" s="98"/>
      <c r="F35" s="98"/>
      <c r="H35" s="98"/>
      <c r="J35" s="98"/>
    </row>
    <row r="36" spans="4:10" x14ac:dyDescent="0.35">
      <c r="D36" s="98"/>
      <c r="F36" s="98"/>
      <c r="H36" s="98"/>
      <c r="J36" s="98"/>
    </row>
    <row r="37" spans="4:10" x14ac:dyDescent="0.35">
      <c r="D37" s="98"/>
      <c r="F37" s="98"/>
      <c r="H37" s="98"/>
      <c r="J37" s="98"/>
    </row>
    <row r="38" spans="4:10" x14ac:dyDescent="0.35">
      <c r="D38" s="98"/>
      <c r="F38" s="98"/>
      <c r="H38" s="98"/>
      <c r="J38" s="98"/>
    </row>
    <row r="39" spans="4:10" x14ac:dyDescent="0.35">
      <c r="D39" s="98"/>
      <c r="F39" s="98"/>
      <c r="H39" s="98"/>
      <c r="J39" s="98"/>
    </row>
    <row r="40" spans="4:10" ht="15" thickBot="1" x14ac:dyDescent="0.4">
      <c r="D40" s="99" t="s">
        <v>94</v>
      </c>
      <c r="F40" s="99" t="s">
        <v>94</v>
      </c>
      <c r="H40" s="99" t="s">
        <v>94</v>
      </c>
      <c r="J40" s="99" t="s">
        <v>94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Q51"/>
  <sheetViews>
    <sheetView topLeftCell="N1" zoomScaleNormal="100" workbookViewId="0">
      <selection activeCell="O6" sqref="O6"/>
    </sheetView>
  </sheetViews>
  <sheetFormatPr defaultColWidth="11.54296875" defaultRowHeight="14.5" x14ac:dyDescent="0.35"/>
  <cols>
    <col min="1" max="3" width="3.81640625" style="5" customWidth="1"/>
    <col min="4" max="12" width="15.81640625" style="5" customWidth="1"/>
    <col min="13" max="13" width="70.81640625" style="5" customWidth="1"/>
    <col min="14" max="14" width="11.54296875" style="5"/>
    <col min="15" max="15" width="13.54296875" style="5" bestFit="1" customWidth="1"/>
    <col min="16" max="16" width="11.54296875" style="5"/>
    <col min="17" max="17" width="16.36328125" style="5" bestFit="1" customWidth="1"/>
    <col min="18" max="16384" width="11.54296875" style="5"/>
  </cols>
  <sheetData>
    <row r="1" spans="2:17" s="107" customFormat="1" ht="25" customHeight="1" x14ac:dyDescent="0.35">
      <c r="B1" s="106" t="s">
        <v>286</v>
      </c>
      <c r="J1" s="104"/>
      <c r="K1" s="104"/>
      <c r="L1" s="104"/>
    </row>
    <row r="3" spans="2:17" ht="15" thickBot="1" x14ac:dyDescent="0.4">
      <c r="D3" s="5" t="str">
        <f>JESA_UploadTable("logistics_options",D4:M50)</f>
        <v>logistics_options Saved! @08:24:17</v>
      </c>
    </row>
    <row r="4" spans="2:17" ht="30" customHeight="1" thickBot="1" x14ac:dyDescent="0.4">
      <c r="D4" s="105" t="s">
        <v>30</v>
      </c>
      <c r="E4" s="105" t="s">
        <v>287</v>
      </c>
      <c r="F4" s="105" t="s">
        <v>288</v>
      </c>
      <c r="G4" s="105" t="s">
        <v>289</v>
      </c>
      <c r="H4" s="105" t="s">
        <v>24</v>
      </c>
      <c r="I4" s="105" t="s">
        <v>290</v>
      </c>
      <c r="J4" s="108" t="s">
        <v>71</v>
      </c>
      <c r="K4" s="108" t="s">
        <v>147</v>
      </c>
      <c r="L4" s="108" t="s">
        <v>153</v>
      </c>
      <c r="M4" s="109" t="s">
        <v>154</v>
      </c>
      <c r="O4" s="38" t="str">
        <f>JESA_UploadTable("mining_wp_connections",O5:Q8)</f>
        <v>mining_wp_connections Saved! @08:24:15</v>
      </c>
    </row>
    <row r="5" spans="2:17" ht="15" thickBot="1" x14ac:dyDescent="0.4">
      <c r="D5" s="50" t="s">
        <v>277</v>
      </c>
      <c r="E5" s="50" t="s">
        <v>9</v>
      </c>
      <c r="F5" s="50" t="s">
        <v>2</v>
      </c>
      <c r="G5" s="86" t="s">
        <v>281</v>
      </c>
      <c r="H5" s="86" t="s">
        <v>198</v>
      </c>
      <c r="I5" s="86">
        <v>5</v>
      </c>
      <c r="J5" s="87" t="s">
        <v>36</v>
      </c>
      <c r="K5" s="86">
        <v>1980</v>
      </c>
      <c r="L5" s="86">
        <v>2025</v>
      </c>
      <c r="M5" s="8" t="str">
        <f>IF(E5="","","/Logistics/"&amp;CONCATENATE(D5,"/",E5,"/",F5,"/",G5,"/",H5,"/",I5,"/",J5))</f>
        <v>/Logistics/Pipe BG-SPH/Benguerir/Bouchane/Belt conveyor/Rock/5/Existing</v>
      </c>
      <c r="O5" s="110" t="s">
        <v>291</v>
      </c>
      <c r="P5" s="8" t="s">
        <v>353</v>
      </c>
      <c r="Q5" s="8" t="s">
        <v>351</v>
      </c>
    </row>
    <row r="6" spans="2:17" ht="15" thickBot="1" x14ac:dyDescent="0.4">
      <c r="D6" s="9" t="s">
        <v>280</v>
      </c>
      <c r="E6" s="9" t="s">
        <v>2</v>
      </c>
      <c r="F6" s="9" t="s">
        <v>92</v>
      </c>
      <c r="G6" s="15" t="s">
        <v>281</v>
      </c>
      <c r="H6" s="15" t="s">
        <v>279</v>
      </c>
      <c r="I6" s="15">
        <v>2.5</v>
      </c>
      <c r="J6" s="11" t="s">
        <v>150</v>
      </c>
      <c r="K6" s="15">
        <v>2099</v>
      </c>
      <c r="L6" s="15">
        <f t="shared" ref="L6:L50" si="0">IF(J6="New",2100,)</f>
        <v>2100</v>
      </c>
      <c r="M6" s="8" t="str">
        <f t="shared" ref="M6:M50" si="1">IF(E6="","","/Logistics/"&amp;CONCATENATE(D6,"/",E6,"/",F6,"/",G6,"/",H6,"/",I6,"/",J6))</f>
        <v>/Logistics/Conv BG-LavBG/Bouchane/Youssoufia/Belt conveyor/ACP/2.5/New</v>
      </c>
      <c r="O6" s="8" t="s">
        <v>3</v>
      </c>
      <c r="P6" s="111">
        <v>1</v>
      </c>
      <c r="Q6" s="112">
        <v>0</v>
      </c>
    </row>
    <row r="7" spans="2:17" ht="15" thickBot="1" x14ac:dyDescent="0.4">
      <c r="D7" s="9"/>
      <c r="E7" s="9"/>
      <c r="F7" s="9"/>
      <c r="G7" s="15"/>
      <c r="H7" s="15"/>
      <c r="I7" s="15"/>
      <c r="J7" s="11"/>
      <c r="K7" s="15">
        <f t="shared" ref="K7:K50" si="2">IF(J7="New",2100,)</f>
        <v>0</v>
      </c>
      <c r="L7" s="15">
        <f t="shared" si="0"/>
        <v>0</v>
      </c>
      <c r="M7" s="8" t="str">
        <f t="shared" si="1"/>
        <v/>
      </c>
      <c r="O7" s="9" t="s">
        <v>10</v>
      </c>
      <c r="P7" s="111">
        <v>0</v>
      </c>
      <c r="Q7" s="112">
        <v>1</v>
      </c>
    </row>
    <row r="8" spans="2:17" ht="15" thickBot="1" x14ac:dyDescent="0.4">
      <c r="D8" s="9"/>
      <c r="E8" s="9"/>
      <c r="F8" s="9"/>
      <c r="G8" s="15"/>
      <c r="H8" s="15"/>
      <c r="I8" s="15"/>
      <c r="J8" s="11"/>
      <c r="K8" s="15">
        <f t="shared" si="2"/>
        <v>0</v>
      </c>
      <c r="L8" s="15">
        <f t="shared" si="0"/>
        <v>0</v>
      </c>
      <c r="M8" s="8" t="str">
        <f t="shared" si="1"/>
        <v/>
      </c>
      <c r="O8" s="10" t="s">
        <v>2</v>
      </c>
      <c r="P8" s="69">
        <v>0</v>
      </c>
      <c r="Q8" s="113">
        <v>0</v>
      </c>
    </row>
    <row r="9" spans="2:17" ht="15" thickBot="1" x14ac:dyDescent="0.4">
      <c r="D9" s="9"/>
      <c r="E9" s="9"/>
      <c r="F9" s="9"/>
      <c r="G9" s="15"/>
      <c r="H9" s="15"/>
      <c r="I9" s="15"/>
      <c r="J9" s="11"/>
      <c r="K9" s="15">
        <f t="shared" si="2"/>
        <v>0</v>
      </c>
      <c r="L9" s="15">
        <f t="shared" si="0"/>
        <v>0</v>
      </c>
      <c r="M9" s="8" t="str">
        <f t="shared" si="1"/>
        <v/>
      </c>
    </row>
    <row r="10" spans="2:17" ht="15" thickBot="1" x14ac:dyDescent="0.4">
      <c r="D10" s="9"/>
      <c r="E10" s="9"/>
      <c r="F10" s="9"/>
      <c r="G10" s="15"/>
      <c r="H10" s="15"/>
      <c r="I10" s="15"/>
      <c r="J10" s="11"/>
      <c r="K10" s="15">
        <f t="shared" si="2"/>
        <v>0</v>
      </c>
      <c r="L10" s="15">
        <f t="shared" si="0"/>
        <v>0</v>
      </c>
      <c r="M10" s="8" t="str">
        <f t="shared" si="1"/>
        <v/>
      </c>
    </row>
    <row r="11" spans="2:17" ht="15" thickBot="1" x14ac:dyDescent="0.4">
      <c r="D11" s="9"/>
      <c r="E11" s="9"/>
      <c r="F11" s="9"/>
      <c r="G11" s="15"/>
      <c r="H11" s="15"/>
      <c r="I11" s="15"/>
      <c r="J11" s="11"/>
      <c r="K11" s="15">
        <f t="shared" si="2"/>
        <v>0</v>
      </c>
      <c r="L11" s="15">
        <f t="shared" si="0"/>
        <v>0</v>
      </c>
      <c r="M11" s="8" t="str">
        <f t="shared" si="1"/>
        <v/>
      </c>
    </row>
    <row r="12" spans="2:17" ht="15" thickBot="1" x14ac:dyDescent="0.4">
      <c r="D12" s="9"/>
      <c r="E12" s="9"/>
      <c r="F12" s="9"/>
      <c r="G12" s="15"/>
      <c r="H12" s="15"/>
      <c r="I12" s="15"/>
      <c r="J12" s="11"/>
      <c r="K12" s="15">
        <f t="shared" si="2"/>
        <v>0</v>
      </c>
      <c r="L12" s="15">
        <f t="shared" si="0"/>
        <v>0</v>
      </c>
      <c r="M12" s="8" t="str">
        <f t="shared" si="1"/>
        <v/>
      </c>
    </row>
    <row r="13" spans="2:17" ht="15" thickBot="1" x14ac:dyDescent="0.4">
      <c r="D13" s="9"/>
      <c r="E13" s="9"/>
      <c r="F13" s="9"/>
      <c r="G13" s="15"/>
      <c r="H13" s="15"/>
      <c r="I13" s="15"/>
      <c r="J13" s="11"/>
      <c r="K13" s="15">
        <f t="shared" si="2"/>
        <v>0</v>
      </c>
      <c r="L13" s="15">
        <f t="shared" si="0"/>
        <v>0</v>
      </c>
      <c r="M13" s="8" t="str">
        <f t="shared" si="1"/>
        <v/>
      </c>
    </row>
    <row r="14" spans="2:17" ht="15" thickBot="1" x14ac:dyDescent="0.4">
      <c r="D14" s="9"/>
      <c r="E14" s="9"/>
      <c r="F14" s="9"/>
      <c r="G14" s="15"/>
      <c r="H14" s="15"/>
      <c r="I14" s="15"/>
      <c r="J14" s="11"/>
      <c r="K14" s="15">
        <f t="shared" si="2"/>
        <v>0</v>
      </c>
      <c r="L14" s="15">
        <f t="shared" si="0"/>
        <v>0</v>
      </c>
      <c r="M14" s="8" t="str">
        <f t="shared" si="1"/>
        <v/>
      </c>
    </row>
    <row r="15" spans="2:17" ht="15" thickBot="1" x14ac:dyDescent="0.4">
      <c r="D15" s="9"/>
      <c r="E15" s="9"/>
      <c r="F15" s="9"/>
      <c r="G15" s="15"/>
      <c r="H15" s="15"/>
      <c r="I15" s="15"/>
      <c r="J15" s="11"/>
      <c r="K15" s="15">
        <f t="shared" si="2"/>
        <v>0</v>
      </c>
      <c r="L15" s="15">
        <f t="shared" si="0"/>
        <v>0</v>
      </c>
      <c r="M15" s="8" t="str">
        <f t="shared" si="1"/>
        <v/>
      </c>
    </row>
    <row r="16" spans="2:17" ht="15" thickBot="1" x14ac:dyDescent="0.4">
      <c r="D16" s="9"/>
      <c r="E16" s="9"/>
      <c r="F16" s="9"/>
      <c r="G16" s="15"/>
      <c r="H16" s="15"/>
      <c r="I16" s="15"/>
      <c r="J16" s="11"/>
      <c r="K16" s="15">
        <f t="shared" si="2"/>
        <v>0</v>
      </c>
      <c r="L16" s="15">
        <f t="shared" si="0"/>
        <v>0</v>
      </c>
      <c r="M16" s="8" t="str">
        <f t="shared" si="1"/>
        <v/>
      </c>
    </row>
    <row r="17" spans="4:13" ht="15" thickBot="1" x14ac:dyDescent="0.4">
      <c r="D17" s="9"/>
      <c r="E17" s="9"/>
      <c r="F17" s="9"/>
      <c r="G17" s="15"/>
      <c r="H17" s="15"/>
      <c r="I17" s="15"/>
      <c r="J17" s="11"/>
      <c r="K17" s="15">
        <f t="shared" si="2"/>
        <v>0</v>
      </c>
      <c r="L17" s="15">
        <f t="shared" si="0"/>
        <v>0</v>
      </c>
      <c r="M17" s="8" t="str">
        <f t="shared" si="1"/>
        <v/>
      </c>
    </row>
    <row r="18" spans="4:13" ht="15" thickBot="1" x14ac:dyDescent="0.4">
      <c r="D18" s="9"/>
      <c r="E18" s="9"/>
      <c r="F18" s="9"/>
      <c r="G18" s="15"/>
      <c r="H18" s="15"/>
      <c r="I18" s="15"/>
      <c r="J18" s="11"/>
      <c r="K18" s="15">
        <f t="shared" si="2"/>
        <v>0</v>
      </c>
      <c r="L18" s="15">
        <f t="shared" si="0"/>
        <v>0</v>
      </c>
      <c r="M18" s="8" t="str">
        <f t="shared" si="1"/>
        <v/>
      </c>
    </row>
    <row r="19" spans="4:13" ht="15" thickBot="1" x14ac:dyDescent="0.4">
      <c r="D19" s="9"/>
      <c r="E19" s="9"/>
      <c r="F19" s="9"/>
      <c r="G19" s="15"/>
      <c r="H19" s="15"/>
      <c r="I19" s="15"/>
      <c r="J19" s="11"/>
      <c r="K19" s="15">
        <f t="shared" si="2"/>
        <v>0</v>
      </c>
      <c r="L19" s="15">
        <f t="shared" si="0"/>
        <v>0</v>
      </c>
      <c r="M19" s="8" t="str">
        <f t="shared" si="1"/>
        <v/>
      </c>
    </row>
    <row r="20" spans="4:13" ht="15" thickBot="1" x14ac:dyDescent="0.4">
      <c r="D20" s="9"/>
      <c r="E20" s="9"/>
      <c r="F20" s="9"/>
      <c r="G20" s="15"/>
      <c r="H20" s="15"/>
      <c r="I20" s="15"/>
      <c r="J20" s="11"/>
      <c r="K20" s="15">
        <f t="shared" si="2"/>
        <v>0</v>
      </c>
      <c r="L20" s="15">
        <f t="shared" si="0"/>
        <v>0</v>
      </c>
      <c r="M20" s="8" t="str">
        <f t="shared" si="1"/>
        <v/>
      </c>
    </row>
    <row r="21" spans="4:13" ht="15" thickBot="1" x14ac:dyDescent="0.4">
      <c r="D21" s="9"/>
      <c r="E21" s="9"/>
      <c r="F21" s="9"/>
      <c r="G21" s="15"/>
      <c r="H21" s="15"/>
      <c r="I21" s="15"/>
      <c r="J21" s="11"/>
      <c r="K21" s="15">
        <f t="shared" si="2"/>
        <v>0</v>
      </c>
      <c r="L21" s="15">
        <f t="shared" si="0"/>
        <v>0</v>
      </c>
      <c r="M21" s="8" t="str">
        <f t="shared" si="1"/>
        <v/>
      </c>
    </row>
    <row r="22" spans="4:13" ht="15" thickBot="1" x14ac:dyDescent="0.4">
      <c r="D22" s="9"/>
      <c r="E22" s="9"/>
      <c r="F22" s="9"/>
      <c r="G22" s="15"/>
      <c r="H22" s="15"/>
      <c r="I22" s="15"/>
      <c r="J22" s="11"/>
      <c r="K22" s="15">
        <f t="shared" si="2"/>
        <v>0</v>
      </c>
      <c r="L22" s="15">
        <f t="shared" si="0"/>
        <v>0</v>
      </c>
      <c r="M22" s="8" t="str">
        <f t="shared" si="1"/>
        <v/>
      </c>
    </row>
    <row r="23" spans="4:13" ht="15" thickBot="1" x14ac:dyDescent="0.4">
      <c r="D23" s="9"/>
      <c r="E23" s="9"/>
      <c r="F23" s="9"/>
      <c r="G23" s="15"/>
      <c r="H23" s="15"/>
      <c r="I23" s="15"/>
      <c r="J23" s="11"/>
      <c r="K23" s="15">
        <f t="shared" si="2"/>
        <v>0</v>
      </c>
      <c r="L23" s="15">
        <f t="shared" si="0"/>
        <v>0</v>
      </c>
      <c r="M23" s="8" t="str">
        <f t="shared" si="1"/>
        <v/>
      </c>
    </row>
    <row r="24" spans="4:13" ht="15" thickBot="1" x14ac:dyDescent="0.4">
      <c r="D24" s="9"/>
      <c r="E24" s="9"/>
      <c r="F24" s="9"/>
      <c r="G24" s="15"/>
      <c r="H24" s="15"/>
      <c r="I24" s="15"/>
      <c r="J24" s="11"/>
      <c r="K24" s="15">
        <f t="shared" si="2"/>
        <v>0</v>
      </c>
      <c r="L24" s="15">
        <f t="shared" si="0"/>
        <v>0</v>
      </c>
      <c r="M24" s="8" t="str">
        <f t="shared" si="1"/>
        <v/>
      </c>
    </row>
    <row r="25" spans="4:13" ht="15" thickBot="1" x14ac:dyDescent="0.4">
      <c r="D25" s="9"/>
      <c r="E25" s="9"/>
      <c r="F25" s="9"/>
      <c r="G25" s="15"/>
      <c r="H25" s="15"/>
      <c r="I25" s="15"/>
      <c r="J25" s="11"/>
      <c r="K25" s="15">
        <f t="shared" si="2"/>
        <v>0</v>
      </c>
      <c r="L25" s="15">
        <f t="shared" si="0"/>
        <v>0</v>
      </c>
      <c r="M25" s="8" t="str">
        <f t="shared" si="1"/>
        <v/>
      </c>
    </row>
    <row r="26" spans="4:13" ht="15" thickBot="1" x14ac:dyDescent="0.4">
      <c r="D26" s="9"/>
      <c r="E26" s="9"/>
      <c r="F26" s="9"/>
      <c r="G26" s="15"/>
      <c r="H26" s="15"/>
      <c r="I26" s="15"/>
      <c r="J26" s="11"/>
      <c r="K26" s="15">
        <f t="shared" si="2"/>
        <v>0</v>
      </c>
      <c r="L26" s="15">
        <f t="shared" si="0"/>
        <v>0</v>
      </c>
      <c r="M26" s="8" t="str">
        <f t="shared" si="1"/>
        <v/>
      </c>
    </row>
    <row r="27" spans="4:13" ht="15" thickBot="1" x14ac:dyDescent="0.4">
      <c r="D27" s="9"/>
      <c r="E27" s="9"/>
      <c r="F27" s="9"/>
      <c r="G27" s="15"/>
      <c r="H27" s="15"/>
      <c r="I27" s="15"/>
      <c r="J27" s="11"/>
      <c r="K27" s="15">
        <f t="shared" si="2"/>
        <v>0</v>
      </c>
      <c r="L27" s="15">
        <f t="shared" si="0"/>
        <v>0</v>
      </c>
      <c r="M27" s="8" t="str">
        <f t="shared" si="1"/>
        <v/>
      </c>
    </row>
    <row r="28" spans="4:13" ht="15" thickBot="1" x14ac:dyDescent="0.4">
      <c r="D28" s="9"/>
      <c r="E28" s="9"/>
      <c r="F28" s="9"/>
      <c r="G28" s="15"/>
      <c r="H28" s="15"/>
      <c r="I28" s="15"/>
      <c r="J28" s="11"/>
      <c r="K28" s="15">
        <f t="shared" si="2"/>
        <v>0</v>
      </c>
      <c r="L28" s="15">
        <f t="shared" si="0"/>
        <v>0</v>
      </c>
      <c r="M28" s="8" t="str">
        <f t="shared" si="1"/>
        <v/>
      </c>
    </row>
    <row r="29" spans="4:13" ht="15" thickBot="1" x14ac:dyDescent="0.4">
      <c r="D29" s="9"/>
      <c r="E29" s="9"/>
      <c r="F29" s="9"/>
      <c r="G29" s="15"/>
      <c r="H29" s="15"/>
      <c r="I29" s="15"/>
      <c r="J29" s="11"/>
      <c r="K29" s="15">
        <f t="shared" si="2"/>
        <v>0</v>
      </c>
      <c r="L29" s="15">
        <f t="shared" si="0"/>
        <v>0</v>
      </c>
      <c r="M29" s="8" t="str">
        <f t="shared" si="1"/>
        <v/>
      </c>
    </row>
    <row r="30" spans="4:13" ht="15" thickBot="1" x14ac:dyDescent="0.4">
      <c r="D30" s="9"/>
      <c r="E30" s="9"/>
      <c r="F30" s="9"/>
      <c r="G30" s="15"/>
      <c r="H30" s="15"/>
      <c r="I30" s="15"/>
      <c r="J30" s="11"/>
      <c r="K30" s="15">
        <f t="shared" si="2"/>
        <v>0</v>
      </c>
      <c r="L30" s="15">
        <f t="shared" si="0"/>
        <v>0</v>
      </c>
      <c r="M30" s="8" t="str">
        <f t="shared" si="1"/>
        <v/>
      </c>
    </row>
    <row r="31" spans="4:13" ht="15" thickBot="1" x14ac:dyDescent="0.4">
      <c r="D31" s="9"/>
      <c r="E31" s="9"/>
      <c r="F31" s="9"/>
      <c r="G31" s="15"/>
      <c r="H31" s="15"/>
      <c r="I31" s="15"/>
      <c r="J31" s="11"/>
      <c r="K31" s="15">
        <f t="shared" si="2"/>
        <v>0</v>
      </c>
      <c r="L31" s="15">
        <f t="shared" si="0"/>
        <v>0</v>
      </c>
      <c r="M31" s="8" t="str">
        <f t="shared" si="1"/>
        <v/>
      </c>
    </row>
    <row r="32" spans="4:13" ht="15" thickBot="1" x14ac:dyDescent="0.4">
      <c r="D32" s="9"/>
      <c r="E32" s="9"/>
      <c r="F32" s="9"/>
      <c r="G32" s="15"/>
      <c r="H32" s="15"/>
      <c r="I32" s="15"/>
      <c r="J32" s="11"/>
      <c r="K32" s="15">
        <f t="shared" si="2"/>
        <v>0</v>
      </c>
      <c r="L32" s="15">
        <f t="shared" si="0"/>
        <v>0</v>
      </c>
      <c r="M32" s="8" t="str">
        <f t="shared" si="1"/>
        <v/>
      </c>
    </row>
    <row r="33" spans="4:13" ht="15" thickBot="1" x14ac:dyDescent="0.4">
      <c r="D33" s="9"/>
      <c r="E33" s="9"/>
      <c r="F33" s="9"/>
      <c r="G33" s="15"/>
      <c r="H33" s="15"/>
      <c r="I33" s="15"/>
      <c r="J33" s="11"/>
      <c r="K33" s="15">
        <f t="shared" si="2"/>
        <v>0</v>
      </c>
      <c r="L33" s="15">
        <f t="shared" si="0"/>
        <v>0</v>
      </c>
      <c r="M33" s="8" t="str">
        <f t="shared" si="1"/>
        <v/>
      </c>
    </row>
    <row r="34" spans="4:13" ht="15" thickBot="1" x14ac:dyDescent="0.4">
      <c r="D34" s="9"/>
      <c r="E34" s="9"/>
      <c r="F34" s="9"/>
      <c r="G34" s="15"/>
      <c r="H34" s="15"/>
      <c r="I34" s="15"/>
      <c r="J34" s="11"/>
      <c r="K34" s="15">
        <f t="shared" si="2"/>
        <v>0</v>
      </c>
      <c r="L34" s="15">
        <f t="shared" si="0"/>
        <v>0</v>
      </c>
      <c r="M34" s="8" t="str">
        <f t="shared" si="1"/>
        <v/>
      </c>
    </row>
    <row r="35" spans="4:13" ht="15" thickBot="1" x14ac:dyDescent="0.4">
      <c r="D35" s="9"/>
      <c r="E35" s="9"/>
      <c r="F35" s="9"/>
      <c r="G35" s="15"/>
      <c r="H35" s="15"/>
      <c r="I35" s="15"/>
      <c r="J35" s="11"/>
      <c r="K35" s="15">
        <f t="shared" si="2"/>
        <v>0</v>
      </c>
      <c r="L35" s="15">
        <f t="shared" si="0"/>
        <v>0</v>
      </c>
      <c r="M35" s="8" t="str">
        <f t="shared" si="1"/>
        <v/>
      </c>
    </row>
    <row r="36" spans="4:13" ht="15" thickBot="1" x14ac:dyDescent="0.4">
      <c r="D36" s="9"/>
      <c r="E36" s="9"/>
      <c r="F36" s="9"/>
      <c r="G36" s="15"/>
      <c r="H36" s="15"/>
      <c r="I36" s="15"/>
      <c r="J36" s="11"/>
      <c r="K36" s="15">
        <f t="shared" si="2"/>
        <v>0</v>
      </c>
      <c r="L36" s="15">
        <f t="shared" si="0"/>
        <v>0</v>
      </c>
      <c r="M36" s="8" t="str">
        <f t="shared" si="1"/>
        <v/>
      </c>
    </row>
    <row r="37" spans="4:13" ht="15" thickBot="1" x14ac:dyDescent="0.4">
      <c r="D37" s="9"/>
      <c r="E37" s="9"/>
      <c r="F37" s="9"/>
      <c r="G37" s="15"/>
      <c r="H37" s="15"/>
      <c r="I37" s="15"/>
      <c r="J37" s="11"/>
      <c r="K37" s="15">
        <f t="shared" si="2"/>
        <v>0</v>
      </c>
      <c r="L37" s="15">
        <f t="shared" si="0"/>
        <v>0</v>
      </c>
      <c r="M37" s="8" t="str">
        <f t="shared" si="1"/>
        <v/>
      </c>
    </row>
    <row r="38" spans="4:13" ht="15" thickBot="1" x14ac:dyDescent="0.4">
      <c r="D38" s="9"/>
      <c r="E38" s="9"/>
      <c r="F38" s="9"/>
      <c r="G38" s="15"/>
      <c r="H38" s="15"/>
      <c r="I38" s="15"/>
      <c r="J38" s="11"/>
      <c r="K38" s="15">
        <f t="shared" si="2"/>
        <v>0</v>
      </c>
      <c r="L38" s="15">
        <f t="shared" si="0"/>
        <v>0</v>
      </c>
      <c r="M38" s="8" t="str">
        <f t="shared" si="1"/>
        <v/>
      </c>
    </row>
    <row r="39" spans="4:13" ht="15" thickBot="1" x14ac:dyDescent="0.4">
      <c r="D39" s="9"/>
      <c r="E39" s="9"/>
      <c r="F39" s="9"/>
      <c r="G39" s="15"/>
      <c r="H39" s="15"/>
      <c r="I39" s="15"/>
      <c r="J39" s="11"/>
      <c r="K39" s="15">
        <f t="shared" si="2"/>
        <v>0</v>
      </c>
      <c r="L39" s="15">
        <f t="shared" si="0"/>
        <v>0</v>
      </c>
      <c r="M39" s="8" t="str">
        <f t="shared" si="1"/>
        <v/>
      </c>
    </row>
    <row r="40" spans="4:13" ht="15" thickBot="1" x14ac:dyDescent="0.4">
      <c r="D40" s="9"/>
      <c r="E40" s="9"/>
      <c r="F40" s="9"/>
      <c r="G40" s="15"/>
      <c r="H40" s="15"/>
      <c r="I40" s="15"/>
      <c r="J40" s="11"/>
      <c r="K40" s="15">
        <f t="shared" si="2"/>
        <v>0</v>
      </c>
      <c r="L40" s="15">
        <f t="shared" si="0"/>
        <v>0</v>
      </c>
      <c r="M40" s="8" t="str">
        <f t="shared" si="1"/>
        <v/>
      </c>
    </row>
    <row r="41" spans="4:13" ht="15" thickBot="1" x14ac:dyDescent="0.4">
      <c r="D41" s="9"/>
      <c r="E41" s="9"/>
      <c r="F41" s="9"/>
      <c r="G41" s="15"/>
      <c r="H41" s="15"/>
      <c r="I41" s="15"/>
      <c r="J41" s="11"/>
      <c r="K41" s="15">
        <f t="shared" si="2"/>
        <v>0</v>
      </c>
      <c r="L41" s="15">
        <f t="shared" si="0"/>
        <v>0</v>
      </c>
      <c r="M41" s="8" t="str">
        <f t="shared" si="1"/>
        <v/>
      </c>
    </row>
    <row r="42" spans="4:13" ht="15" thickBot="1" x14ac:dyDescent="0.4">
      <c r="D42" s="9"/>
      <c r="E42" s="9"/>
      <c r="F42" s="9"/>
      <c r="G42" s="15"/>
      <c r="H42" s="15"/>
      <c r="I42" s="15"/>
      <c r="J42" s="11"/>
      <c r="K42" s="15">
        <f t="shared" si="2"/>
        <v>0</v>
      </c>
      <c r="L42" s="15">
        <f t="shared" si="0"/>
        <v>0</v>
      </c>
      <c r="M42" s="8" t="str">
        <f t="shared" si="1"/>
        <v/>
      </c>
    </row>
    <row r="43" spans="4:13" ht="15" thickBot="1" x14ac:dyDescent="0.4">
      <c r="D43" s="9"/>
      <c r="E43" s="9"/>
      <c r="F43" s="9"/>
      <c r="G43" s="15"/>
      <c r="H43" s="15"/>
      <c r="I43" s="15"/>
      <c r="J43" s="11"/>
      <c r="K43" s="15">
        <f t="shared" si="2"/>
        <v>0</v>
      </c>
      <c r="L43" s="15">
        <f t="shared" si="0"/>
        <v>0</v>
      </c>
      <c r="M43" s="8" t="str">
        <f t="shared" si="1"/>
        <v/>
      </c>
    </row>
    <row r="44" spans="4:13" ht="15" thickBot="1" x14ac:dyDescent="0.4">
      <c r="D44" s="9"/>
      <c r="E44" s="9"/>
      <c r="F44" s="9"/>
      <c r="G44" s="15"/>
      <c r="H44" s="15"/>
      <c r="I44" s="15"/>
      <c r="J44" s="11"/>
      <c r="K44" s="15">
        <f t="shared" si="2"/>
        <v>0</v>
      </c>
      <c r="L44" s="15">
        <f t="shared" si="0"/>
        <v>0</v>
      </c>
      <c r="M44" s="8" t="str">
        <f t="shared" si="1"/>
        <v/>
      </c>
    </row>
    <row r="45" spans="4:13" ht="15" thickBot="1" x14ac:dyDescent="0.4">
      <c r="D45" s="9"/>
      <c r="E45" s="9"/>
      <c r="F45" s="9"/>
      <c r="G45" s="15"/>
      <c r="H45" s="15"/>
      <c r="I45" s="15"/>
      <c r="J45" s="11"/>
      <c r="K45" s="15">
        <f t="shared" si="2"/>
        <v>0</v>
      </c>
      <c r="L45" s="15">
        <f t="shared" si="0"/>
        <v>0</v>
      </c>
      <c r="M45" s="8" t="str">
        <f t="shared" si="1"/>
        <v/>
      </c>
    </row>
    <row r="46" spans="4:13" ht="15" thickBot="1" x14ac:dyDescent="0.4">
      <c r="D46" s="9"/>
      <c r="E46" s="9"/>
      <c r="F46" s="9"/>
      <c r="G46" s="15"/>
      <c r="H46" s="15"/>
      <c r="I46" s="15"/>
      <c r="J46" s="11"/>
      <c r="K46" s="15">
        <f t="shared" si="2"/>
        <v>0</v>
      </c>
      <c r="L46" s="15">
        <f t="shared" si="0"/>
        <v>0</v>
      </c>
      <c r="M46" s="8" t="str">
        <f t="shared" si="1"/>
        <v/>
      </c>
    </row>
    <row r="47" spans="4:13" ht="15" thickBot="1" x14ac:dyDescent="0.4">
      <c r="D47" s="9"/>
      <c r="E47" s="9"/>
      <c r="F47" s="9"/>
      <c r="G47" s="15"/>
      <c r="H47" s="15"/>
      <c r="I47" s="15"/>
      <c r="J47" s="11"/>
      <c r="K47" s="15">
        <f t="shared" si="2"/>
        <v>0</v>
      </c>
      <c r="L47" s="15">
        <f t="shared" si="0"/>
        <v>0</v>
      </c>
      <c r="M47" s="8" t="str">
        <f t="shared" si="1"/>
        <v/>
      </c>
    </row>
    <row r="48" spans="4:13" ht="15" thickBot="1" x14ac:dyDescent="0.4">
      <c r="D48" s="9"/>
      <c r="E48" s="9"/>
      <c r="F48" s="9"/>
      <c r="G48" s="15"/>
      <c r="H48" s="15"/>
      <c r="I48" s="15"/>
      <c r="J48" s="11"/>
      <c r="K48" s="15">
        <f t="shared" si="2"/>
        <v>0</v>
      </c>
      <c r="L48" s="15">
        <f t="shared" si="0"/>
        <v>0</v>
      </c>
      <c r="M48" s="8" t="str">
        <f t="shared" si="1"/>
        <v/>
      </c>
    </row>
    <row r="49" spans="4:13" ht="15" thickBot="1" x14ac:dyDescent="0.4">
      <c r="D49" s="9"/>
      <c r="E49" s="9"/>
      <c r="F49" s="9"/>
      <c r="G49" s="15"/>
      <c r="H49" s="15"/>
      <c r="I49" s="15"/>
      <c r="J49" s="11"/>
      <c r="K49" s="15">
        <f t="shared" si="2"/>
        <v>0</v>
      </c>
      <c r="L49" s="15">
        <f t="shared" si="0"/>
        <v>0</v>
      </c>
      <c r="M49" s="8" t="str">
        <f t="shared" si="1"/>
        <v/>
      </c>
    </row>
    <row r="50" spans="4:13" ht="15" thickBot="1" x14ac:dyDescent="0.4">
      <c r="D50" s="10"/>
      <c r="E50" s="10"/>
      <c r="F50" s="10"/>
      <c r="G50" s="16"/>
      <c r="H50" s="16"/>
      <c r="I50" s="16"/>
      <c r="J50" s="12"/>
      <c r="K50" s="15">
        <f t="shared" si="2"/>
        <v>0</v>
      </c>
      <c r="L50" s="16">
        <f t="shared" si="0"/>
        <v>0</v>
      </c>
      <c r="M50" s="8" t="str">
        <f t="shared" si="1"/>
        <v/>
      </c>
    </row>
    <row r="51" spans="4:13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K51" s="5" t="e">
        <v>#N/A</v>
      </c>
      <c r="L51" s="5" t="e">
        <v>#N/A</v>
      </c>
      <c r="M51" s="8" t="e">
        <f>IF(E51="","","/Logistics/"&amp;CONCATENATE(D51,"/",E51,"/",F51,"/",G51,"/",H51,"/",I51,#REF!,"/",J51))</f>
        <v>#N/A</v>
      </c>
    </row>
  </sheetData>
  <dataValidations count="6">
    <dataValidation type="list" allowBlank="1" showInputMessage="1" showErrorMessage="1" sqref="P5:Q5">
      <formula1>BeneficiationNames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D5:D50">
      <formula1>LogisticsName</formula1>
    </dataValidation>
    <dataValidation type="list" allowBlank="1" showInputMessage="1" showErrorMessage="1" sqref="G5:G50">
      <formula1>LogisticsProcess</formula1>
    </dataValidation>
    <dataValidation type="list" allowBlank="1" showInputMessage="1" showErrorMessage="1" sqref="E5:F50">
      <formula1>Location</formula1>
    </dataValidation>
    <dataValidation type="list" allowBlank="1" showInputMessage="1" showErrorMessage="1" sqref="O6:O8">
      <formula1>Names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H5:H50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51"/>
  <sheetViews>
    <sheetView workbookViewId="0">
      <selection activeCell="D3" sqref="D3"/>
    </sheetView>
  </sheetViews>
  <sheetFormatPr defaultColWidth="11.54296875" defaultRowHeight="14.5" outlineLevelCol="1" x14ac:dyDescent="0.35"/>
  <cols>
    <col min="1" max="3" width="3.81640625" style="5" customWidth="1"/>
    <col min="4" max="10" width="15.81640625" style="5" customWidth="1"/>
    <col min="11" max="11" width="8.81640625" style="5" customWidth="1"/>
    <col min="12" max="21" width="8.81640625" style="5" customWidth="1" outlineLevel="1"/>
    <col min="22" max="16384" width="11.54296875" style="5"/>
  </cols>
  <sheetData>
    <row r="1" spans="2:21" s="107" customFormat="1" ht="25" customHeight="1" x14ac:dyDescent="0.35">
      <c r="B1" s="106" t="s">
        <v>292</v>
      </c>
    </row>
    <row r="3" spans="2:21" ht="15" thickBot="1" x14ac:dyDescent="0.4">
      <c r="D3" s="5" t="str">
        <f>JESA_UploadTable(B1, D4:U50)</f>
        <v>logistics_opex Saved! @08:24:16</v>
      </c>
    </row>
    <row r="4" spans="2:21" ht="30" customHeight="1" thickBot="1" x14ac:dyDescent="0.4">
      <c r="D4" s="109" t="s">
        <v>287</v>
      </c>
      <c r="E4" s="109" t="s">
        <v>288</v>
      </c>
      <c r="F4" s="109" t="s">
        <v>289</v>
      </c>
      <c r="G4" s="109" t="s">
        <v>24</v>
      </c>
      <c r="H4" s="105" t="s">
        <v>290</v>
      </c>
      <c r="I4" s="109" t="s">
        <v>12</v>
      </c>
      <c r="J4" s="109" t="s">
        <v>17</v>
      </c>
      <c r="K4" s="114" t="s">
        <v>37</v>
      </c>
      <c r="L4" s="114" t="s">
        <v>38</v>
      </c>
      <c r="M4" s="114" t="s">
        <v>39</v>
      </c>
      <c r="N4" s="114" t="s">
        <v>40</v>
      </c>
      <c r="O4" s="114" t="s">
        <v>41</v>
      </c>
      <c r="P4" s="114" t="s">
        <v>42</v>
      </c>
      <c r="Q4" s="114" t="s">
        <v>43</v>
      </c>
      <c r="R4" s="114" t="s">
        <v>44</v>
      </c>
      <c r="S4" s="114" t="s">
        <v>45</v>
      </c>
      <c r="T4" s="114" t="s">
        <v>46</v>
      </c>
      <c r="U4" s="114" t="s">
        <v>47</v>
      </c>
    </row>
    <row r="5" spans="2:21" x14ac:dyDescent="0.35">
      <c r="D5" s="8" t="s">
        <v>9</v>
      </c>
      <c r="E5" s="8" t="s">
        <v>2</v>
      </c>
      <c r="F5" s="14" t="s">
        <v>281</v>
      </c>
      <c r="G5" s="14" t="s">
        <v>198</v>
      </c>
      <c r="H5" s="86">
        <v>5</v>
      </c>
      <c r="I5" s="8" t="s">
        <v>15</v>
      </c>
      <c r="J5" s="8" t="s">
        <v>65</v>
      </c>
      <c r="K5" s="17">
        <v>4</v>
      </c>
      <c r="L5" s="17">
        <f t="shared" ref="L5:U20" si="0">IF(K5="","",K5)</f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  <c r="T5" s="17">
        <f t="shared" si="0"/>
        <v>4</v>
      </c>
      <c r="U5" s="17">
        <f t="shared" si="0"/>
        <v>4</v>
      </c>
    </row>
    <row r="6" spans="2:21" x14ac:dyDescent="0.35">
      <c r="D6" s="9" t="s">
        <v>2</v>
      </c>
      <c r="E6" s="9" t="s">
        <v>92</v>
      </c>
      <c r="F6" s="15" t="s">
        <v>281</v>
      </c>
      <c r="G6" s="15" t="s">
        <v>279</v>
      </c>
      <c r="H6" s="15">
        <v>2.5</v>
      </c>
      <c r="I6" s="9" t="s">
        <v>15</v>
      </c>
      <c r="J6" s="9" t="s">
        <v>91</v>
      </c>
      <c r="K6" s="18"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  <c r="T6" s="18">
        <f t="shared" si="0"/>
        <v>6</v>
      </c>
      <c r="U6" s="18">
        <f t="shared" si="0"/>
        <v>6</v>
      </c>
    </row>
    <row r="7" spans="2:21" x14ac:dyDescent="0.35">
      <c r="D7" s="9"/>
      <c r="E7" s="9"/>
      <c r="F7" s="15"/>
      <c r="G7" s="15"/>
      <c r="H7" s="15"/>
      <c r="I7" s="9"/>
      <c r="J7" s="9"/>
      <c r="K7" s="18"/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  <c r="T7" s="18" t="str">
        <f t="shared" si="0"/>
        <v/>
      </c>
      <c r="U7" s="18" t="str">
        <f t="shared" si="0"/>
        <v/>
      </c>
    </row>
    <row r="8" spans="2:21" x14ac:dyDescent="0.35">
      <c r="D8" s="9"/>
      <c r="E8" s="9"/>
      <c r="F8" s="15"/>
      <c r="G8" s="15"/>
      <c r="H8" s="15"/>
      <c r="I8" s="9"/>
      <c r="J8" s="9"/>
      <c r="K8" s="18"/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  <c r="T8" s="18" t="str">
        <f t="shared" si="0"/>
        <v/>
      </c>
      <c r="U8" s="18" t="str">
        <f t="shared" si="0"/>
        <v/>
      </c>
    </row>
    <row r="9" spans="2:21" x14ac:dyDescent="0.35">
      <c r="D9" s="9"/>
      <c r="E9" s="9"/>
      <c r="F9" s="15"/>
      <c r="G9" s="15"/>
      <c r="H9" s="15"/>
      <c r="I9" s="9"/>
      <c r="J9" s="9"/>
      <c r="K9" s="18"/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  <c r="T9" s="18" t="str">
        <f t="shared" si="0"/>
        <v/>
      </c>
      <c r="U9" s="18" t="str">
        <f t="shared" si="0"/>
        <v/>
      </c>
    </row>
    <row r="10" spans="2:21" x14ac:dyDescent="0.35">
      <c r="D10" s="9"/>
      <c r="E10" s="9"/>
      <c r="F10" s="15"/>
      <c r="G10" s="15"/>
      <c r="H10" s="15"/>
      <c r="I10" s="9"/>
      <c r="J10" s="9"/>
      <c r="K10" s="18"/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  <c r="T10" s="18" t="str">
        <f t="shared" si="0"/>
        <v/>
      </c>
      <c r="U10" s="18" t="str">
        <f t="shared" si="0"/>
        <v/>
      </c>
    </row>
    <row r="11" spans="2:21" x14ac:dyDescent="0.35">
      <c r="D11" s="9"/>
      <c r="E11" s="9"/>
      <c r="F11" s="15"/>
      <c r="G11" s="15"/>
      <c r="H11" s="15"/>
      <c r="I11" s="9"/>
      <c r="J11" s="9"/>
      <c r="K11" s="18"/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  <c r="T11" s="18" t="str">
        <f t="shared" si="0"/>
        <v/>
      </c>
      <c r="U11" s="18" t="str">
        <f t="shared" si="0"/>
        <v/>
      </c>
    </row>
    <row r="12" spans="2:21" x14ac:dyDescent="0.35">
      <c r="D12" s="9"/>
      <c r="E12" s="9"/>
      <c r="F12" s="15"/>
      <c r="G12" s="15"/>
      <c r="H12" s="15"/>
      <c r="I12" s="9"/>
      <c r="J12" s="9"/>
      <c r="K12" s="18"/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  <c r="T12" s="18" t="str">
        <f t="shared" si="0"/>
        <v/>
      </c>
      <c r="U12" s="18" t="str">
        <f t="shared" si="0"/>
        <v/>
      </c>
    </row>
    <row r="13" spans="2:21" x14ac:dyDescent="0.35">
      <c r="D13" s="9"/>
      <c r="E13" s="9"/>
      <c r="F13" s="15"/>
      <c r="G13" s="15"/>
      <c r="H13" s="15"/>
      <c r="I13" s="9"/>
      <c r="J13" s="9"/>
      <c r="K13" s="18"/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  <c r="T13" s="18" t="str">
        <f t="shared" si="0"/>
        <v/>
      </c>
      <c r="U13" s="18" t="str">
        <f t="shared" si="0"/>
        <v/>
      </c>
    </row>
    <row r="14" spans="2:21" x14ac:dyDescent="0.35">
      <c r="D14" s="9"/>
      <c r="E14" s="9"/>
      <c r="F14" s="15"/>
      <c r="G14" s="15"/>
      <c r="H14" s="15"/>
      <c r="I14" s="9"/>
      <c r="J14" s="9"/>
      <c r="K14" s="18"/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  <c r="T14" s="18" t="str">
        <f t="shared" si="0"/>
        <v/>
      </c>
      <c r="U14" s="18" t="str">
        <f t="shared" si="0"/>
        <v/>
      </c>
    </row>
    <row r="15" spans="2:21" x14ac:dyDescent="0.35">
      <c r="D15" s="9"/>
      <c r="E15" s="9"/>
      <c r="F15" s="15"/>
      <c r="G15" s="15"/>
      <c r="H15" s="15"/>
      <c r="I15" s="9"/>
      <c r="J15" s="9"/>
      <c r="K15" s="18"/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  <c r="T15" s="18" t="str">
        <f t="shared" si="0"/>
        <v/>
      </c>
      <c r="U15" s="18" t="str">
        <f t="shared" si="0"/>
        <v/>
      </c>
    </row>
    <row r="16" spans="2:21" x14ac:dyDescent="0.35">
      <c r="D16" s="9"/>
      <c r="E16" s="9"/>
      <c r="F16" s="15"/>
      <c r="G16" s="15"/>
      <c r="H16" s="15"/>
      <c r="I16" s="9"/>
      <c r="J16" s="9"/>
      <c r="K16" s="18"/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  <c r="T16" s="18" t="str">
        <f t="shared" si="0"/>
        <v/>
      </c>
      <c r="U16" s="18" t="str">
        <f t="shared" si="0"/>
        <v/>
      </c>
    </row>
    <row r="17" spans="4:21" x14ac:dyDescent="0.35">
      <c r="D17" s="9"/>
      <c r="E17" s="9"/>
      <c r="F17" s="15"/>
      <c r="G17" s="15"/>
      <c r="H17" s="15"/>
      <c r="I17" s="9"/>
      <c r="J17" s="9"/>
      <c r="K17" s="18"/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  <c r="T17" s="18" t="str">
        <f t="shared" si="0"/>
        <v/>
      </c>
      <c r="U17" s="18" t="str">
        <f t="shared" si="0"/>
        <v/>
      </c>
    </row>
    <row r="18" spans="4:21" x14ac:dyDescent="0.35">
      <c r="D18" s="9"/>
      <c r="E18" s="9"/>
      <c r="F18" s="15"/>
      <c r="G18" s="15"/>
      <c r="H18" s="15"/>
      <c r="I18" s="9"/>
      <c r="J18" s="9"/>
      <c r="K18" s="18"/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  <c r="T18" s="18" t="str">
        <f t="shared" si="0"/>
        <v/>
      </c>
      <c r="U18" s="18" t="str">
        <f t="shared" si="0"/>
        <v/>
      </c>
    </row>
    <row r="19" spans="4:21" x14ac:dyDescent="0.35">
      <c r="D19" s="9"/>
      <c r="E19" s="9"/>
      <c r="F19" s="15"/>
      <c r="G19" s="15"/>
      <c r="H19" s="15"/>
      <c r="I19" s="9"/>
      <c r="J19" s="9"/>
      <c r="K19" s="18"/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  <c r="T19" s="18" t="str">
        <f t="shared" si="0"/>
        <v/>
      </c>
      <c r="U19" s="18" t="str">
        <f t="shared" si="0"/>
        <v/>
      </c>
    </row>
    <row r="20" spans="4:21" x14ac:dyDescent="0.35">
      <c r="D20" s="9"/>
      <c r="E20" s="9"/>
      <c r="F20" s="15"/>
      <c r="G20" s="15"/>
      <c r="H20" s="15"/>
      <c r="I20" s="9"/>
      <c r="J20" s="9"/>
      <c r="K20" s="18"/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  <c r="T20" s="18" t="str">
        <f t="shared" si="0"/>
        <v/>
      </c>
      <c r="U20" s="18" t="str">
        <f t="shared" si="0"/>
        <v/>
      </c>
    </row>
    <row r="21" spans="4:21" x14ac:dyDescent="0.35">
      <c r="D21" s="9"/>
      <c r="E21" s="9"/>
      <c r="F21" s="15"/>
      <c r="G21" s="15"/>
      <c r="H21" s="15"/>
      <c r="I21" s="9"/>
      <c r="J21" s="9"/>
      <c r="K21" s="18"/>
      <c r="L21" s="18" t="str">
        <f t="shared" ref="L21:U36" si="1">IF(K21="","",K21)</f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  <c r="T21" s="18" t="str">
        <f t="shared" si="1"/>
        <v/>
      </c>
      <c r="U21" s="18" t="str">
        <f t="shared" si="1"/>
        <v/>
      </c>
    </row>
    <row r="22" spans="4:21" x14ac:dyDescent="0.35">
      <c r="D22" s="9"/>
      <c r="E22" s="9"/>
      <c r="F22" s="15"/>
      <c r="G22" s="15"/>
      <c r="H22" s="15"/>
      <c r="I22" s="9"/>
      <c r="J22" s="9"/>
      <c r="K22" s="18"/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  <c r="T22" s="18" t="str">
        <f t="shared" si="1"/>
        <v/>
      </c>
      <c r="U22" s="18" t="str">
        <f t="shared" si="1"/>
        <v/>
      </c>
    </row>
    <row r="23" spans="4:21" x14ac:dyDescent="0.35">
      <c r="D23" s="9"/>
      <c r="E23" s="9"/>
      <c r="F23" s="15"/>
      <c r="G23" s="15"/>
      <c r="H23" s="15"/>
      <c r="I23" s="9"/>
      <c r="J23" s="9"/>
      <c r="K23" s="18"/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  <c r="T23" s="18" t="str">
        <f t="shared" si="1"/>
        <v/>
      </c>
      <c r="U23" s="18" t="str">
        <f t="shared" si="1"/>
        <v/>
      </c>
    </row>
    <row r="24" spans="4:21" x14ac:dyDescent="0.35">
      <c r="D24" s="9"/>
      <c r="E24" s="9"/>
      <c r="F24" s="15"/>
      <c r="G24" s="15"/>
      <c r="H24" s="15"/>
      <c r="I24" s="9"/>
      <c r="J24" s="9"/>
      <c r="K24" s="18"/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  <c r="T24" s="18" t="str">
        <f t="shared" si="1"/>
        <v/>
      </c>
      <c r="U24" s="18" t="str">
        <f t="shared" si="1"/>
        <v/>
      </c>
    </row>
    <row r="25" spans="4:21" x14ac:dyDescent="0.35">
      <c r="D25" s="9"/>
      <c r="E25" s="9"/>
      <c r="F25" s="15"/>
      <c r="G25" s="15"/>
      <c r="H25" s="15"/>
      <c r="I25" s="9"/>
      <c r="J25" s="9"/>
      <c r="K25" s="18"/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  <c r="T25" s="18" t="str">
        <f t="shared" si="1"/>
        <v/>
      </c>
      <c r="U25" s="18" t="str">
        <f t="shared" si="1"/>
        <v/>
      </c>
    </row>
    <row r="26" spans="4:21" x14ac:dyDescent="0.35">
      <c r="D26" s="9"/>
      <c r="E26" s="9"/>
      <c r="F26" s="15"/>
      <c r="G26" s="15"/>
      <c r="H26" s="15"/>
      <c r="I26" s="9"/>
      <c r="J26" s="9"/>
      <c r="K26" s="18"/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  <c r="T26" s="18" t="str">
        <f t="shared" si="1"/>
        <v/>
      </c>
      <c r="U26" s="18" t="str">
        <f t="shared" si="1"/>
        <v/>
      </c>
    </row>
    <row r="27" spans="4:21" x14ac:dyDescent="0.35">
      <c r="D27" s="9"/>
      <c r="E27" s="9"/>
      <c r="F27" s="15"/>
      <c r="G27" s="15"/>
      <c r="H27" s="15"/>
      <c r="I27" s="9"/>
      <c r="J27" s="9"/>
      <c r="K27" s="18"/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  <c r="T27" s="18" t="str">
        <f t="shared" si="1"/>
        <v/>
      </c>
      <c r="U27" s="18" t="str">
        <f t="shared" si="1"/>
        <v/>
      </c>
    </row>
    <row r="28" spans="4:21" x14ac:dyDescent="0.35">
      <c r="D28" s="9"/>
      <c r="E28" s="9"/>
      <c r="F28" s="15"/>
      <c r="G28" s="15"/>
      <c r="H28" s="15"/>
      <c r="I28" s="9"/>
      <c r="J28" s="9"/>
      <c r="K28" s="18"/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  <c r="T28" s="18" t="str">
        <f t="shared" si="1"/>
        <v/>
      </c>
      <c r="U28" s="18" t="str">
        <f t="shared" si="1"/>
        <v/>
      </c>
    </row>
    <row r="29" spans="4:21" x14ac:dyDescent="0.35">
      <c r="D29" s="9"/>
      <c r="E29" s="9"/>
      <c r="F29" s="15"/>
      <c r="G29" s="15"/>
      <c r="H29" s="15"/>
      <c r="I29" s="9"/>
      <c r="J29" s="9"/>
      <c r="K29" s="18"/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  <c r="T29" s="18" t="str">
        <f t="shared" si="1"/>
        <v/>
      </c>
      <c r="U29" s="18" t="str">
        <f t="shared" si="1"/>
        <v/>
      </c>
    </row>
    <row r="30" spans="4:21" x14ac:dyDescent="0.35">
      <c r="D30" s="9"/>
      <c r="E30" s="9"/>
      <c r="F30" s="15"/>
      <c r="G30" s="15"/>
      <c r="H30" s="15"/>
      <c r="I30" s="9"/>
      <c r="J30" s="9"/>
      <c r="K30" s="18"/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  <c r="T30" s="18" t="str">
        <f t="shared" si="1"/>
        <v/>
      </c>
      <c r="U30" s="18" t="str">
        <f t="shared" si="1"/>
        <v/>
      </c>
    </row>
    <row r="31" spans="4:21" x14ac:dyDescent="0.35">
      <c r="D31" s="9"/>
      <c r="E31" s="9"/>
      <c r="F31" s="15"/>
      <c r="G31" s="15"/>
      <c r="H31" s="15"/>
      <c r="I31" s="9"/>
      <c r="J31" s="9"/>
      <c r="K31" s="18"/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  <c r="T31" s="18" t="str">
        <f t="shared" si="1"/>
        <v/>
      </c>
      <c r="U31" s="18" t="str">
        <f t="shared" si="1"/>
        <v/>
      </c>
    </row>
    <row r="32" spans="4:21" x14ac:dyDescent="0.35">
      <c r="D32" s="9"/>
      <c r="E32" s="9"/>
      <c r="F32" s="15"/>
      <c r="G32" s="15"/>
      <c r="H32" s="15"/>
      <c r="I32" s="9"/>
      <c r="J32" s="9"/>
      <c r="K32" s="18"/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  <c r="T32" s="18" t="str">
        <f t="shared" si="1"/>
        <v/>
      </c>
      <c r="U32" s="18" t="str">
        <f t="shared" si="1"/>
        <v/>
      </c>
    </row>
    <row r="33" spans="4:21" x14ac:dyDescent="0.35">
      <c r="D33" s="9"/>
      <c r="E33" s="9"/>
      <c r="F33" s="15"/>
      <c r="G33" s="15"/>
      <c r="H33" s="15"/>
      <c r="I33" s="9"/>
      <c r="J33" s="9"/>
      <c r="K33" s="18"/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  <c r="T33" s="18" t="str">
        <f t="shared" si="1"/>
        <v/>
      </c>
      <c r="U33" s="18" t="str">
        <f t="shared" si="1"/>
        <v/>
      </c>
    </row>
    <row r="34" spans="4:21" x14ac:dyDescent="0.35">
      <c r="D34" s="9"/>
      <c r="E34" s="9"/>
      <c r="F34" s="15"/>
      <c r="G34" s="15"/>
      <c r="H34" s="15"/>
      <c r="I34" s="9"/>
      <c r="J34" s="9"/>
      <c r="K34" s="18"/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  <c r="T34" s="18" t="str">
        <f t="shared" si="1"/>
        <v/>
      </c>
      <c r="U34" s="18" t="str">
        <f t="shared" si="1"/>
        <v/>
      </c>
    </row>
    <row r="35" spans="4:21" x14ac:dyDescent="0.35">
      <c r="D35" s="9"/>
      <c r="E35" s="9"/>
      <c r="F35" s="15"/>
      <c r="G35" s="15"/>
      <c r="H35" s="15"/>
      <c r="I35" s="9"/>
      <c r="J35" s="9"/>
      <c r="K35" s="18"/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  <c r="T35" s="18" t="str">
        <f t="shared" si="1"/>
        <v/>
      </c>
      <c r="U35" s="18" t="str">
        <f t="shared" si="1"/>
        <v/>
      </c>
    </row>
    <row r="36" spans="4:21" x14ac:dyDescent="0.35">
      <c r="D36" s="9"/>
      <c r="E36" s="9"/>
      <c r="F36" s="15"/>
      <c r="G36" s="15"/>
      <c r="H36" s="15"/>
      <c r="I36" s="9"/>
      <c r="J36" s="9"/>
      <c r="K36" s="18"/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  <c r="T36" s="18" t="str">
        <f t="shared" si="1"/>
        <v/>
      </c>
      <c r="U36" s="18" t="str">
        <f t="shared" si="1"/>
        <v/>
      </c>
    </row>
    <row r="37" spans="4:21" x14ac:dyDescent="0.35">
      <c r="D37" s="9"/>
      <c r="E37" s="9"/>
      <c r="F37" s="15"/>
      <c r="G37" s="15"/>
      <c r="H37" s="15"/>
      <c r="I37" s="9"/>
      <c r="J37" s="9"/>
      <c r="K37" s="18"/>
      <c r="L37" s="18" t="str">
        <f t="shared" ref="L37:U50" si="2">IF(K37="","",K37)</f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</row>
    <row r="38" spans="4:21" x14ac:dyDescent="0.35">
      <c r="D38" s="9"/>
      <c r="E38" s="9"/>
      <c r="F38" s="15"/>
      <c r="G38" s="15"/>
      <c r="H38" s="15"/>
      <c r="I38" s="9"/>
      <c r="J38" s="9"/>
      <c r="K38" s="18"/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  <c r="T38" s="18" t="str">
        <f t="shared" si="2"/>
        <v/>
      </c>
      <c r="U38" s="18" t="str">
        <f t="shared" si="2"/>
        <v/>
      </c>
    </row>
    <row r="39" spans="4:21" x14ac:dyDescent="0.35">
      <c r="D39" s="9"/>
      <c r="E39" s="9"/>
      <c r="F39" s="15"/>
      <c r="G39" s="15"/>
      <c r="H39" s="15"/>
      <c r="I39" s="9"/>
      <c r="J39" s="9"/>
      <c r="K39" s="18"/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  <c r="T39" s="18" t="str">
        <f t="shared" si="2"/>
        <v/>
      </c>
      <c r="U39" s="18" t="str">
        <f t="shared" si="2"/>
        <v/>
      </c>
    </row>
    <row r="40" spans="4:21" x14ac:dyDescent="0.35">
      <c r="D40" s="9"/>
      <c r="E40" s="9"/>
      <c r="F40" s="15"/>
      <c r="G40" s="15"/>
      <c r="H40" s="15"/>
      <c r="I40" s="9"/>
      <c r="J40" s="9"/>
      <c r="K40" s="18"/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  <c r="T40" s="18" t="str">
        <f t="shared" si="2"/>
        <v/>
      </c>
      <c r="U40" s="18" t="str">
        <f t="shared" si="2"/>
        <v/>
      </c>
    </row>
    <row r="41" spans="4:21" x14ac:dyDescent="0.35">
      <c r="D41" s="9"/>
      <c r="E41" s="9"/>
      <c r="F41" s="15"/>
      <c r="G41" s="15"/>
      <c r="H41" s="15"/>
      <c r="I41" s="9"/>
      <c r="J41" s="9"/>
      <c r="K41" s="18"/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  <c r="T41" s="18" t="str">
        <f t="shared" si="2"/>
        <v/>
      </c>
      <c r="U41" s="18" t="str">
        <f t="shared" si="2"/>
        <v/>
      </c>
    </row>
    <row r="42" spans="4:21" x14ac:dyDescent="0.35">
      <c r="D42" s="9"/>
      <c r="E42" s="9"/>
      <c r="F42" s="15"/>
      <c r="G42" s="15"/>
      <c r="H42" s="15"/>
      <c r="I42" s="9"/>
      <c r="J42" s="9"/>
      <c r="K42" s="18"/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  <c r="T42" s="18" t="str">
        <f t="shared" si="2"/>
        <v/>
      </c>
      <c r="U42" s="18" t="str">
        <f t="shared" si="2"/>
        <v/>
      </c>
    </row>
    <row r="43" spans="4:21" x14ac:dyDescent="0.35">
      <c r="D43" s="9"/>
      <c r="E43" s="9"/>
      <c r="F43" s="15"/>
      <c r="G43" s="15"/>
      <c r="H43" s="15"/>
      <c r="I43" s="9"/>
      <c r="J43" s="9"/>
      <c r="K43" s="18"/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  <c r="T43" s="18" t="str">
        <f t="shared" si="2"/>
        <v/>
      </c>
      <c r="U43" s="18" t="str">
        <f t="shared" si="2"/>
        <v/>
      </c>
    </row>
    <row r="44" spans="4:21" x14ac:dyDescent="0.35">
      <c r="D44" s="9"/>
      <c r="E44" s="9"/>
      <c r="F44" s="15"/>
      <c r="G44" s="15"/>
      <c r="H44" s="15"/>
      <c r="I44" s="9"/>
      <c r="J44" s="9"/>
      <c r="K44" s="18"/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  <c r="T44" s="18" t="str">
        <f t="shared" si="2"/>
        <v/>
      </c>
      <c r="U44" s="18" t="str">
        <f t="shared" si="2"/>
        <v/>
      </c>
    </row>
    <row r="45" spans="4:21" x14ac:dyDescent="0.35">
      <c r="D45" s="9"/>
      <c r="E45" s="9"/>
      <c r="F45" s="15"/>
      <c r="G45" s="15"/>
      <c r="H45" s="15"/>
      <c r="I45" s="9"/>
      <c r="J45" s="9"/>
      <c r="K45" s="18"/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  <c r="T45" s="18" t="str">
        <f t="shared" si="2"/>
        <v/>
      </c>
      <c r="U45" s="18" t="str">
        <f t="shared" si="2"/>
        <v/>
      </c>
    </row>
    <row r="46" spans="4:21" x14ac:dyDescent="0.35">
      <c r="D46" s="9"/>
      <c r="E46" s="9"/>
      <c r="F46" s="15"/>
      <c r="G46" s="15"/>
      <c r="H46" s="15"/>
      <c r="I46" s="9"/>
      <c r="J46" s="9"/>
      <c r="K46" s="18"/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  <c r="T46" s="18" t="str">
        <f t="shared" si="2"/>
        <v/>
      </c>
      <c r="U46" s="18" t="str">
        <f t="shared" si="2"/>
        <v/>
      </c>
    </row>
    <row r="47" spans="4:21" x14ac:dyDescent="0.35">
      <c r="D47" s="9"/>
      <c r="E47" s="9"/>
      <c r="F47" s="15"/>
      <c r="G47" s="15"/>
      <c r="H47" s="15"/>
      <c r="I47" s="9"/>
      <c r="J47" s="9"/>
      <c r="K47" s="18"/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  <c r="T47" s="18" t="str">
        <f t="shared" si="2"/>
        <v/>
      </c>
      <c r="U47" s="18" t="str">
        <f t="shared" si="2"/>
        <v/>
      </c>
    </row>
    <row r="48" spans="4:21" x14ac:dyDescent="0.35">
      <c r="D48" s="9"/>
      <c r="E48" s="9"/>
      <c r="F48" s="15"/>
      <c r="G48" s="15"/>
      <c r="H48" s="15"/>
      <c r="I48" s="9"/>
      <c r="J48" s="9"/>
      <c r="K48" s="18"/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  <c r="T48" s="18" t="str">
        <f t="shared" si="2"/>
        <v/>
      </c>
      <c r="U48" s="18" t="str">
        <f t="shared" si="2"/>
        <v/>
      </c>
    </row>
    <row r="49" spans="4:21" x14ac:dyDescent="0.35">
      <c r="D49" s="9"/>
      <c r="E49" s="9"/>
      <c r="F49" s="15"/>
      <c r="G49" s="15"/>
      <c r="H49" s="15"/>
      <c r="I49" s="9"/>
      <c r="J49" s="9"/>
      <c r="K49" s="18"/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  <c r="T49" s="18" t="str">
        <f t="shared" si="2"/>
        <v/>
      </c>
      <c r="U49" s="18" t="str">
        <f t="shared" si="2"/>
        <v/>
      </c>
    </row>
    <row r="50" spans="4:21" ht="15" thickBot="1" x14ac:dyDescent="0.4">
      <c r="D50" s="10"/>
      <c r="E50" s="10"/>
      <c r="F50" s="16"/>
      <c r="G50" s="16"/>
      <c r="H50" s="16"/>
      <c r="I50" s="10"/>
      <c r="J50" s="10"/>
      <c r="K50" s="53"/>
      <c r="L50" s="53" t="str">
        <f t="shared" si="2"/>
        <v/>
      </c>
      <c r="M50" s="53" t="str">
        <f t="shared" si="2"/>
        <v/>
      </c>
      <c r="N50" s="53" t="str">
        <f t="shared" si="2"/>
        <v/>
      </c>
      <c r="O50" s="53" t="str">
        <f t="shared" si="2"/>
        <v/>
      </c>
      <c r="P50" s="53" t="str">
        <f t="shared" si="2"/>
        <v/>
      </c>
      <c r="Q50" s="53" t="str">
        <f t="shared" si="2"/>
        <v/>
      </c>
      <c r="R50" s="53" t="str">
        <f t="shared" si="2"/>
        <v/>
      </c>
      <c r="S50" s="53" t="str">
        <f t="shared" si="2"/>
        <v/>
      </c>
      <c r="T50" s="53" t="str">
        <f t="shared" si="2"/>
        <v/>
      </c>
      <c r="U50" s="53" t="str">
        <f t="shared" si="2"/>
        <v/>
      </c>
    </row>
    <row r="51" spans="4:21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4">
    <dataValidation type="list" allowBlank="1" showInputMessage="1" showErrorMessage="1" sqref="D5:E50">
      <formula1>Location</formula1>
    </dataValidation>
    <dataValidation type="list" allowBlank="1" showInputMessage="1" showErrorMessage="1" sqref="F5:F50">
      <formula1>LogisticsProcess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J5:J50">
      <formula1>Unit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G5:G50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11" width="15.81640625" style="5" customWidth="1"/>
    <col min="12" max="21" width="8.81640625" style="5" customWidth="1"/>
    <col min="22" max="16384" width="11.54296875" style="5"/>
  </cols>
  <sheetData>
    <row r="1" spans="2:21" s="107" customFormat="1" ht="25" customHeight="1" x14ac:dyDescent="0.35">
      <c r="B1" s="106" t="s">
        <v>293</v>
      </c>
    </row>
    <row r="3" spans="2:21" ht="15" thickBot="1" x14ac:dyDescent="0.4">
      <c r="D3" s="5" t="str">
        <f>JESA_UploadTable(B1,D4:U50)</f>
        <v>logistics_capex Saved! @08:24:16</v>
      </c>
    </row>
    <row r="4" spans="2:21" ht="30" customHeight="1" thickBot="1" x14ac:dyDescent="0.4">
      <c r="D4" s="109" t="s">
        <v>287</v>
      </c>
      <c r="E4" s="109" t="s">
        <v>288</v>
      </c>
      <c r="F4" s="109" t="s">
        <v>289</v>
      </c>
      <c r="G4" s="109" t="s">
        <v>24</v>
      </c>
      <c r="H4" s="109" t="s">
        <v>290</v>
      </c>
      <c r="I4" s="109" t="s">
        <v>12</v>
      </c>
      <c r="J4" s="109" t="s">
        <v>69</v>
      </c>
      <c r="K4" s="109" t="s">
        <v>149</v>
      </c>
      <c r="L4" s="114" t="s">
        <v>72</v>
      </c>
      <c r="M4" s="114" t="s">
        <v>73</v>
      </c>
      <c r="N4" s="114" t="s">
        <v>74</v>
      </c>
      <c r="O4" s="114" t="s">
        <v>75</v>
      </c>
      <c r="P4" s="114" t="s">
        <v>76</v>
      </c>
      <c r="Q4" s="114" t="s">
        <v>77</v>
      </c>
      <c r="R4" s="114" t="s">
        <v>78</v>
      </c>
      <c r="S4" s="114" t="s">
        <v>79</v>
      </c>
      <c r="T4" s="114" t="s">
        <v>80</v>
      </c>
      <c r="U4" s="114" t="s">
        <v>81</v>
      </c>
    </row>
    <row r="5" spans="2:21" ht="15" thickBot="1" x14ac:dyDescent="0.4">
      <c r="D5" s="8" t="s">
        <v>9</v>
      </c>
      <c r="E5" s="8" t="s">
        <v>2</v>
      </c>
      <c r="F5" s="14" t="s">
        <v>281</v>
      </c>
      <c r="G5" s="14" t="s">
        <v>198</v>
      </c>
      <c r="H5" s="86">
        <v>5</v>
      </c>
      <c r="I5" s="8" t="s">
        <v>22</v>
      </c>
      <c r="J5" s="8" t="s">
        <v>70</v>
      </c>
      <c r="K5" s="8">
        <v>20000</v>
      </c>
      <c r="L5" s="17">
        <v>0</v>
      </c>
      <c r="M5" s="17">
        <v>0</v>
      </c>
      <c r="N5" s="17">
        <v>0</v>
      </c>
      <c r="O5" s="17">
        <v>10</v>
      </c>
      <c r="P5" s="17">
        <v>15</v>
      </c>
      <c r="Q5" s="17">
        <v>35</v>
      </c>
      <c r="R5" s="17">
        <v>25</v>
      </c>
      <c r="S5" s="17">
        <v>15</v>
      </c>
      <c r="T5" s="17">
        <v>0</v>
      </c>
      <c r="U5" s="17">
        <v>0</v>
      </c>
    </row>
    <row r="6" spans="2:21" x14ac:dyDescent="0.35">
      <c r="D6" s="9" t="s">
        <v>2</v>
      </c>
      <c r="E6" s="9" t="s">
        <v>92</v>
      </c>
      <c r="F6" s="15" t="s">
        <v>281</v>
      </c>
      <c r="G6" s="15" t="s">
        <v>279</v>
      </c>
      <c r="H6" s="15">
        <v>2.5</v>
      </c>
      <c r="I6" s="9" t="s">
        <v>260</v>
      </c>
      <c r="J6" s="9" t="s">
        <v>70</v>
      </c>
      <c r="K6" s="9">
        <v>15000</v>
      </c>
      <c r="L6" s="17">
        <v>0</v>
      </c>
      <c r="M6" s="17">
        <v>0</v>
      </c>
      <c r="N6" s="17">
        <v>0</v>
      </c>
      <c r="O6" s="17">
        <v>10</v>
      </c>
      <c r="P6" s="17">
        <v>15</v>
      </c>
      <c r="Q6" s="17">
        <v>35</v>
      </c>
      <c r="R6" s="17">
        <v>25</v>
      </c>
      <c r="S6" s="17">
        <v>15</v>
      </c>
      <c r="T6" s="17">
        <v>0</v>
      </c>
      <c r="U6" s="17">
        <v>0</v>
      </c>
    </row>
    <row r="7" spans="2:21" x14ac:dyDescent="0.35">
      <c r="D7" s="9"/>
      <c r="E7" s="9"/>
      <c r="F7" s="15"/>
      <c r="G7" s="15"/>
      <c r="H7" s="15"/>
      <c r="I7" s="9"/>
      <c r="J7" s="9"/>
      <c r="K7" s="9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2:21" x14ac:dyDescent="0.35">
      <c r="D8" s="9"/>
      <c r="E8" s="9"/>
      <c r="F8" s="15"/>
      <c r="G8" s="15"/>
      <c r="H8" s="15"/>
      <c r="I8" s="9"/>
      <c r="J8" s="9"/>
      <c r="K8" s="9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2:21" x14ac:dyDescent="0.35">
      <c r="D9" s="9"/>
      <c r="E9" s="9"/>
      <c r="F9" s="15"/>
      <c r="G9" s="15"/>
      <c r="H9" s="15"/>
      <c r="I9" s="9"/>
      <c r="J9" s="9"/>
      <c r="K9" s="9"/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2:21" x14ac:dyDescent="0.35">
      <c r="D10" s="9"/>
      <c r="E10" s="9"/>
      <c r="F10" s="15"/>
      <c r="G10" s="15"/>
      <c r="H10" s="15"/>
      <c r="I10" s="9"/>
      <c r="J10" s="9"/>
      <c r="K10" s="9"/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2:21" x14ac:dyDescent="0.35">
      <c r="D11" s="9"/>
      <c r="E11" s="9"/>
      <c r="F11" s="15"/>
      <c r="G11" s="15"/>
      <c r="H11" s="15"/>
      <c r="I11" s="9"/>
      <c r="J11" s="9"/>
      <c r="K11" s="9"/>
      <c r="L11" s="18"/>
      <c r="M11" s="18"/>
      <c r="N11" s="18"/>
      <c r="O11" s="18"/>
      <c r="P11" s="18"/>
      <c r="Q11" s="18"/>
      <c r="R11" s="18"/>
      <c r="S11" s="18"/>
      <c r="T11" s="18"/>
      <c r="U11" s="18"/>
    </row>
    <row r="12" spans="2:21" x14ac:dyDescent="0.35">
      <c r="D12" s="9"/>
      <c r="E12" s="9"/>
      <c r="F12" s="15"/>
      <c r="G12" s="15"/>
      <c r="H12" s="15"/>
      <c r="I12" s="9"/>
      <c r="J12" s="9"/>
      <c r="K12" s="9"/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3" spans="2:21" x14ac:dyDescent="0.35">
      <c r="D13" s="9"/>
      <c r="E13" s="9"/>
      <c r="F13" s="15"/>
      <c r="G13" s="15"/>
      <c r="H13" s="15"/>
      <c r="I13" s="9"/>
      <c r="J13" s="9"/>
      <c r="K13" s="9"/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4" spans="2:21" x14ac:dyDescent="0.35">
      <c r="D14" s="9"/>
      <c r="E14" s="9"/>
      <c r="F14" s="15"/>
      <c r="G14" s="15"/>
      <c r="H14" s="15"/>
      <c r="I14" s="9"/>
      <c r="J14" s="9"/>
      <c r="K14" s="9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2:21" x14ac:dyDescent="0.35">
      <c r="D15" s="9"/>
      <c r="E15" s="9"/>
      <c r="F15" s="15"/>
      <c r="G15" s="15"/>
      <c r="H15" s="15"/>
      <c r="I15" s="9"/>
      <c r="J15" s="9"/>
      <c r="K15" s="9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2:21" x14ac:dyDescent="0.35">
      <c r="D16" s="9"/>
      <c r="E16" s="9"/>
      <c r="F16" s="15"/>
      <c r="G16" s="15"/>
      <c r="H16" s="15"/>
      <c r="I16" s="9"/>
      <c r="J16" s="9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4:21" x14ac:dyDescent="0.35">
      <c r="D17" s="9"/>
      <c r="E17" s="9"/>
      <c r="F17" s="15"/>
      <c r="G17" s="15"/>
      <c r="H17" s="15"/>
      <c r="I17" s="9"/>
      <c r="J17" s="9"/>
      <c r="K17" s="9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4:21" x14ac:dyDescent="0.35">
      <c r="D18" s="9"/>
      <c r="E18" s="9"/>
      <c r="F18" s="15"/>
      <c r="G18" s="15"/>
      <c r="H18" s="15"/>
      <c r="I18" s="9"/>
      <c r="J18" s="9"/>
      <c r="K18" s="9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4:21" x14ac:dyDescent="0.35">
      <c r="D19" s="9"/>
      <c r="E19" s="9"/>
      <c r="F19" s="15"/>
      <c r="G19" s="15"/>
      <c r="H19" s="15"/>
      <c r="I19" s="9"/>
      <c r="J19" s="9"/>
      <c r="K19" s="9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4:21" x14ac:dyDescent="0.35">
      <c r="D20" s="9"/>
      <c r="E20" s="9"/>
      <c r="F20" s="15"/>
      <c r="G20" s="15"/>
      <c r="H20" s="15"/>
      <c r="I20" s="9"/>
      <c r="J20" s="9"/>
      <c r="K20" s="9"/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1" spans="4:21" x14ac:dyDescent="0.35">
      <c r="D21" s="9"/>
      <c r="E21" s="9"/>
      <c r="F21" s="15"/>
      <c r="G21" s="15"/>
      <c r="H21" s="15"/>
      <c r="I21" s="9"/>
      <c r="J21" s="9"/>
      <c r="K21" s="9"/>
      <c r="L21" s="18"/>
      <c r="M21" s="18"/>
      <c r="N21" s="18"/>
      <c r="O21" s="18"/>
      <c r="P21" s="18"/>
      <c r="Q21" s="18"/>
      <c r="R21" s="18"/>
      <c r="S21" s="18"/>
      <c r="T21" s="18"/>
      <c r="U21" s="18"/>
    </row>
    <row r="22" spans="4:21" x14ac:dyDescent="0.35">
      <c r="D22" s="9"/>
      <c r="E22" s="9"/>
      <c r="F22" s="15"/>
      <c r="G22" s="15"/>
      <c r="H22" s="15"/>
      <c r="I22" s="9"/>
      <c r="J22" s="9"/>
      <c r="K22" s="9"/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3" spans="4:21" x14ac:dyDescent="0.35">
      <c r="D23" s="9"/>
      <c r="E23" s="9"/>
      <c r="F23" s="15"/>
      <c r="G23" s="15"/>
      <c r="H23" s="15"/>
      <c r="I23" s="9"/>
      <c r="J23" s="9"/>
      <c r="K23" s="9"/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4" spans="4:21" x14ac:dyDescent="0.35">
      <c r="D24" s="9"/>
      <c r="E24" s="9"/>
      <c r="F24" s="15"/>
      <c r="G24" s="15"/>
      <c r="H24" s="15"/>
      <c r="I24" s="9"/>
      <c r="J24" s="9"/>
      <c r="K24" s="9"/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5" spans="4:21" x14ac:dyDescent="0.35">
      <c r="D25" s="9"/>
      <c r="E25" s="9"/>
      <c r="F25" s="15"/>
      <c r="G25" s="15"/>
      <c r="H25" s="15"/>
      <c r="I25" s="9"/>
      <c r="J25" s="9"/>
      <c r="K25" s="9"/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4:21" x14ac:dyDescent="0.35">
      <c r="D26" s="9"/>
      <c r="E26" s="9"/>
      <c r="F26" s="15"/>
      <c r="G26" s="15"/>
      <c r="H26" s="15"/>
      <c r="I26" s="9"/>
      <c r="J26" s="9"/>
      <c r="K26" s="9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4:21" x14ac:dyDescent="0.35">
      <c r="D27" s="9"/>
      <c r="E27" s="9"/>
      <c r="F27" s="15"/>
      <c r="G27" s="15"/>
      <c r="H27" s="15"/>
      <c r="I27" s="9"/>
      <c r="J27" s="9"/>
      <c r="K27" s="9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4:21" x14ac:dyDescent="0.35">
      <c r="D28" s="9"/>
      <c r="E28" s="9"/>
      <c r="F28" s="15"/>
      <c r="G28" s="15"/>
      <c r="H28" s="15"/>
      <c r="I28" s="9"/>
      <c r="J28" s="9"/>
      <c r="K28" s="9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4:21" x14ac:dyDescent="0.35">
      <c r="D29" s="9"/>
      <c r="E29" s="9"/>
      <c r="F29" s="15"/>
      <c r="G29" s="15"/>
      <c r="H29" s="15"/>
      <c r="I29" s="9"/>
      <c r="J29" s="9"/>
      <c r="K29" s="9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4:21" x14ac:dyDescent="0.35">
      <c r="D30" s="9"/>
      <c r="E30" s="9"/>
      <c r="F30" s="15"/>
      <c r="G30" s="15"/>
      <c r="H30" s="15"/>
      <c r="I30" s="9"/>
      <c r="J30" s="9"/>
      <c r="K30" s="9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4:21" x14ac:dyDescent="0.35">
      <c r="D31" s="9"/>
      <c r="E31" s="9"/>
      <c r="F31" s="15"/>
      <c r="G31" s="15"/>
      <c r="H31" s="15"/>
      <c r="I31" s="9"/>
      <c r="J31" s="9"/>
      <c r="K31" s="9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4:21" x14ac:dyDescent="0.35">
      <c r="D32" s="9"/>
      <c r="E32" s="9"/>
      <c r="F32" s="15"/>
      <c r="G32" s="15"/>
      <c r="H32" s="15"/>
      <c r="I32" s="9"/>
      <c r="J32" s="9"/>
      <c r="K32" s="9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4:21" x14ac:dyDescent="0.35">
      <c r="D33" s="9"/>
      <c r="E33" s="9"/>
      <c r="F33" s="15"/>
      <c r="G33" s="15"/>
      <c r="H33" s="15"/>
      <c r="I33" s="9"/>
      <c r="J33" s="9"/>
      <c r="K33" s="9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4:21" x14ac:dyDescent="0.35">
      <c r="D34" s="9"/>
      <c r="E34" s="9"/>
      <c r="F34" s="15"/>
      <c r="G34" s="15"/>
      <c r="H34" s="15"/>
      <c r="I34" s="9"/>
      <c r="J34" s="9"/>
      <c r="K34" s="9"/>
      <c r="L34" s="18"/>
      <c r="M34" s="18"/>
      <c r="N34" s="18"/>
      <c r="O34" s="18"/>
      <c r="P34" s="18"/>
      <c r="Q34" s="18"/>
      <c r="R34" s="18"/>
      <c r="S34" s="18"/>
      <c r="T34" s="18"/>
      <c r="U34" s="18"/>
    </row>
    <row r="35" spans="4:21" x14ac:dyDescent="0.35">
      <c r="D35" s="9"/>
      <c r="E35" s="9"/>
      <c r="F35" s="15"/>
      <c r="G35" s="15"/>
      <c r="H35" s="15"/>
      <c r="I35" s="9"/>
      <c r="J35" s="9"/>
      <c r="K35" s="9"/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x14ac:dyDescent="0.35">
      <c r="D36" s="9"/>
      <c r="E36" s="9"/>
      <c r="F36" s="15"/>
      <c r="G36" s="15"/>
      <c r="H36" s="15"/>
      <c r="I36" s="9"/>
      <c r="J36" s="9"/>
      <c r="K36" s="9"/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x14ac:dyDescent="0.35">
      <c r="D37" s="9"/>
      <c r="E37" s="9"/>
      <c r="F37" s="15"/>
      <c r="G37" s="15"/>
      <c r="H37" s="15"/>
      <c r="I37" s="9"/>
      <c r="J37" s="9"/>
      <c r="K37" s="9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4:21" x14ac:dyDescent="0.35">
      <c r="D38" s="9"/>
      <c r="E38" s="9"/>
      <c r="F38" s="15"/>
      <c r="G38" s="15"/>
      <c r="H38" s="15"/>
      <c r="I38" s="9"/>
      <c r="J38" s="9"/>
      <c r="K38" s="9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4:21" x14ac:dyDescent="0.35">
      <c r="D39" s="9"/>
      <c r="E39" s="9"/>
      <c r="F39" s="15"/>
      <c r="G39" s="15"/>
      <c r="H39" s="15"/>
      <c r="I39" s="9"/>
      <c r="J39" s="9"/>
      <c r="K39" s="9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4:21" x14ac:dyDescent="0.35">
      <c r="D40" s="9"/>
      <c r="E40" s="9"/>
      <c r="F40" s="15"/>
      <c r="G40" s="15"/>
      <c r="H40" s="15"/>
      <c r="I40" s="9"/>
      <c r="J40" s="9"/>
      <c r="K40" s="9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4:21" x14ac:dyDescent="0.35">
      <c r="D41" s="9"/>
      <c r="E41" s="9"/>
      <c r="F41" s="15"/>
      <c r="G41" s="15"/>
      <c r="H41" s="15"/>
      <c r="I41" s="9"/>
      <c r="J41" s="9"/>
      <c r="K41" s="9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4:21" x14ac:dyDescent="0.35">
      <c r="D42" s="9"/>
      <c r="E42" s="9"/>
      <c r="F42" s="15"/>
      <c r="G42" s="15"/>
      <c r="H42" s="15"/>
      <c r="I42" s="9"/>
      <c r="J42" s="9"/>
      <c r="K42" s="9"/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4:21" x14ac:dyDescent="0.35">
      <c r="D43" s="9"/>
      <c r="E43" s="9"/>
      <c r="F43" s="15"/>
      <c r="G43" s="15"/>
      <c r="H43" s="15"/>
      <c r="I43" s="9"/>
      <c r="J43" s="9"/>
      <c r="K43" s="9"/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4:21" x14ac:dyDescent="0.35">
      <c r="D44" s="9"/>
      <c r="E44" s="9"/>
      <c r="F44" s="15"/>
      <c r="G44" s="15"/>
      <c r="H44" s="15"/>
      <c r="I44" s="9"/>
      <c r="J44" s="9"/>
      <c r="K44" s="9"/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4:21" x14ac:dyDescent="0.35">
      <c r="D45" s="9"/>
      <c r="E45" s="9"/>
      <c r="F45" s="15"/>
      <c r="G45" s="15"/>
      <c r="H45" s="15"/>
      <c r="I45" s="9"/>
      <c r="J45" s="9"/>
      <c r="K45" s="9"/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4:21" x14ac:dyDescent="0.35">
      <c r="D46" s="9"/>
      <c r="E46" s="9"/>
      <c r="F46" s="15"/>
      <c r="G46" s="15"/>
      <c r="H46" s="15"/>
      <c r="I46" s="9"/>
      <c r="J46" s="9"/>
      <c r="K46" s="9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4:21" x14ac:dyDescent="0.35">
      <c r="D47" s="9"/>
      <c r="E47" s="9"/>
      <c r="F47" s="15"/>
      <c r="G47" s="15"/>
      <c r="H47" s="15"/>
      <c r="I47" s="9"/>
      <c r="J47" s="9"/>
      <c r="K47" s="9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4:21" x14ac:dyDescent="0.35">
      <c r="D48" s="9"/>
      <c r="E48" s="9"/>
      <c r="F48" s="15"/>
      <c r="G48" s="15"/>
      <c r="H48" s="15"/>
      <c r="I48" s="9"/>
      <c r="J48" s="9"/>
      <c r="K48" s="9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4:21" x14ac:dyDescent="0.35">
      <c r="D49" s="9"/>
      <c r="E49" s="9"/>
      <c r="F49" s="15"/>
      <c r="G49" s="15"/>
      <c r="H49" s="15"/>
      <c r="I49" s="9"/>
      <c r="J49" s="9"/>
      <c r="K49" s="9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4:21" ht="15" thickBot="1" x14ac:dyDescent="0.4">
      <c r="D50" s="10"/>
      <c r="E50" s="10"/>
      <c r="F50" s="16"/>
      <c r="G50" s="16"/>
      <c r="H50" s="16"/>
      <c r="I50" s="10"/>
      <c r="J50" s="10"/>
      <c r="K50" s="10"/>
      <c r="L50" s="53"/>
      <c r="M50" s="53"/>
      <c r="N50" s="53"/>
      <c r="O50" s="53"/>
      <c r="P50" s="53"/>
      <c r="Q50" s="53"/>
      <c r="R50" s="53"/>
      <c r="S50" s="53"/>
      <c r="T50" s="53"/>
      <c r="U50" s="53"/>
    </row>
    <row r="51" spans="4:21" x14ac:dyDescent="0.3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4">
    <dataValidation type="list" allowBlank="1" showInputMessage="1" showErrorMessage="1" sqref="D5:E50">
      <formula1>Location</formula1>
    </dataValidation>
    <dataValidation type="list" allowBlank="1" showInputMessage="1" showErrorMessage="1" sqref="F5:F50">
      <formula1>LogisticsProcess</formula1>
    </dataValidation>
    <dataValidation type="list" allowBlank="1" showInputMessage="1" showErrorMessage="1" sqref="I5:I50">
      <formula1>LogisticsCapex</formula1>
    </dataValidation>
    <dataValidation type="list" allowBlank="1" showInputMessage="1" showErrorMessage="1" sqref="J5:K50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G5:G50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16" customFormat="1" ht="25" customHeight="1" x14ac:dyDescent="0.35">
      <c r="B1" s="115" t="s">
        <v>294</v>
      </c>
    </row>
    <row r="3" spans="2:10" ht="15" thickBot="1" x14ac:dyDescent="0.4">
      <c r="D3" s="1" t="str">
        <f>JESA_UploadTable(D4,D4:D40)</f>
        <v>utilities.process Saved! @08:24:14</v>
      </c>
      <c r="F3" s="1" t="str">
        <f>JESA_UploadTable(F4,F4:F40)</f>
        <v>utilities.product Saved! @08:24:17</v>
      </c>
      <c r="H3" s="1" t="str">
        <f>JESA_UploadTable(H4,H4:H40)</f>
        <v>utilities.capex Saved! @08:24:16</v>
      </c>
      <c r="J3" s="1" t="str">
        <f>JESA_UploadTable(J4,J4:J40)</f>
        <v>utilities.name Saved! @08:24:15</v>
      </c>
    </row>
    <row r="4" spans="2:10" ht="30" customHeight="1" thickBot="1" x14ac:dyDescent="0.4">
      <c r="D4" s="117" t="s">
        <v>295</v>
      </c>
      <c r="F4" s="117" t="s">
        <v>296</v>
      </c>
      <c r="H4" s="117" t="s">
        <v>297</v>
      </c>
      <c r="J4" s="117" t="s">
        <v>298</v>
      </c>
    </row>
    <row r="5" spans="2:10" x14ac:dyDescent="0.35">
      <c r="D5" s="97" t="s">
        <v>299</v>
      </c>
      <c r="F5" s="97" t="s">
        <v>284</v>
      </c>
      <c r="H5" s="97" t="s">
        <v>22</v>
      </c>
      <c r="J5" s="97" t="s">
        <v>300</v>
      </c>
    </row>
    <row r="6" spans="2:10" x14ac:dyDescent="0.35">
      <c r="D6" s="98" t="s">
        <v>301</v>
      </c>
      <c r="F6" s="98" t="s">
        <v>15</v>
      </c>
      <c r="H6" s="98" t="s">
        <v>260</v>
      </c>
      <c r="J6" s="98" t="s">
        <v>302</v>
      </c>
    </row>
    <row r="7" spans="2:10" x14ac:dyDescent="0.35">
      <c r="D7" s="98" t="s">
        <v>288</v>
      </c>
      <c r="F7" s="98"/>
      <c r="H7" s="98" t="s">
        <v>282</v>
      </c>
      <c r="J7" s="98"/>
    </row>
    <row r="8" spans="2:10" x14ac:dyDescent="0.35">
      <c r="D8" s="98" t="s">
        <v>303</v>
      </c>
      <c r="F8" s="98"/>
      <c r="H8" s="98" t="s">
        <v>285</v>
      </c>
      <c r="J8" s="98"/>
    </row>
    <row r="9" spans="2:10" x14ac:dyDescent="0.35">
      <c r="D9" s="98" t="s">
        <v>304</v>
      </c>
      <c r="F9" s="98"/>
      <c r="H9" s="98"/>
      <c r="J9" s="98"/>
    </row>
    <row r="10" spans="2:10" x14ac:dyDescent="0.35">
      <c r="D10" s="98"/>
      <c r="F10" s="98"/>
      <c r="H10" s="98"/>
      <c r="J10" s="98"/>
    </row>
    <row r="11" spans="2:10" x14ac:dyDescent="0.35">
      <c r="D11" s="98"/>
      <c r="F11" s="98"/>
      <c r="H11" s="98"/>
      <c r="J11" s="98"/>
    </row>
    <row r="12" spans="2:10" x14ac:dyDescent="0.35">
      <c r="D12" s="98"/>
      <c r="F12" s="98"/>
      <c r="H12" s="98"/>
      <c r="J12" s="98"/>
    </row>
    <row r="13" spans="2:10" x14ac:dyDescent="0.35">
      <c r="D13" s="98"/>
      <c r="F13" s="98"/>
      <c r="H13" s="98"/>
      <c r="J13" s="98"/>
    </row>
    <row r="14" spans="2:10" x14ac:dyDescent="0.35">
      <c r="D14" s="98"/>
      <c r="F14" s="98"/>
      <c r="H14" s="98"/>
      <c r="J14" s="98"/>
    </row>
    <row r="15" spans="2:10" x14ac:dyDescent="0.35">
      <c r="D15" s="98"/>
      <c r="F15" s="98"/>
      <c r="H15" s="98"/>
      <c r="J15" s="98"/>
    </row>
    <row r="16" spans="2:10" x14ac:dyDescent="0.35">
      <c r="D16" s="98"/>
      <c r="F16" s="98"/>
      <c r="H16" s="98"/>
      <c r="J16" s="98"/>
    </row>
    <row r="17" spans="4:10" x14ac:dyDescent="0.35">
      <c r="D17" s="98"/>
      <c r="F17" s="98"/>
      <c r="H17" s="98"/>
      <c r="J17" s="98"/>
    </row>
    <row r="18" spans="4:10" x14ac:dyDescent="0.35">
      <c r="D18" s="98"/>
      <c r="F18" s="98"/>
      <c r="H18" s="98"/>
      <c r="J18" s="98"/>
    </row>
    <row r="19" spans="4:10" x14ac:dyDescent="0.35">
      <c r="D19" s="98"/>
      <c r="F19" s="98"/>
      <c r="H19" s="98"/>
      <c r="J19" s="98"/>
    </row>
    <row r="20" spans="4:10" x14ac:dyDescent="0.35">
      <c r="D20" s="98"/>
      <c r="F20" s="98"/>
      <c r="H20" s="98"/>
      <c r="J20" s="98"/>
    </row>
    <row r="21" spans="4:10" x14ac:dyDescent="0.35">
      <c r="D21" s="98"/>
      <c r="F21" s="98"/>
      <c r="H21" s="98"/>
      <c r="J21" s="98"/>
    </row>
    <row r="22" spans="4:10" x14ac:dyDescent="0.35">
      <c r="D22" s="98"/>
      <c r="F22" s="98"/>
      <c r="H22" s="98"/>
      <c r="J22" s="98"/>
    </row>
    <row r="23" spans="4:10" x14ac:dyDescent="0.35">
      <c r="D23" s="98"/>
      <c r="F23" s="98"/>
      <c r="H23" s="98"/>
      <c r="J23" s="98"/>
    </row>
    <row r="24" spans="4:10" x14ac:dyDescent="0.35">
      <c r="D24" s="98"/>
      <c r="F24" s="98"/>
      <c r="H24" s="98"/>
      <c r="J24" s="98"/>
    </row>
    <row r="25" spans="4:10" x14ac:dyDescent="0.35">
      <c r="D25" s="98"/>
      <c r="F25" s="98"/>
      <c r="H25" s="98"/>
      <c r="J25" s="98"/>
    </row>
    <row r="26" spans="4:10" x14ac:dyDescent="0.35">
      <c r="D26" s="98"/>
      <c r="F26" s="98"/>
      <c r="H26" s="98"/>
      <c r="J26" s="98"/>
    </row>
    <row r="27" spans="4:10" x14ac:dyDescent="0.35">
      <c r="D27" s="98"/>
      <c r="F27" s="98"/>
      <c r="H27" s="98"/>
      <c r="J27" s="98"/>
    </row>
    <row r="28" spans="4:10" x14ac:dyDescent="0.35">
      <c r="D28" s="98"/>
      <c r="F28" s="98"/>
      <c r="H28" s="98"/>
      <c r="J28" s="98"/>
    </row>
    <row r="29" spans="4:10" x14ac:dyDescent="0.35">
      <c r="D29" s="98"/>
      <c r="F29" s="98"/>
      <c r="H29" s="98"/>
      <c r="J29" s="98"/>
    </row>
    <row r="30" spans="4:10" x14ac:dyDescent="0.35">
      <c r="D30" s="98"/>
      <c r="F30" s="98"/>
      <c r="H30" s="98"/>
      <c r="J30" s="98"/>
    </row>
    <row r="31" spans="4:10" x14ac:dyDescent="0.35">
      <c r="D31" s="98"/>
      <c r="F31" s="98"/>
      <c r="H31" s="98"/>
      <c r="J31" s="98"/>
    </row>
    <row r="32" spans="4:10" x14ac:dyDescent="0.35">
      <c r="D32" s="98"/>
      <c r="F32" s="98"/>
      <c r="H32" s="98"/>
      <c r="J32" s="98"/>
    </row>
    <row r="33" spans="4:10" x14ac:dyDescent="0.35">
      <c r="D33" s="98"/>
      <c r="F33" s="98"/>
      <c r="H33" s="98"/>
      <c r="J33" s="98"/>
    </row>
    <row r="34" spans="4:10" x14ac:dyDescent="0.35">
      <c r="D34" s="98"/>
      <c r="F34" s="98"/>
      <c r="H34" s="98"/>
      <c r="J34" s="98"/>
    </row>
    <row r="35" spans="4:10" x14ac:dyDescent="0.35">
      <c r="D35" s="98"/>
      <c r="F35" s="98"/>
      <c r="H35" s="98"/>
      <c r="J35" s="98"/>
    </row>
    <row r="36" spans="4:10" x14ac:dyDescent="0.35">
      <c r="D36" s="98"/>
      <c r="F36" s="98"/>
      <c r="H36" s="98"/>
      <c r="J36" s="98"/>
    </row>
    <row r="37" spans="4:10" x14ac:dyDescent="0.35">
      <c r="D37" s="98"/>
      <c r="F37" s="98"/>
      <c r="H37" s="98"/>
      <c r="J37" s="98"/>
    </row>
    <row r="38" spans="4:10" x14ac:dyDescent="0.35">
      <c r="D38" s="98"/>
      <c r="F38" s="98"/>
      <c r="H38" s="98"/>
      <c r="J38" s="98"/>
    </row>
    <row r="39" spans="4:10" x14ac:dyDescent="0.35">
      <c r="D39" s="98"/>
      <c r="F39" s="98"/>
      <c r="H39" s="98"/>
      <c r="J39" s="98"/>
    </row>
    <row r="40" spans="4:10" ht="15" thickBot="1" x14ac:dyDescent="0.4">
      <c r="D40" s="99" t="s">
        <v>94</v>
      </c>
      <c r="F40" s="99" t="s">
        <v>94</v>
      </c>
      <c r="H40" s="99" t="s">
        <v>94</v>
      </c>
      <c r="J40" s="99" t="s">
        <v>94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>
    <tabColor theme="4"/>
  </sheetPr>
  <dimension ref="B1:N51"/>
  <sheetViews>
    <sheetView workbookViewId="0">
      <selection activeCell="B6" sqref="B6"/>
    </sheetView>
  </sheetViews>
  <sheetFormatPr defaultColWidth="11.54296875" defaultRowHeight="14.5" x14ac:dyDescent="0.35"/>
  <cols>
    <col min="1" max="3" width="3.81640625" style="5" customWidth="1"/>
    <col min="4" max="5" width="15.81640625" style="5" customWidth="1"/>
    <col min="6" max="6" width="20.81640625" style="5" customWidth="1"/>
    <col min="7" max="12" width="15.81640625" style="5" customWidth="1"/>
    <col min="13" max="13" width="3.81640625" style="5" customWidth="1"/>
    <col min="14" max="14" width="55.81640625" style="5" customWidth="1"/>
    <col min="15" max="16384" width="11.54296875" style="5"/>
  </cols>
  <sheetData>
    <row r="1" spans="2:14" s="116" customFormat="1" ht="25" customHeight="1" x14ac:dyDescent="0.35">
      <c r="B1" s="115" t="s">
        <v>305</v>
      </c>
    </row>
    <row r="3" spans="2:14" ht="15" thickBot="1" x14ac:dyDescent="0.4">
      <c r="E3" s="5" t="str">
        <f>JESA_UploadTable(B1,E4:H50)</f>
        <v>utilities_options Saved! @08:24:15</v>
      </c>
      <c r="N3" s="5" t="str">
        <f>JESA_UploadTable(N4,N4:N50)</f>
        <v>utilities.moniker Saved! @08:24:15</v>
      </c>
    </row>
    <row r="4" spans="2:14" ht="30" customHeight="1" thickBot="1" x14ac:dyDescent="0.4">
      <c r="D4" s="117" t="s">
        <v>30</v>
      </c>
      <c r="E4" s="117" t="s">
        <v>8</v>
      </c>
      <c r="F4" s="118" t="s">
        <v>25</v>
      </c>
      <c r="G4" s="117" t="s">
        <v>24</v>
      </c>
      <c r="H4" s="117" t="s">
        <v>290</v>
      </c>
      <c r="I4" s="117" t="s">
        <v>17</v>
      </c>
      <c r="J4" s="117" t="s">
        <v>71</v>
      </c>
      <c r="K4" s="117" t="s">
        <v>306</v>
      </c>
      <c r="L4" s="117" t="s">
        <v>307</v>
      </c>
      <c r="M4" s="119" t="s">
        <v>308</v>
      </c>
      <c r="N4" s="120" t="s">
        <v>309</v>
      </c>
    </row>
    <row r="5" spans="2:14" x14ac:dyDescent="0.35">
      <c r="D5" s="50" t="s">
        <v>300</v>
      </c>
      <c r="E5" s="50" t="s">
        <v>9</v>
      </c>
      <c r="F5" s="50" t="s">
        <v>299</v>
      </c>
      <c r="G5" s="86" t="s">
        <v>284</v>
      </c>
      <c r="H5" s="121">
        <v>5</v>
      </c>
      <c r="I5" s="86" t="s">
        <v>142</v>
      </c>
      <c r="J5" s="87" t="s">
        <v>36</v>
      </c>
      <c r="K5" s="86">
        <v>1980</v>
      </c>
      <c r="L5" s="86">
        <v>2025</v>
      </c>
      <c r="M5" s="111"/>
      <c r="N5" s="8" t="str">
        <f t="shared" ref="N5:N51" si="0">IF(E5="","","Utilities/"&amp;CONCATENATE(D5,"/",E5,"/",F5,"/",G5,"/",H5,I5))</f>
        <v>Utilities/STEP BG1/Benguerir/Desalination plant/Water/5Mt</v>
      </c>
    </row>
    <row r="6" spans="2:14" x14ac:dyDescent="0.35">
      <c r="D6" s="9" t="s">
        <v>302</v>
      </c>
      <c r="E6" s="9" t="s">
        <v>3</v>
      </c>
      <c r="F6" s="9" t="s">
        <v>299</v>
      </c>
      <c r="G6" s="15" t="s">
        <v>284</v>
      </c>
      <c r="H6" s="46">
        <v>2.5</v>
      </c>
      <c r="I6" s="15" t="s">
        <v>310</v>
      </c>
      <c r="J6" s="11" t="s">
        <v>150</v>
      </c>
      <c r="K6" s="15">
        <f t="shared" ref="K6:K50" si="1">IF(H6="New",2100,)</f>
        <v>0</v>
      </c>
      <c r="L6" s="15">
        <f t="shared" ref="L6:L50" si="2">IF(J6="New",2100,)</f>
        <v>2100</v>
      </c>
      <c r="M6" s="111"/>
      <c r="N6" s="9" t="str">
        <f t="shared" si="0"/>
        <v>Utilities/STEP BG2/Mzinda/Desalination plant/Water/2.5Mm3</v>
      </c>
    </row>
    <row r="7" spans="2:14" x14ac:dyDescent="0.35">
      <c r="D7" s="9"/>
      <c r="E7" s="9"/>
      <c r="F7" s="9"/>
      <c r="G7" s="15"/>
      <c r="H7" s="46"/>
      <c r="I7" s="15"/>
      <c r="J7" s="11"/>
      <c r="K7" s="15">
        <f t="shared" si="1"/>
        <v>0</v>
      </c>
      <c r="L7" s="15">
        <f t="shared" si="2"/>
        <v>0</v>
      </c>
      <c r="M7" s="111"/>
      <c r="N7" s="9" t="str">
        <f t="shared" si="0"/>
        <v/>
      </c>
    </row>
    <row r="8" spans="2:14" x14ac:dyDescent="0.35">
      <c r="D8" s="9"/>
      <c r="E8" s="9"/>
      <c r="F8" s="9"/>
      <c r="G8" s="15"/>
      <c r="H8" s="46"/>
      <c r="I8" s="15"/>
      <c r="J8" s="11"/>
      <c r="K8" s="15">
        <f t="shared" si="1"/>
        <v>0</v>
      </c>
      <c r="L8" s="15">
        <f t="shared" si="2"/>
        <v>0</v>
      </c>
      <c r="M8" s="111"/>
      <c r="N8" s="9" t="str">
        <f t="shared" si="0"/>
        <v/>
      </c>
    </row>
    <row r="9" spans="2:14" x14ac:dyDescent="0.35">
      <c r="D9" s="9"/>
      <c r="E9" s="9"/>
      <c r="F9" s="9"/>
      <c r="G9" s="15"/>
      <c r="H9" s="46"/>
      <c r="I9" s="15"/>
      <c r="J9" s="11"/>
      <c r="K9" s="15">
        <f t="shared" si="1"/>
        <v>0</v>
      </c>
      <c r="L9" s="15">
        <f t="shared" si="2"/>
        <v>0</v>
      </c>
      <c r="M9" s="111"/>
      <c r="N9" s="9" t="str">
        <f t="shared" si="0"/>
        <v/>
      </c>
    </row>
    <row r="10" spans="2:14" x14ac:dyDescent="0.35">
      <c r="D10" s="9"/>
      <c r="E10" s="9"/>
      <c r="F10" s="9"/>
      <c r="G10" s="15"/>
      <c r="H10" s="46"/>
      <c r="I10" s="15"/>
      <c r="J10" s="11"/>
      <c r="K10" s="15">
        <f t="shared" si="1"/>
        <v>0</v>
      </c>
      <c r="L10" s="15">
        <f t="shared" si="2"/>
        <v>0</v>
      </c>
      <c r="M10" s="111"/>
      <c r="N10" s="9" t="str">
        <f t="shared" si="0"/>
        <v/>
      </c>
    </row>
    <row r="11" spans="2:14" x14ac:dyDescent="0.35">
      <c r="D11" s="9"/>
      <c r="E11" s="9"/>
      <c r="F11" s="9"/>
      <c r="G11" s="15"/>
      <c r="H11" s="46"/>
      <c r="I11" s="15"/>
      <c r="J11" s="11"/>
      <c r="K11" s="15">
        <f t="shared" si="1"/>
        <v>0</v>
      </c>
      <c r="L11" s="15">
        <f t="shared" si="2"/>
        <v>0</v>
      </c>
      <c r="M11" s="111"/>
      <c r="N11" s="9" t="str">
        <f t="shared" si="0"/>
        <v/>
      </c>
    </row>
    <row r="12" spans="2:14" x14ac:dyDescent="0.35">
      <c r="D12" s="9"/>
      <c r="E12" s="9"/>
      <c r="F12" s="9"/>
      <c r="G12" s="15"/>
      <c r="H12" s="46"/>
      <c r="I12" s="15"/>
      <c r="J12" s="11"/>
      <c r="K12" s="15">
        <f t="shared" si="1"/>
        <v>0</v>
      </c>
      <c r="L12" s="15">
        <f t="shared" si="2"/>
        <v>0</v>
      </c>
      <c r="M12" s="111"/>
      <c r="N12" s="9" t="str">
        <f t="shared" si="0"/>
        <v/>
      </c>
    </row>
    <row r="13" spans="2:14" x14ac:dyDescent="0.35">
      <c r="D13" s="9"/>
      <c r="E13" s="9"/>
      <c r="F13" s="9"/>
      <c r="G13" s="15"/>
      <c r="H13" s="46"/>
      <c r="I13" s="15"/>
      <c r="J13" s="11"/>
      <c r="K13" s="15">
        <f t="shared" si="1"/>
        <v>0</v>
      </c>
      <c r="L13" s="15">
        <f t="shared" si="2"/>
        <v>0</v>
      </c>
      <c r="M13" s="111"/>
      <c r="N13" s="9" t="str">
        <f t="shared" si="0"/>
        <v/>
      </c>
    </row>
    <row r="14" spans="2:14" x14ac:dyDescent="0.35">
      <c r="D14" s="9"/>
      <c r="E14" s="9"/>
      <c r="F14" s="9"/>
      <c r="G14" s="15"/>
      <c r="H14" s="46"/>
      <c r="I14" s="15"/>
      <c r="J14" s="11"/>
      <c r="K14" s="15">
        <f t="shared" si="1"/>
        <v>0</v>
      </c>
      <c r="L14" s="15">
        <f t="shared" si="2"/>
        <v>0</v>
      </c>
      <c r="M14" s="111"/>
      <c r="N14" s="9" t="str">
        <f t="shared" si="0"/>
        <v/>
      </c>
    </row>
    <row r="15" spans="2:14" x14ac:dyDescent="0.35">
      <c r="D15" s="9"/>
      <c r="E15" s="9"/>
      <c r="F15" s="9"/>
      <c r="G15" s="15"/>
      <c r="H15" s="46"/>
      <c r="I15" s="15"/>
      <c r="J15" s="11"/>
      <c r="K15" s="15">
        <f t="shared" si="1"/>
        <v>0</v>
      </c>
      <c r="L15" s="15">
        <f t="shared" si="2"/>
        <v>0</v>
      </c>
      <c r="M15" s="111"/>
      <c r="N15" s="9" t="str">
        <f t="shared" si="0"/>
        <v/>
      </c>
    </row>
    <row r="16" spans="2:14" x14ac:dyDescent="0.35">
      <c r="D16" s="9"/>
      <c r="E16" s="9"/>
      <c r="F16" s="9"/>
      <c r="G16" s="15"/>
      <c r="H16" s="46"/>
      <c r="I16" s="15"/>
      <c r="J16" s="11"/>
      <c r="K16" s="15">
        <f t="shared" si="1"/>
        <v>0</v>
      </c>
      <c r="L16" s="15">
        <f t="shared" si="2"/>
        <v>0</v>
      </c>
      <c r="M16" s="111"/>
      <c r="N16" s="9" t="str">
        <f t="shared" si="0"/>
        <v/>
      </c>
    </row>
    <row r="17" spans="4:14" x14ac:dyDescent="0.35">
      <c r="D17" s="9"/>
      <c r="E17" s="9"/>
      <c r="F17" s="9"/>
      <c r="G17" s="15"/>
      <c r="H17" s="46"/>
      <c r="I17" s="15"/>
      <c r="J17" s="11"/>
      <c r="K17" s="15">
        <f t="shared" si="1"/>
        <v>0</v>
      </c>
      <c r="L17" s="15">
        <f t="shared" si="2"/>
        <v>0</v>
      </c>
      <c r="M17" s="111"/>
      <c r="N17" s="9" t="str">
        <f t="shared" si="0"/>
        <v/>
      </c>
    </row>
    <row r="18" spans="4:14" x14ac:dyDescent="0.35">
      <c r="D18" s="9"/>
      <c r="E18" s="9"/>
      <c r="F18" s="9"/>
      <c r="G18" s="15"/>
      <c r="H18" s="46"/>
      <c r="I18" s="15"/>
      <c r="J18" s="11"/>
      <c r="K18" s="15">
        <f t="shared" si="1"/>
        <v>0</v>
      </c>
      <c r="L18" s="15">
        <f t="shared" si="2"/>
        <v>0</v>
      </c>
      <c r="M18" s="111"/>
      <c r="N18" s="9" t="str">
        <f t="shared" si="0"/>
        <v/>
      </c>
    </row>
    <row r="19" spans="4:14" x14ac:dyDescent="0.35">
      <c r="D19" s="9"/>
      <c r="E19" s="9"/>
      <c r="F19" s="9"/>
      <c r="G19" s="15"/>
      <c r="H19" s="46"/>
      <c r="I19" s="15"/>
      <c r="J19" s="11"/>
      <c r="K19" s="15">
        <f t="shared" si="1"/>
        <v>0</v>
      </c>
      <c r="L19" s="15">
        <f t="shared" si="2"/>
        <v>0</v>
      </c>
      <c r="M19" s="111"/>
      <c r="N19" s="9" t="str">
        <f t="shared" si="0"/>
        <v/>
      </c>
    </row>
    <row r="20" spans="4:14" x14ac:dyDescent="0.35">
      <c r="D20" s="9"/>
      <c r="E20" s="9"/>
      <c r="F20" s="9"/>
      <c r="G20" s="15"/>
      <c r="H20" s="46"/>
      <c r="I20" s="15"/>
      <c r="J20" s="11"/>
      <c r="K20" s="15">
        <f t="shared" si="1"/>
        <v>0</v>
      </c>
      <c r="L20" s="15">
        <f t="shared" si="2"/>
        <v>0</v>
      </c>
      <c r="M20" s="111"/>
      <c r="N20" s="9" t="str">
        <f t="shared" si="0"/>
        <v/>
      </c>
    </row>
    <row r="21" spans="4:14" x14ac:dyDescent="0.35">
      <c r="D21" s="9"/>
      <c r="E21" s="9"/>
      <c r="F21" s="9"/>
      <c r="G21" s="15"/>
      <c r="H21" s="46"/>
      <c r="I21" s="15"/>
      <c r="J21" s="11"/>
      <c r="K21" s="15">
        <f t="shared" si="1"/>
        <v>0</v>
      </c>
      <c r="L21" s="15">
        <f t="shared" si="2"/>
        <v>0</v>
      </c>
      <c r="M21" s="111"/>
      <c r="N21" s="9" t="str">
        <f t="shared" si="0"/>
        <v/>
      </c>
    </row>
    <row r="22" spans="4:14" x14ac:dyDescent="0.35">
      <c r="D22" s="9"/>
      <c r="E22" s="9"/>
      <c r="F22" s="9"/>
      <c r="G22" s="15"/>
      <c r="H22" s="46"/>
      <c r="I22" s="15"/>
      <c r="J22" s="11"/>
      <c r="K22" s="15">
        <f t="shared" si="1"/>
        <v>0</v>
      </c>
      <c r="L22" s="15">
        <f t="shared" si="2"/>
        <v>0</v>
      </c>
      <c r="M22" s="111"/>
      <c r="N22" s="9" t="str">
        <f t="shared" si="0"/>
        <v/>
      </c>
    </row>
    <row r="23" spans="4:14" x14ac:dyDescent="0.35">
      <c r="D23" s="9"/>
      <c r="E23" s="9"/>
      <c r="F23" s="9"/>
      <c r="G23" s="15"/>
      <c r="H23" s="46"/>
      <c r="I23" s="15"/>
      <c r="J23" s="11"/>
      <c r="K23" s="15">
        <f t="shared" si="1"/>
        <v>0</v>
      </c>
      <c r="L23" s="15">
        <f t="shared" si="2"/>
        <v>0</v>
      </c>
      <c r="M23" s="111"/>
      <c r="N23" s="9" t="str">
        <f t="shared" si="0"/>
        <v/>
      </c>
    </row>
    <row r="24" spans="4:14" x14ac:dyDescent="0.35">
      <c r="D24" s="9"/>
      <c r="E24" s="9"/>
      <c r="F24" s="9"/>
      <c r="G24" s="15"/>
      <c r="H24" s="46"/>
      <c r="I24" s="15"/>
      <c r="J24" s="11"/>
      <c r="K24" s="15">
        <f t="shared" si="1"/>
        <v>0</v>
      </c>
      <c r="L24" s="15">
        <f t="shared" si="2"/>
        <v>0</v>
      </c>
      <c r="M24" s="111"/>
      <c r="N24" s="9" t="str">
        <f t="shared" si="0"/>
        <v/>
      </c>
    </row>
    <row r="25" spans="4:14" x14ac:dyDescent="0.35">
      <c r="D25" s="9"/>
      <c r="E25" s="9"/>
      <c r="F25" s="9"/>
      <c r="G25" s="15"/>
      <c r="H25" s="46"/>
      <c r="I25" s="15"/>
      <c r="J25" s="11"/>
      <c r="K25" s="15">
        <f t="shared" si="1"/>
        <v>0</v>
      </c>
      <c r="L25" s="15">
        <f t="shared" si="2"/>
        <v>0</v>
      </c>
      <c r="M25" s="111"/>
      <c r="N25" s="9" t="str">
        <f t="shared" si="0"/>
        <v/>
      </c>
    </row>
    <row r="26" spans="4:14" x14ac:dyDescent="0.35">
      <c r="D26" s="9"/>
      <c r="E26" s="9"/>
      <c r="F26" s="9"/>
      <c r="G26" s="15"/>
      <c r="H26" s="46"/>
      <c r="I26" s="15"/>
      <c r="J26" s="11"/>
      <c r="K26" s="15">
        <f t="shared" si="1"/>
        <v>0</v>
      </c>
      <c r="L26" s="15">
        <f t="shared" si="2"/>
        <v>0</v>
      </c>
      <c r="M26" s="111"/>
      <c r="N26" s="9" t="str">
        <f t="shared" si="0"/>
        <v/>
      </c>
    </row>
    <row r="27" spans="4:14" x14ac:dyDescent="0.35">
      <c r="D27" s="9"/>
      <c r="E27" s="9"/>
      <c r="F27" s="9"/>
      <c r="G27" s="15"/>
      <c r="H27" s="46"/>
      <c r="I27" s="15"/>
      <c r="J27" s="11"/>
      <c r="K27" s="15">
        <f t="shared" si="1"/>
        <v>0</v>
      </c>
      <c r="L27" s="15">
        <f t="shared" si="2"/>
        <v>0</v>
      </c>
      <c r="M27" s="111"/>
      <c r="N27" s="9" t="str">
        <f t="shared" si="0"/>
        <v/>
      </c>
    </row>
    <row r="28" spans="4:14" x14ac:dyDescent="0.35">
      <c r="D28" s="9"/>
      <c r="E28" s="9"/>
      <c r="F28" s="9"/>
      <c r="G28" s="15"/>
      <c r="H28" s="46"/>
      <c r="I28" s="15"/>
      <c r="J28" s="11"/>
      <c r="K28" s="15">
        <f t="shared" si="1"/>
        <v>0</v>
      </c>
      <c r="L28" s="15">
        <f t="shared" si="2"/>
        <v>0</v>
      </c>
      <c r="M28" s="111"/>
      <c r="N28" s="9" t="str">
        <f t="shared" si="0"/>
        <v/>
      </c>
    </row>
    <row r="29" spans="4:14" x14ac:dyDescent="0.35">
      <c r="D29" s="9"/>
      <c r="E29" s="9"/>
      <c r="F29" s="9"/>
      <c r="G29" s="15"/>
      <c r="H29" s="46"/>
      <c r="I29" s="15"/>
      <c r="J29" s="11"/>
      <c r="K29" s="15">
        <f t="shared" si="1"/>
        <v>0</v>
      </c>
      <c r="L29" s="15">
        <f t="shared" si="2"/>
        <v>0</v>
      </c>
      <c r="M29" s="111"/>
      <c r="N29" s="9" t="str">
        <f t="shared" si="0"/>
        <v/>
      </c>
    </row>
    <row r="30" spans="4:14" x14ac:dyDescent="0.35">
      <c r="D30" s="9"/>
      <c r="E30" s="9"/>
      <c r="F30" s="9"/>
      <c r="G30" s="15"/>
      <c r="H30" s="46"/>
      <c r="I30" s="15"/>
      <c r="J30" s="11"/>
      <c r="K30" s="15">
        <f t="shared" si="1"/>
        <v>0</v>
      </c>
      <c r="L30" s="15">
        <f t="shared" si="2"/>
        <v>0</v>
      </c>
      <c r="M30" s="111"/>
      <c r="N30" s="9" t="str">
        <f t="shared" si="0"/>
        <v/>
      </c>
    </row>
    <row r="31" spans="4:14" x14ac:dyDescent="0.35">
      <c r="D31" s="9"/>
      <c r="E31" s="9"/>
      <c r="F31" s="9"/>
      <c r="G31" s="15"/>
      <c r="H31" s="46"/>
      <c r="I31" s="15"/>
      <c r="J31" s="11"/>
      <c r="K31" s="15">
        <f t="shared" si="1"/>
        <v>0</v>
      </c>
      <c r="L31" s="15">
        <f t="shared" si="2"/>
        <v>0</v>
      </c>
      <c r="M31" s="111"/>
      <c r="N31" s="9" t="str">
        <f t="shared" si="0"/>
        <v/>
      </c>
    </row>
    <row r="32" spans="4:14" x14ac:dyDescent="0.35">
      <c r="D32" s="9"/>
      <c r="E32" s="9"/>
      <c r="F32" s="9"/>
      <c r="G32" s="15"/>
      <c r="H32" s="46"/>
      <c r="I32" s="15"/>
      <c r="J32" s="11"/>
      <c r="K32" s="15">
        <f t="shared" si="1"/>
        <v>0</v>
      </c>
      <c r="L32" s="15">
        <f t="shared" si="2"/>
        <v>0</v>
      </c>
      <c r="M32" s="111"/>
      <c r="N32" s="9" t="str">
        <f t="shared" si="0"/>
        <v/>
      </c>
    </row>
    <row r="33" spans="4:14" x14ac:dyDescent="0.35">
      <c r="D33" s="9"/>
      <c r="E33" s="9"/>
      <c r="F33" s="9"/>
      <c r="G33" s="15"/>
      <c r="H33" s="46"/>
      <c r="I33" s="15"/>
      <c r="J33" s="11"/>
      <c r="K33" s="15">
        <f t="shared" si="1"/>
        <v>0</v>
      </c>
      <c r="L33" s="15">
        <f t="shared" si="2"/>
        <v>0</v>
      </c>
      <c r="M33" s="111"/>
      <c r="N33" s="9" t="str">
        <f t="shared" si="0"/>
        <v/>
      </c>
    </row>
    <row r="34" spans="4:14" x14ac:dyDescent="0.35">
      <c r="D34" s="9"/>
      <c r="E34" s="9"/>
      <c r="F34" s="9"/>
      <c r="G34" s="15"/>
      <c r="H34" s="46"/>
      <c r="I34" s="15"/>
      <c r="J34" s="11"/>
      <c r="K34" s="15">
        <f t="shared" si="1"/>
        <v>0</v>
      </c>
      <c r="L34" s="15">
        <f t="shared" si="2"/>
        <v>0</v>
      </c>
      <c r="M34" s="111"/>
      <c r="N34" s="9" t="str">
        <f t="shared" si="0"/>
        <v/>
      </c>
    </row>
    <row r="35" spans="4:14" x14ac:dyDescent="0.35">
      <c r="D35" s="9"/>
      <c r="E35" s="9"/>
      <c r="F35" s="9"/>
      <c r="G35" s="15"/>
      <c r="H35" s="46"/>
      <c r="I35" s="15"/>
      <c r="J35" s="11"/>
      <c r="K35" s="15">
        <f t="shared" si="1"/>
        <v>0</v>
      </c>
      <c r="L35" s="15">
        <f t="shared" si="2"/>
        <v>0</v>
      </c>
      <c r="M35" s="111"/>
      <c r="N35" s="9" t="str">
        <f t="shared" si="0"/>
        <v/>
      </c>
    </row>
    <row r="36" spans="4:14" x14ac:dyDescent="0.35">
      <c r="D36" s="9"/>
      <c r="E36" s="9"/>
      <c r="F36" s="9"/>
      <c r="G36" s="15"/>
      <c r="H36" s="46"/>
      <c r="I36" s="15"/>
      <c r="J36" s="11"/>
      <c r="K36" s="15">
        <f t="shared" si="1"/>
        <v>0</v>
      </c>
      <c r="L36" s="15">
        <f t="shared" si="2"/>
        <v>0</v>
      </c>
      <c r="M36" s="111"/>
      <c r="N36" s="9" t="str">
        <f t="shared" si="0"/>
        <v/>
      </c>
    </row>
    <row r="37" spans="4:14" x14ac:dyDescent="0.35">
      <c r="D37" s="9"/>
      <c r="E37" s="9"/>
      <c r="F37" s="9"/>
      <c r="G37" s="15"/>
      <c r="H37" s="46"/>
      <c r="I37" s="15"/>
      <c r="J37" s="11"/>
      <c r="K37" s="15">
        <f t="shared" si="1"/>
        <v>0</v>
      </c>
      <c r="L37" s="15">
        <f t="shared" si="2"/>
        <v>0</v>
      </c>
      <c r="M37" s="111"/>
      <c r="N37" s="9" t="str">
        <f t="shared" si="0"/>
        <v/>
      </c>
    </row>
    <row r="38" spans="4:14" x14ac:dyDescent="0.35">
      <c r="D38" s="9"/>
      <c r="E38" s="9"/>
      <c r="F38" s="9"/>
      <c r="G38" s="15"/>
      <c r="H38" s="46"/>
      <c r="I38" s="15"/>
      <c r="J38" s="11"/>
      <c r="K38" s="15">
        <f t="shared" si="1"/>
        <v>0</v>
      </c>
      <c r="L38" s="15">
        <f t="shared" si="2"/>
        <v>0</v>
      </c>
      <c r="M38" s="111"/>
      <c r="N38" s="9" t="str">
        <f t="shared" si="0"/>
        <v/>
      </c>
    </row>
    <row r="39" spans="4:14" x14ac:dyDescent="0.35">
      <c r="D39" s="9"/>
      <c r="E39" s="9"/>
      <c r="F39" s="9"/>
      <c r="G39" s="15"/>
      <c r="H39" s="46"/>
      <c r="I39" s="15"/>
      <c r="J39" s="11"/>
      <c r="K39" s="15">
        <f t="shared" si="1"/>
        <v>0</v>
      </c>
      <c r="L39" s="15">
        <f t="shared" si="2"/>
        <v>0</v>
      </c>
      <c r="M39" s="111"/>
      <c r="N39" s="9" t="str">
        <f t="shared" si="0"/>
        <v/>
      </c>
    </row>
    <row r="40" spans="4:14" x14ac:dyDescent="0.35">
      <c r="D40" s="9"/>
      <c r="E40" s="9"/>
      <c r="F40" s="9"/>
      <c r="G40" s="15"/>
      <c r="H40" s="46"/>
      <c r="I40" s="15"/>
      <c r="J40" s="11"/>
      <c r="K40" s="15">
        <f t="shared" si="1"/>
        <v>0</v>
      </c>
      <c r="L40" s="15">
        <f t="shared" si="2"/>
        <v>0</v>
      </c>
      <c r="M40" s="111"/>
      <c r="N40" s="9" t="str">
        <f t="shared" si="0"/>
        <v/>
      </c>
    </row>
    <row r="41" spans="4:14" x14ac:dyDescent="0.35">
      <c r="D41" s="9"/>
      <c r="E41" s="9"/>
      <c r="F41" s="9"/>
      <c r="G41" s="15"/>
      <c r="H41" s="46"/>
      <c r="I41" s="15"/>
      <c r="J41" s="11"/>
      <c r="K41" s="15">
        <f t="shared" si="1"/>
        <v>0</v>
      </c>
      <c r="L41" s="15">
        <f t="shared" si="2"/>
        <v>0</v>
      </c>
      <c r="M41" s="111"/>
      <c r="N41" s="9" t="str">
        <f t="shared" si="0"/>
        <v/>
      </c>
    </row>
    <row r="42" spans="4:14" x14ac:dyDescent="0.35">
      <c r="D42" s="9"/>
      <c r="E42" s="9"/>
      <c r="F42" s="9"/>
      <c r="G42" s="15"/>
      <c r="H42" s="46"/>
      <c r="I42" s="15"/>
      <c r="J42" s="11"/>
      <c r="K42" s="15">
        <f t="shared" si="1"/>
        <v>0</v>
      </c>
      <c r="L42" s="15">
        <f t="shared" si="2"/>
        <v>0</v>
      </c>
      <c r="M42" s="111"/>
      <c r="N42" s="9" t="str">
        <f t="shared" si="0"/>
        <v/>
      </c>
    </row>
    <row r="43" spans="4:14" x14ac:dyDescent="0.35">
      <c r="D43" s="9"/>
      <c r="E43" s="9"/>
      <c r="F43" s="9"/>
      <c r="G43" s="15"/>
      <c r="H43" s="46"/>
      <c r="I43" s="15"/>
      <c r="J43" s="11"/>
      <c r="K43" s="15">
        <f t="shared" si="1"/>
        <v>0</v>
      </c>
      <c r="L43" s="15">
        <f t="shared" si="2"/>
        <v>0</v>
      </c>
      <c r="M43" s="111"/>
      <c r="N43" s="9" t="str">
        <f t="shared" si="0"/>
        <v/>
      </c>
    </row>
    <row r="44" spans="4:14" x14ac:dyDescent="0.35">
      <c r="D44" s="9"/>
      <c r="E44" s="9"/>
      <c r="F44" s="9"/>
      <c r="G44" s="15"/>
      <c r="H44" s="46"/>
      <c r="I44" s="15"/>
      <c r="J44" s="11"/>
      <c r="K44" s="15">
        <f t="shared" si="1"/>
        <v>0</v>
      </c>
      <c r="L44" s="15">
        <f t="shared" si="2"/>
        <v>0</v>
      </c>
      <c r="M44" s="111"/>
      <c r="N44" s="9" t="str">
        <f t="shared" si="0"/>
        <v/>
      </c>
    </row>
    <row r="45" spans="4:14" x14ac:dyDescent="0.35">
      <c r="D45" s="9"/>
      <c r="E45" s="9"/>
      <c r="F45" s="9"/>
      <c r="G45" s="15"/>
      <c r="H45" s="46"/>
      <c r="I45" s="15"/>
      <c r="J45" s="11"/>
      <c r="K45" s="15">
        <f t="shared" si="1"/>
        <v>0</v>
      </c>
      <c r="L45" s="15">
        <f t="shared" si="2"/>
        <v>0</v>
      </c>
      <c r="M45" s="111"/>
      <c r="N45" s="9" t="str">
        <f t="shared" si="0"/>
        <v/>
      </c>
    </row>
    <row r="46" spans="4:14" x14ac:dyDescent="0.35">
      <c r="D46" s="9"/>
      <c r="E46" s="9"/>
      <c r="F46" s="9"/>
      <c r="G46" s="15"/>
      <c r="H46" s="46"/>
      <c r="I46" s="15"/>
      <c r="J46" s="11"/>
      <c r="K46" s="15">
        <f t="shared" si="1"/>
        <v>0</v>
      </c>
      <c r="L46" s="15">
        <f t="shared" si="2"/>
        <v>0</v>
      </c>
      <c r="M46" s="111"/>
      <c r="N46" s="9" t="str">
        <f t="shared" si="0"/>
        <v/>
      </c>
    </row>
    <row r="47" spans="4:14" x14ac:dyDescent="0.35">
      <c r="D47" s="9"/>
      <c r="E47" s="9"/>
      <c r="F47" s="9"/>
      <c r="G47" s="15"/>
      <c r="H47" s="46"/>
      <c r="I47" s="15"/>
      <c r="J47" s="11"/>
      <c r="K47" s="15">
        <f t="shared" si="1"/>
        <v>0</v>
      </c>
      <c r="L47" s="15">
        <f t="shared" si="2"/>
        <v>0</v>
      </c>
      <c r="M47" s="111"/>
      <c r="N47" s="9" t="str">
        <f t="shared" si="0"/>
        <v/>
      </c>
    </row>
    <row r="48" spans="4:14" x14ac:dyDescent="0.35">
      <c r="D48" s="9"/>
      <c r="E48" s="9"/>
      <c r="F48" s="9"/>
      <c r="G48" s="15"/>
      <c r="H48" s="46"/>
      <c r="I48" s="15"/>
      <c r="J48" s="11"/>
      <c r="K48" s="15">
        <f t="shared" si="1"/>
        <v>0</v>
      </c>
      <c r="L48" s="15">
        <f t="shared" si="2"/>
        <v>0</v>
      </c>
      <c r="M48" s="111"/>
      <c r="N48" s="9" t="str">
        <f t="shared" si="0"/>
        <v/>
      </c>
    </row>
    <row r="49" spans="4:14" x14ac:dyDescent="0.35">
      <c r="D49" s="9"/>
      <c r="E49" s="9"/>
      <c r="F49" s="9"/>
      <c r="G49" s="15"/>
      <c r="H49" s="46"/>
      <c r="I49" s="15"/>
      <c r="J49" s="11"/>
      <c r="K49" s="15">
        <f t="shared" si="1"/>
        <v>0</v>
      </c>
      <c r="L49" s="15">
        <f t="shared" si="2"/>
        <v>0</v>
      </c>
      <c r="M49" s="111"/>
      <c r="N49" s="9" t="str">
        <f t="shared" si="0"/>
        <v/>
      </c>
    </row>
    <row r="50" spans="4:14" ht="15" thickBot="1" x14ac:dyDescent="0.4">
      <c r="D50" s="10"/>
      <c r="E50" s="10"/>
      <c r="F50" s="10"/>
      <c r="G50" s="16"/>
      <c r="H50" s="122"/>
      <c r="I50" s="16"/>
      <c r="J50" s="12"/>
      <c r="K50" s="16">
        <f t="shared" si="1"/>
        <v>0</v>
      </c>
      <c r="L50" s="16">
        <f t="shared" si="2"/>
        <v>0</v>
      </c>
      <c r="M50" s="111"/>
      <c r="N50" s="10" t="str">
        <f t="shared" si="0"/>
        <v/>
      </c>
    </row>
    <row r="51" spans="4:14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N51" s="5" t="e">
        <f t="shared" si="0"/>
        <v>#N/A</v>
      </c>
    </row>
  </sheetData>
  <dataValidations count="6">
    <dataValidation type="list" allowBlank="1" showInputMessage="1" showErrorMessage="1" sqref="D5:D50">
      <formula1>UtilitiesName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D3" sqref="D3"/>
    </sheetView>
  </sheetViews>
  <sheetFormatPr defaultColWidth="11.54296875" defaultRowHeight="14.5" outlineLevelCol="1" x14ac:dyDescent="0.35"/>
  <cols>
    <col min="1" max="3" width="3.81640625" style="5" customWidth="1"/>
    <col min="4" max="4" width="20.81640625" style="5" customWidth="1"/>
    <col min="5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16" customFormat="1" ht="25" customHeight="1" x14ac:dyDescent="0.35">
      <c r="B1" s="115" t="s">
        <v>311</v>
      </c>
    </row>
    <row r="3" spans="2:19" ht="15" thickBot="1" x14ac:dyDescent="0.4"/>
    <row r="4" spans="2:19" ht="30" customHeight="1" thickBot="1" x14ac:dyDescent="0.4">
      <c r="D4" s="118" t="s">
        <v>25</v>
      </c>
      <c r="E4" s="117" t="s">
        <v>24</v>
      </c>
      <c r="F4" s="117" t="s">
        <v>290</v>
      </c>
      <c r="G4" s="120" t="s">
        <v>12</v>
      </c>
      <c r="H4" s="117" t="s">
        <v>17</v>
      </c>
      <c r="I4" s="123" t="s">
        <v>37</v>
      </c>
      <c r="J4" s="123" t="s">
        <v>38</v>
      </c>
      <c r="K4" s="123" t="s">
        <v>39</v>
      </c>
      <c r="L4" s="123" t="s">
        <v>40</v>
      </c>
      <c r="M4" s="123" t="s">
        <v>41</v>
      </c>
      <c r="N4" s="123" t="s">
        <v>42</v>
      </c>
      <c r="O4" s="123" t="s">
        <v>43</v>
      </c>
      <c r="P4" s="123" t="s">
        <v>44</v>
      </c>
      <c r="Q4" s="123" t="s">
        <v>45</v>
      </c>
      <c r="R4" s="123" t="s">
        <v>46</v>
      </c>
      <c r="S4" s="123" t="s">
        <v>47</v>
      </c>
    </row>
    <row r="5" spans="2:19" x14ac:dyDescent="0.35">
      <c r="D5" s="50" t="s">
        <v>299</v>
      </c>
      <c r="E5" s="86" t="s">
        <v>284</v>
      </c>
      <c r="F5" s="121">
        <v>5</v>
      </c>
      <c r="G5" s="8" t="s">
        <v>16</v>
      </c>
      <c r="H5" s="8" t="s">
        <v>90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299</v>
      </c>
      <c r="E6" s="15" t="s">
        <v>284</v>
      </c>
      <c r="F6" s="46">
        <v>2.5</v>
      </c>
      <c r="G6" s="9" t="s">
        <v>15</v>
      </c>
      <c r="H6" s="9" t="s">
        <v>91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22"/>
      <c r="G50" s="10"/>
      <c r="H50" s="10"/>
      <c r="I50" s="53"/>
      <c r="J50" s="53" t="str">
        <f t="shared" si="2"/>
        <v/>
      </c>
      <c r="K50" s="53" t="str">
        <f t="shared" si="2"/>
        <v/>
      </c>
      <c r="L50" s="53" t="str">
        <f t="shared" si="2"/>
        <v/>
      </c>
      <c r="M50" s="53" t="str">
        <f t="shared" si="2"/>
        <v/>
      </c>
      <c r="N50" s="53" t="str">
        <f t="shared" si="2"/>
        <v/>
      </c>
      <c r="O50" s="53" t="str">
        <f t="shared" si="2"/>
        <v/>
      </c>
      <c r="P50" s="53" t="str">
        <f t="shared" si="2"/>
        <v/>
      </c>
      <c r="Q50" s="53" t="str">
        <f t="shared" si="2"/>
        <v/>
      </c>
      <c r="R50" s="53" t="str">
        <f t="shared" si="2"/>
        <v/>
      </c>
      <c r="S50" s="53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4" width="20.81640625" style="5" customWidth="1"/>
    <col min="5" max="8" width="15.81640625" style="5" customWidth="1"/>
    <col min="9" max="18" width="8.81640625" style="5" customWidth="1"/>
    <col min="19" max="16384" width="11.54296875" style="5"/>
  </cols>
  <sheetData>
    <row r="1" spans="2:18" s="116" customFormat="1" ht="25" customHeight="1" x14ac:dyDescent="0.35">
      <c r="B1" s="115" t="s">
        <v>312</v>
      </c>
    </row>
    <row r="3" spans="2:18" ht="15" thickBot="1" x14ac:dyDescent="0.4"/>
    <row r="4" spans="2:18" ht="30" customHeight="1" thickBot="1" x14ac:dyDescent="0.4">
      <c r="D4" s="118" t="s">
        <v>25</v>
      </c>
      <c r="E4" s="117" t="s">
        <v>24</v>
      </c>
      <c r="F4" s="117" t="s">
        <v>290</v>
      </c>
      <c r="G4" s="120" t="s">
        <v>12</v>
      </c>
      <c r="H4" s="117" t="s">
        <v>69</v>
      </c>
      <c r="I4" s="123" t="s">
        <v>72</v>
      </c>
      <c r="J4" s="123" t="s">
        <v>73</v>
      </c>
      <c r="K4" s="123" t="s">
        <v>74</v>
      </c>
      <c r="L4" s="123" t="s">
        <v>75</v>
      </c>
      <c r="M4" s="123" t="s">
        <v>76</v>
      </c>
      <c r="N4" s="123" t="s">
        <v>77</v>
      </c>
      <c r="O4" s="123" t="s">
        <v>78</v>
      </c>
      <c r="P4" s="123" t="s">
        <v>79</v>
      </c>
      <c r="Q4" s="123" t="s">
        <v>80</v>
      </c>
      <c r="R4" s="123" t="s">
        <v>81</v>
      </c>
    </row>
    <row r="5" spans="2:18" x14ac:dyDescent="0.35">
      <c r="D5" s="8" t="s">
        <v>299</v>
      </c>
      <c r="E5" s="14" t="s">
        <v>284</v>
      </c>
      <c r="F5" s="124">
        <v>5</v>
      </c>
      <c r="G5" s="8" t="s">
        <v>22</v>
      </c>
      <c r="H5" s="8" t="s">
        <v>70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35">
      <c r="D6" s="9" t="s">
        <v>299</v>
      </c>
      <c r="E6" s="15" t="s">
        <v>284</v>
      </c>
      <c r="F6" s="46">
        <v>2.5</v>
      </c>
      <c r="G6" s="9" t="s">
        <v>285</v>
      </c>
      <c r="H6" s="9" t="s">
        <v>70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35">
      <c r="D7" s="9"/>
      <c r="E7" s="15"/>
      <c r="F7" s="46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35">
      <c r="D8" s="9"/>
      <c r="E8" s="15"/>
      <c r="F8" s="46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35">
      <c r="D9" s="9"/>
      <c r="E9" s="15"/>
      <c r="F9" s="46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35">
      <c r="D10" s="9"/>
      <c r="E10" s="15"/>
      <c r="F10" s="46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35">
      <c r="D11" s="9"/>
      <c r="E11" s="15"/>
      <c r="F11" s="46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35">
      <c r="D12" s="9"/>
      <c r="E12" s="15"/>
      <c r="F12" s="46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35">
      <c r="D13" s="9"/>
      <c r="E13" s="15"/>
      <c r="F13" s="46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5">
      <c r="D14" s="9"/>
      <c r="E14" s="15"/>
      <c r="F14" s="46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5">
      <c r="D15" s="9"/>
      <c r="E15" s="15"/>
      <c r="F15" s="46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35">
      <c r="D16" s="9"/>
      <c r="E16" s="15"/>
      <c r="F16" s="46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35">
      <c r="D17" s="9"/>
      <c r="E17" s="15"/>
      <c r="F17" s="46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35">
      <c r="D18" s="9"/>
      <c r="E18" s="15"/>
      <c r="F18" s="46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35">
      <c r="D19" s="9"/>
      <c r="E19" s="15"/>
      <c r="F19" s="46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35">
      <c r="D20" s="9"/>
      <c r="E20" s="15"/>
      <c r="F20" s="46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35">
      <c r="D21" s="9"/>
      <c r="E21" s="15"/>
      <c r="F21" s="46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35">
      <c r="D22" s="9"/>
      <c r="E22" s="15"/>
      <c r="F22" s="46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35">
      <c r="D23" s="9"/>
      <c r="E23" s="15"/>
      <c r="F23" s="46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35">
      <c r="D24" s="9"/>
      <c r="E24" s="15"/>
      <c r="F24" s="46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35">
      <c r="D25" s="9"/>
      <c r="E25" s="15"/>
      <c r="F25" s="46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35">
      <c r="D26" s="9"/>
      <c r="E26" s="15"/>
      <c r="F26" s="46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35">
      <c r="D27" s="9"/>
      <c r="E27" s="15"/>
      <c r="F27" s="46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35">
      <c r="D28" s="9"/>
      <c r="E28" s="15"/>
      <c r="F28" s="46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35">
      <c r="D29" s="9"/>
      <c r="E29" s="15"/>
      <c r="F29" s="46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35">
      <c r="D30" s="9"/>
      <c r="E30" s="15"/>
      <c r="F30" s="46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35">
      <c r="D31" s="9"/>
      <c r="E31" s="15"/>
      <c r="F31" s="46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35">
      <c r="D32" s="9"/>
      <c r="E32" s="15"/>
      <c r="F32" s="46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35">
      <c r="D33" s="9"/>
      <c r="E33" s="15"/>
      <c r="F33" s="46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35">
      <c r="D34" s="9"/>
      <c r="E34" s="15"/>
      <c r="F34" s="46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35">
      <c r="D35" s="9"/>
      <c r="E35" s="15"/>
      <c r="F35" s="46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35">
      <c r="D36" s="9"/>
      <c r="E36" s="15"/>
      <c r="F36" s="46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35">
      <c r="D37" s="9"/>
      <c r="E37" s="15"/>
      <c r="F37" s="46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35">
      <c r="D38" s="9"/>
      <c r="E38" s="15"/>
      <c r="F38" s="46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35">
      <c r="D39" s="9"/>
      <c r="E39" s="15"/>
      <c r="F39" s="46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35">
      <c r="D40" s="9"/>
      <c r="E40" s="15"/>
      <c r="F40" s="46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35">
      <c r="D41" s="9"/>
      <c r="E41" s="15"/>
      <c r="F41" s="46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35">
      <c r="D42" s="9"/>
      <c r="E42" s="15"/>
      <c r="F42" s="46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35">
      <c r="D43" s="9"/>
      <c r="E43" s="15"/>
      <c r="F43" s="46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35">
      <c r="D44" s="9"/>
      <c r="E44" s="15"/>
      <c r="F44" s="46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35">
      <c r="D45" s="9"/>
      <c r="E45" s="15"/>
      <c r="F45" s="46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35">
      <c r="D46" s="9"/>
      <c r="E46" s="15"/>
      <c r="F46" s="46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35">
      <c r="D47" s="9"/>
      <c r="E47" s="15"/>
      <c r="F47" s="46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35">
      <c r="D48" s="9"/>
      <c r="E48" s="15"/>
      <c r="F48" s="46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35">
      <c r="D49" s="9"/>
      <c r="E49" s="15"/>
      <c r="F49" s="46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" thickBot="1" x14ac:dyDescent="0.4">
      <c r="D50" s="10"/>
      <c r="E50" s="16"/>
      <c r="F50" s="122"/>
      <c r="G50" s="10"/>
      <c r="H50" s="10"/>
      <c r="I50" s="53"/>
      <c r="J50" s="53"/>
      <c r="K50" s="53"/>
      <c r="L50" s="53"/>
      <c r="M50" s="53"/>
      <c r="N50" s="53"/>
      <c r="O50" s="53"/>
      <c r="P50" s="53"/>
      <c r="Q50" s="53"/>
      <c r="R50" s="53"/>
    </row>
    <row r="51" spans="4:18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1" customWidth="1"/>
    <col min="4" max="4" width="20.81640625" style="1" customWidth="1"/>
    <col min="5" max="5" width="1.81640625" style="1" customWidth="1"/>
    <col min="6" max="6" width="20.81640625" style="1" customWidth="1"/>
    <col min="7" max="7" width="1.81640625" style="1" customWidth="1"/>
    <col min="8" max="8" width="20.81640625" style="1" customWidth="1"/>
    <col min="9" max="9" width="1.81640625" style="1" customWidth="1"/>
    <col min="10" max="10" width="20.81640625" style="1" customWidth="1"/>
    <col min="11" max="16384" width="11.54296875" style="1"/>
  </cols>
  <sheetData>
    <row r="1" spans="2:10" s="126" customFormat="1" ht="25" customHeight="1" x14ac:dyDescent="0.35">
      <c r="B1" s="125" t="s">
        <v>313</v>
      </c>
    </row>
    <row r="3" spans="2:10" ht="15" thickBot="1" x14ac:dyDescent="0.4">
      <c r="D3" s="1" t="str">
        <f>JESA_UploadTable(D4,D4:D40)</f>
        <v>port.name Saved! @08:24:17</v>
      </c>
      <c r="F3" s="1" t="str">
        <f>JESA_UploadTable(F4,F4:F40)</f>
        <v>port.actions Saved! @08:24:16</v>
      </c>
      <c r="H3" s="1" t="str">
        <f>JESA_UploadTable(H4,H4:H40)</f>
        <v>port.products Saved! @08:24:15</v>
      </c>
      <c r="J3" s="1" t="str">
        <f>JESA_UploadTable(J4,J4:J40)</f>
        <v>port.capex Saved! @08:24:15</v>
      </c>
    </row>
    <row r="4" spans="2:10" ht="30" customHeight="1" thickBot="1" x14ac:dyDescent="0.4">
      <c r="D4" s="127" t="s">
        <v>314</v>
      </c>
      <c r="F4" s="127" t="s">
        <v>315</v>
      </c>
      <c r="H4" s="127" t="s">
        <v>316</v>
      </c>
      <c r="J4" s="127" t="s">
        <v>317</v>
      </c>
    </row>
    <row r="5" spans="2:10" x14ac:dyDescent="0.35">
      <c r="D5" s="97" t="s">
        <v>55</v>
      </c>
      <c r="F5" s="97" t="s">
        <v>318</v>
      </c>
      <c r="H5" s="97" t="s">
        <v>198</v>
      </c>
      <c r="J5" s="97" t="s">
        <v>22</v>
      </c>
    </row>
    <row r="6" spans="2:10" x14ac:dyDescent="0.35">
      <c r="D6" s="98" t="s">
        <v>28</v>
      </c>
      <c r="F6" s="98" t="s">
        <v>319</v>
      </c>
      <c r="H6" s="98" t="s">
        <v>320</v>
      </c>
      <c r="J6" s="98" t="s">
        <v>260</v>
      </c>
    </row>
    <row r="7" spans="2:10" x14ac:dyDescent="0.35">
      <c r="D7" s="98" t="s">
        <v>54</v>
      </c>
      <c r="F7" s="98" t="s">
        <v>321</v>
      </c>
      <c r="H7" s="98" t="s">
        <v>322</v>
      </c>
      <c r="J7" s="98" t="s">
        <v>282</v>
      </c>
    </row>
    <row r="8" spans="2:10" x14ac:dyDescent="0.35">
      <c r="D8" s="98" t="s">
        <v>26</v>
      </c>
      <c r="F8" s="98" t="s">
        <v>323</v>
      </c>
      <c r="H8" s="98" t="s">
        <v>324</v>
      </c>
      <c r="J8" s="98" t="s">
        <v>285</v>
      </c>
    </row>
    <row r="9" spans="2:10" x14ac:dyDescent="0.35">
      <c r="D9" s="98" t="s">
        <v>27</v>
      </c>
      <c r="F9" s="98" t="s">
        <v>325</v>
      </c>
      <c r="H9" s="98" t="s">
        <v>326</v>
      </c>
      <c r="J9" s="98"/>
    </row>
    <row r="10" spans="2:10" x14ac:dyDescent="0.35">
      <c r="D10" s="98"/>
      <c r="F10" s="98" t="s">
        <v>327</v>
      </c>
      <c r="H10" s="98" t="s">
        <v>328</v>
      </c>
      <c r="J10" s="98"/>
    </row>
    <row r="11" spans="2:10" x14ac:dyDescent="0.35">
      <c r="D11" s="98"/>
      <c r="F11" s="98" t="s">
        <v>329</v>
      </c>
      <c r="H11" s="98" t="s">
        <v>279</v>
      </c>
      <c r="J11" s="98"/>
    </row>
    <row r="12" spans="2:10" x14ac:dyDescent="0.35">
      <c r="D12" s="98"/>
      <c r="F12" s="98" t="s">
        <v>330</v>
      </c>
      <c r="H12" s="98" t="s">
        <v>29</v>
      </c>
      <c r="J12" s="98"/>
    </row>
    <row r="13" spans="2:10" x14ac:dyDescent="0.35">
      <c r="D13" s="98"/>
      <c r="F13" s="98" t="s">
        <v>331</v>
      </c>
      <c r="H13" s="98"/>
      <c r="J13" s="98"/>
    </row>
    <row r="14" spans="2:10" x14ac:dyDescent="0.35">
      <c r="D14" s="98"/>
      <c r="F14" s="98"/>
      <c r="H14" s="98"/>
      <c r="J14" s="98"/>
    </row>
    <row r="15" spans="2:10" x14ac:dyDescent="0.35">
      <c r="D15" s="98"/>
      <c r="F15" s="98"/>
      <c r="H15" s="98"/>
      <c r="J15" s="98"/>
    </row>
    <row r="16" spans="2:10" x14ac:dyDescent="0.35">
      <c r="D16" s="98"/>
      <c r="F16" s="98"/>
      <c r="H16" s="98"/>
      <c r="J16" s="98"/>
    </row>
    <row r="17" spans="4:10" x14ac:dyDescent="0.35">
      <c r="D17" s="98"/>
      <c r="F17" s="98"/>
      <c r="H17" s="98"/>
      <c r="J17" s="98"/>
    </row>
    <row r="18" spans="4:10" x14ac:dyDescent="0.35">
      <c r="D18" s="98"/>
      <c r="F18" s="98"/>
      <c r="H18" s="98"/>
      <c r="J18" s="98"/>
    </row>
    <row r="19" spans="4:10" x14ac:dyDescent="0.35">
      <c r="D19" s="98"/>
      <c r="F19" s="98"/>
      <c r="H19" s="98"/>
      <c r="J19" s="98"/>
    </row>
    <row r="20" spans="4:10" x14ac:dyDescent="0.35">
      <c r="D20" s="98"/>
      <c r="F20" s="98"/>
      <c r="H20" s="98"/>
      <c r="J20" s="98"/>
    </row>
    <row r="21" spans="4:10" x14ac:dyDescent="0.35">
      <c r="D21" s="98"/>
      <c r="F21" s="98"/>
      <c r="H21" s="98"/>
      <c r="J21" s="98"/>
    </row>
    <row r="22" spans="4:10" x14ac:dyDescent="0.35">
      <c r="D22" s="98"/>
      <c r="F22" s="98"/>
      <c r="H22" s="98"/>
      <c r="J22" s="98"/>
    </row>
    <row r="23" spans="4:10" x14ac:dyDescent="0.35">
      <c r="D23" s="98"/>
      <c r="F23" s="98"/>
      <c r="H23" s="98"/>
      <c r="J23" s="98"/>
    </row>
    <row r="24" spans="4:10" x14ac:dyDescent="0.35">
      <c r="D24" s="98"/>
      <c r="F24" s="98"/>
      <c r="H24" s="98"/>
      <c r="J24" s="98"/>
    </row>
    <row r="25" spans="4:10" x14ac:dyDescent="0.35">
      <c r="D25" s="98"/>
      <c r="F25" s="98"/>
      <c r="H25" s="98"/>
      <c r="J25" s="98"/>
    </row>
    <row r="26" spans="4:10" x14ac:dyDescent="0.35">
      <c r="D26" s="98"/>
      <c r="F26" s="98"/>
      <c r="H26" s="98"/>
      <c r="J26" s="98"/>
    </row>
    <row r="27" spans="4:10" x14ac:dyDescent="0.35">
      <c r="D27" s="98"/>
      <c r="F27" s="98"/>
      <c r="H27" s="98"/>
      <c r="J27" s="98"/>
    </row>
    <row r="28" spans="4:10" x14ac:dyDescent="0.35">
      <c r="D28" s="98"/>
      <c r="F28" s="98"/>
      <c r="H28" s="98"/>
      <c r="J28" s="98"/>
    </row>
    <row r="29" spans="4:10" x14ac:dyDescent="0.35">
      <c r="D29" s="98"/>
      <c r="F29" s="98"/>
      <c r="H29" s="98"/>
      <c r="J29" s="98"/>
    </row>
    <row r="30" spans="4:10" x14ac:dyDescent="0.35">
      <c r="D30" s="98"/>
      <c r="F30" s="98"/>
      <c r="H30" s="98"/>
      <c r="J30" s="98"/>
    </row>
    <row r="31" spans="4:10" x14ac:dyDescent="0.35">
      <c r="D31" s="98"/>
      <c r="F31" s="98"/>
      <c r="H31" s="98"/>
      <c r="J31" s="98"/>
    </row>
    <row r="32" spans="4:10" x14ac:dyDescent="0.35">
      <c r="D32" s="98"/>
      <c r="F32" s="98"/>
      <c r="H32" s="98"/>
      <c r="J32" s="98"/>
    </row>
    <row r="33" spans="4:10" x14ac:dyDescent="0.35">
      <c r="D33" s="98"/>
      <c r="F33" s="98"/>
      <c r="H33" s="98"/>
      <c r="J33" s="98"/>
    </row>
    <row r="34" spans="4:10" x14ac:dyDescent="0.35">
      <c r="D34" s="98"/>
      <c r="F34" s="98"/>
      <c r="H34" s="98"/>
      <c r="J34" s="98"/>
    </row>
    <row r="35" spans="4:10" x14ac:dyDescent="0.35">
      <c r="D35" s="98"/>
      <c r="F35" s="98"/>
      <c r="H35" s="98"/>
      <c r="J35" s="98"/>
    </row>
    <row r="36" spans="4:10" x14ac:dyDescent="0.35">
      <c r="D36" s="98"/>
      <c r="F36" s="98"/>
      <c r="H36" s="98"/>
      <c r="J36" s="98"/>
    </row>
    <row r="37" spans="4:10" x14ac:dyDescent="0.35">
      <c r="D37" s="98"/>
      <c r="F37" s="98"/>
      <c r="H37" s="98"/>
      <c r="J37" s="98"/>
    </row>
    <row r="38" spans="4:10" x14ac:dyDescent="0.35">
      <c r="D38" s="98"/>
      <c r="F38" s="98"/>
      <c r="H38" s="98"/>
      <c r="J38" s="98"/>
    </row>
    <row r="39" spans="4:10" x14ac:dyDescent="0.35">
      <c r="D39" s="98"/>
      <c r="F39" s="98"/>
      <c r="H39" s="98"/>
      <c r="J39" s="98"/>
    </row>
    <row r="40" spans="4:10" ht="15" thickBot="1" x14ac:dyDescent="0.4">
      <c r="D40" s="99" t="s">
        <v>94</v>
      </c>
      <c r="F40" s="99" t="s">
        <v>94</v>
      </c>
      <c r="H40" s="99" t="s">
        <v>94</v>
      </c>
      <c r="J40" s="99" t="s">
        <v>94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7">
    <tabColor rgb="FF7F6000"/>
  </sheetPr>
  <dimension ref="B1:J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5" width="15.81640625" style="5" customWidth="1"/>
    <col min="6" max="6" width="21.453125" style="5" bestFit="1" customWidth="1"/>
    <col min="7" max="9" width="15.81640625" style="5" customWidth="1"/>
    <col min="10" max="10" width="50.81640625" style="5" customWidth="1"/>
    <col min="11" max="16384" width="11.54296875" style="5"/>
  </cols>
  <sheetData>
    <row r="1" spans="2:10" s="126" customFormat="1" ht="25" customHeight="1" x14ac:dyDescent="0.35">
      <c r="B1" s="125" t="s">
        <v>332</v>
      </c>
    </row>
    <row r="3" spans="2:10" ht="15" thickBot="1" x14ac:dyDescent="0.4">
      <c r="D3" s="5" t="str">
        <f>JESA_UploadTable(B1,D4:J50)</f>
        <v>port_options Saved! @08:24:15</v>
      </c>
    </row>
    <row r="4" spans="2:10" ht="30" customHeight="1" thickBot="1" x14ac:dyDescent="0.4">
      <c r="D4" s="128" t="s">
        <v>30</v>
      </c>
      <c r="E4" s="128" t="s">
        <v>8</v>
      </c>
      <c r="F4" s="127" t="s">
        <v>333</v>
      </c>
      <c r="G4" s="127" t="s">
        <v>334</v>
      </c>
      <c r="H4" s="127" t="s">
        <v>147</v>
      </c>
      <c r="I4" s="127" t="s">
        <v>153</v>
      </c>
      <c r="J4" s="128" t="s">
        <v>154</v>
      </c>
    </row>
    <row r="5" spans="2:10" ht="15" thickBot="1" x14ac:dyDescent="0.4">
      <c r="D5" s="8" t="s">
        <v>55</v>
      </c>
      <c r="E5" s="8" t="s">
        <v>55</v>
      </c>
      <c r="F5" s="14" t="s">
        <v>318</v>
      </c>
      <c r="G5" s="124">
        <v>5</v>
      </c>
      <c r="H5" s="14">
        <v>1980</v>
      </c>
      <c r="I5" s="14">
        <v>2025</v>
      </c>
      <c r="J5" s="8" t="str">
        <f>IF(D5="","","/Port/"&amp;CONCATENATE(D5,"/",E5,"/",F5,"/",G5))</f>
        <v>/Port/Casablanca/Casablanca/New facility for liquids/5</v>
      </c>
    </row>
    <row r="6" spans="2:10" ht="15" thickBot="1" x14ac:dyDescent="0.4">
      <c r="D6" s="9" t="s">
        <v>28</v>
      </c>
      <c r="E6" s="9" t="s">
        <v>28</v>
      </c>
      <c r="F6" s="15" t="s">
        <v>323</v>
      </c>
      <c r="G6" s="46">
        <v>2.5</v>
      </c>
      <c r="H6" s="15">
        <f t="shared" ref="H6:H50" si="0">IF(F6="New",2100,)</f>
        <v>0</v>
      </c>
      <c r="I6" s="15"/>
      <c r="J6" s="8" t="str">
        <f t="shared" ref="J6:J51" si="1">IF(D6="","","/Port/"&amp;CONCATENATE(D6,"/",E6,"/",F6,"/",G6))</f>
        <v>/Port/Essouira/Essouira/Port extension for liquids/2.5</v>
      </c>
    </row>
    <row r="7" spans="2:10" ht="15" thickBot="1" x14ac:dyDescent="0.4">
      <c r="D7" s="9"/>
      <c r="E7" s="9"/>
      <c r="F7" s="15"/>
      <c r="G7" s="46"/>
      <c r="H7" s="15">
        <f t="shared" si="0"/>
        <v>0</v>
      </c>
      <c r="I7" s="15"/>
      <c r="J7" s="8" t="str">
        <f t="shared" si="1"/>
        <v/>
      </c>
    </row>
    <row r="8" spans="2:10" ht="15" thickBot="1" x14ac:dyDescent="0.4">
      <c r="D8" s="9"/>
      <c r="E8" s="9"/>
      <c r="F8" s="15"/>
      <c r="G8" s="46"/>
      <c r="H8" s="15">
        <f t="shared" si="0"/>
        <v>0</v>
      </c>
      <c r="I8" s="15"/>
      <c r="J8" s="8" t="str">
        <f t="shared" si="1"/>
        <v/>
      </c>
    </row>
    <row r="9" spans="2:10" ht="15" thickBot="1" x14ac:dyDescent="0.4">
      <c r="D9" s="9"/>
      <c r="E9" s="9"/>
      <c r="F9" s="15"/>
      <c r="G9" s="46"/>
      <c r="H9" s="15">
        <f t="shared" si="0"/>
        <v>0</v>
      </c>
      <c r="I9" s="15"/>
      <c r="J9" s="8" t="str">
        <f t="shared" si="1"/>
        <v/>
      </c>
    </row>
    <row r="10" spans="2:10" ht="15" thickBot="1" x14ac:dyDescent="0.4">
      <c r="D10" s="9"/>
      <c r="E10" s="9"/>
      <c r="F10" s="15"/>
      <c r="G10" s="46"/>
      <c r="H10" s="15">
        <f t="shared" si="0"/>
        <v>0</v>
      </c>
      <c r="I10" s="15"/>
      <c r="J10" s="8" t="str">
        <f t="shared" si="1"/>
        <v/>
      </c>
    </row>
    <row r="11" spans="2:10" ht="15" thickBot="1" x14ac:dyDescent="0.4">
      <c r="D11" s="9"/>
      <c r="E11" s="9"/>
      <c r="F11" s="15"/>
      <c r="G11" s="46"/>
      <c r="H11" s="15">
        <f t="shared" si="0"/>
        <v>0</v>
      </c>
      <c r="I11" s="15"/>
      <c r="J11" s="8" t="str">
        <f t="shared" si="1"/>
        <v/>
      </c>
    </row>
    <row r="12" spans="2:10" ht="15" thickBot="1" x14ac:dyDescent="0.4">
      <c r="D12" s="9"/>
      <c r="E12" s="9"/>
      <c r="F12" s="15"/>
      <c r="G12" s="46"/>
      <c r="H12" s="15">
        <f t="shared" si="0"/>
        <v>0</v>
      </c>
      <c r="I12" s="15"/>
      <c r="J12" s="8" t="str">
        <f t="shared" si="1"/>
        <v/>
      </c>
    </row>
    <row r="13" spans="2:10" ht="15" thickBot="1" x14ac:dyDescent="0.4">
      <c r="D13" s="9"/>
      <c r="E13" s="9"/>
      <c r="F13" s="15"/>
      <c r="G13" s="46"/>
      <c r="H13" s="15">
        <f t="shared" si="0"/>
        <v>0</v>
      </c>
      <c r="I13" s="15"/>
      <c r="J13" s="8" t="str">
        <f t="shared" si="1"/>
        <v/>
      </c>
    </row>
    <row r="14" spans="2:10" ht="15" thickBot="1" x14ac:dyDescent="0.4">
      <c r="D14" s="9"/>
      <c r="E14" s="9"/>
      <c r="F14" s="15"/>
      <c r="G14" s="46"/>
      <c r="H14" s="15">
        <f t="shared" si="0"/>
        <v>0</v>
      </c>
      <c r="I14" s="15"/>
      <c r="J14" s="8" t="str">
        <f t="shared" si="1"/>
        <v/>
      </c>
    </row>
    <row r="15" spans="2:10" ht="15" thickBot="1" x14ac:dyDescent="0.4">
      <c r="D15" s="9"/>
      <c r="E15" s="9"/>
      <c r="F15" s="15"/>
      <c r="G15" s="46"/>
      <c r="H15" s="15">
        <f t="shared" si="0"/>
        <v>0</v>
      </c>
      <c r="I15" s="15"/>
      <c r="J15" s="8" t="str">
        <f t="shared" si="1"/>
        <v/>
      </c>
    </row>
    <row r="16" spans="2:10" ht="15" thickBot="1" x14ac:dyDescent="0.4">
      <c r="D16" s="9"/>
      <c r="E16" s="9"/>
      <c r="F16" s="15"/>
      <c r="G16" s="46"/>
      <c r="H16" s="15">
        <f t="shared" si="0"/>
        <v>0</v>
      </c>
      <c r="I16" s="15"/>
      <c r="J16" s="8" t="str">
        <f t="shared" si="1"/>
        <v/>
      </c>
    </row>
    <row r="17" spans="4:10" ht="15" thickBot="1" x14ac:dyDescent="0.4">
      <c r="D17" s="9"/>
      <c r="E17" s="9"/>
      <c r="F17" s="15"/>
      <c r="G17" s="46"/>
      <c r="H17" s="15">
        <f t="shared" si="0"/>
        <v>0</v>
      </c>
      <c r="I17" s="15"/>
      <c r="J17" s="8" t="str">
        <f t="shared" si="1"/>
        <v/>
      </c>
    </row>
    <row r="18" spans="4:10" ht="15" thickBot="1" x14ac:dyDescent="0.4">
      <c r="D18" s="9"/>
      <c r="E18" s="9"/>
      <c r="F18" s="15"/>
      <c r="G18" s="46"/>
      <c r="H18" s="15">
        <f t="shared" si="0"/>
        <v>0</v>
      </c>
      <c r="I18" s="15"/>
      <c r="J18" s="8" t="str">
        <f t="shared" si="1"/>
        <v/>
      </c>
    </row>
    <row r="19" spans="4:10" ht="15" thickBot="1" x14ac:dyDescent="0.4">
      <c r="D19" s="9"/>
      <c r="E19" s="9"/>
      <c r="F19" s="15"/>
      <c r="G19" s="46"/>
      <c r="H19" s="15">
        <f t="shared" si="0"/>
        <v>0</v>
      </c>
      <c r="I19" s="15"/>
      <c r="J19" s="8" t="str">
        <f t="shared" si="1"/>
        <v/>
      </c>
    </row>
    <row r="20" spans="4:10" ht="15" thickBot="1" x14ac:dyDescent="0.4">
      <c r="D20" s="9"/>
      <c r="E20" s="9"/>
      <c r="F20" s="15"/>
      <c r="G20" s="46"/>
      <c r="H20" s="15">
        <f t="shared" si="0"/>
        <v>0</v>
      </c>
      <c r="I20" s="15"/>
      <c r="J20" s="8" t="str">
        <f t="shared" si="1"/>
        <v/>
      </c>
    </row>
    <row r="21" spans="4:10" ht="15" thickBot="1" x14ac:dyDescent="0.4">
      <c r="D21" s="9"/>
      <c r="E21" s="9"/>
      <c r="F21" s="15"/>
      <c r="G21" s="46"/>
      <c r="H21" s="15">
        <f t="shared" si="0"/>
        <v>0</v>
      </c>
      <c r="I21" s="15"/>
      <c r="J21" s="8" t="str">
        <f t="shared" si="1"/>
        <v/>
      </c>
    </row>
    <row r="22" spans="4:10" ht="15" thickBot="1" x14ac:dyDescent="0.4">
      <c r="D22" s="9"/>
      <c r="E22" s="9"/>
      <c r="F22" s="15"/>
      <c r="G22" s="46"/>
      <c r="H22" s="15">
        <f t="shared" si="0"/>
        <v>0</v>
      </c>
      <c r="I22" s="15"/>
      <c r="J22" s="8" t="str">
        <f t="shared" si="1"/>
        <v/>
      </c>
    </row>
    <row r="23" spans="4:10" ht="15" thickBot="1" x14ac:dyDescent="0.4">
      <c r="D23" s="9"/>
      <c r="E23" s="9"/>
      <c r="F23" s="15"/>
      <c r="G23" s="46"/>
      <c r="H23" s="15">
        <f t="shared" si="0"/>
        <v>0</v>
      </c>
      <c r="I23" s="15"/>
      <c r="J23" s="8" t="str">
        <f t="shared" si="1"/>
        <v/>
      </c>
    </row>
    <row r="24" spans="4:10" ht="15" thickBot="1" x14ac:dyDescent="0.4">
      <c r="D24" s="9"/>
      <c r="E24" s="9"/>
      <c r="F24" s="15"/>
      <c r="G24" s="46"/>
      <c r="H24" s="15">
        <f t="shared" si="0"/>
        <v>0</v>
      </c>
      <c r="I24" s="15"/>
      <c r="J24" s="8" t="str">
        <f t="shared" si="1"/>
        <v/>
      </c>
    </row>
    <row r="25" spans="4:10" ht="15" thickBot="1" x14ac:dyDescent="0.4">
      <c r="D25" s="9"/>
      <c r="E25" s="9"/>
      <c r="F25" s="15"/>
      <c r="G25" s="46"/>
      <c r="H25" s="15">
        <f t="shared" si="0"/>
        <v>0</v>
      </c>
      <c r="I25" s="15"/>
      <c r="J25" s="8" t="str">
        <f t="shared" si="1"/>
        <v/>
      </c>
    </row>
    <row r="26" spans="4:10" ht="15" thickBot="1" x14ac:dyDescent="0.4">
      <c r="D26" s="9"/>
      <c r="E26" s="9"/>
      <c r="F26" s="15"/>
      <c r="G26" s="46"/>
      <c r="H26" s="15">
        <f t="shared" si="0"/>
        <v>0</v>
      </c>
      <c r="I26" s="15"/>
      <c r="J26" s="8" t="str">
        <f t="shared" si="1"/>
        <v/>
      </c>
    </row>
    <row r="27" spans="4:10" ht="15" thickBot="1" x14ac:dyDescent="0.4">
      <c r="D27" s="9"/>
      <c r="E27" s="9"/>
      <c r="F27" s="15"/>
      <c r="G27" s="46"/>
      <c r="H27" s="15">
        <f t="shared" si="0"/>
        <v>0</v>
      </c>
      <c r="I27" s="15"/>
      <c r="J27" s="8" t="str">
        <f t="shared" si="1"/>
        <v/>
      </c>
    </row>
    <row r="28" spans="4:10" ht="15" thickBot="1" x14ac:dyDescent="0.4">
      <c r="D28" s="9"/>
      <c r="E28" s="9"/>
      <c r="F28" s="15"/>
      <c r="G28" s="46"/>
      <c r="H28" s="15">
        <f t="shared" si="0"/>
        <v>0</v>
      </c>
      <c r="I28" s="15"/>
      <c r="J28" s="8" t="str">
        <f t="shared" si="1"/>
        <v/>
      </c>
    </row>
    <row r="29" spans="4:10" ht="15" thickBot="1" x14ac:dyDescent="0.4">
      <c r="D29" s="9"/>
      <c r="E29" s="9"/>
      <c r="F29" s="15"/>
      <c r="G29" s="46"/>
      <c r="H29" s="15">
        <f t="shared" si="0"/>
        <v>0</v>
      </c>
      <c r="I29" s="15"/>
      <c r="J29" s="8" t="str">
        <f t="shared" si="1"/>
        <v/>
      </c>
    </row>
    <row r="30" spans="4:10" ht="15" thickBot="1" x14ac:dyDescent="0.4">
      <c r="D30" s="9"/>
      <c r="E30" s="9"/>
      <c r="F30" s="15"/>
      <c r="G30" s="46"/>
      <c r="H30" s="15">
        <f t="shared" si="0"/>
        <v>0</v>
      </c>
      <c r="I30" s="15"/>
      <c r="J30" s="8" t="str">
        <f t="shared" si="1"/>
        <v/>
      </c>
    </row>
    <row r="31" spans="4:10" ht="15" thickBot="1" x14ac:dyDescent="0.4">
      <c r="D31" s="9"/>
      <c r="E31" s="9"/>
      <c r="F31" s="15"/>
      <c r="G31" s="46"/>
      <c r="H31" s="15">
        <f t="shared" si="0"/>
        <v>0</v>
      </c>
      <c r="I31" s="15"/>
      <c r="J31" s="8" t="str">
        <f t="shared" si="1"/>
        <v/>
      </c>
    </row>
    <row r="32" spans="4:10" ht="15" thickBot="1" x14ac:dyDescent="0.4">
      <c r="D32" s="9"/>
      <c r="E32" s="9"/>
      <c r="F32" s="15"/>
      <c r="G32" s="46"/>
      <c r="H32" s="15">
        <f t="shared" si="0"/>
        <v>0</v>
      </c>
      <c r="I32" s="15"/>
      <c r="J32" s="8" t="str">
        <f t="shared" si="1"/>
        <v/>
      </c>
    </row>
    <row r="33" spans="4:10" ht="15" thickBot="1" x14ac:dyDescent="0.4">
      <c r="D33" s="9"/>
      <c r="E33" s="9"/>
      <c r="F33" s="15"/>
      <c r="G33" s="46"/>
      <c r="H33" s="15">
        <f t="shared" si="0"/>
        <v>0</v>
      </c>
      <c r="I33" s="15"/>
      <c r="J33" s="8" t="str">
        <f t="shared" si="1"/>
        <v/>
      </c>
    </row>
    <row r="34" spans="4:10" ht="15" thickBot="1" x14ac:dyDescent="0.4">
      <c r="D34" s="9"/>
      <c r="E34" s="9"/>
      <c r="F34" s="15"/>
      <c r="G34" s="46"/>
      <c r="H34" s="15">
        <f t="shared" si="0"/>
        <v>0</v>
      </c>
      <c r="I34" s="15"/>
      <c r="J34" s="8" t="str">
        <f t="shared" si="1"/>
        <v/>
      </c>
    </row>
    <row r="35" spans="4:10" ht="15" thickBot="1" x14ac:dyDescent="0.4">
      <c r="D35" s="9"/>
      <c r="E35" s="9"/>
      <c r="F35" s="15"/>
      <c r="G35" s="46"/>
      <c r="H35" s="15">
        <f t="shared" si="0"/>
        <v>0</v>
      </c>
      <c r="I35" s="15"/>
      <c r="J35" s="8" t="str">
        <f t="shared" si="1"/>
        <v/>
      </c>
    </row>
    <row r="36" spans="4:10" ht="15" thickBot="1" x14ac:dyDescent="0.4">
      <c r="D36" s="9"/>
      <c r="E36" s="9"/>
      <c r="F36" s="15"/>
      <c r="G36" s="46"/>
      <c r="H36" s="15">
        <f t="shared" si="0"/>
        <v>0</v>
      </c>
      <c r="I36" s="15"/>
      <c r="J36" s="8" t="str">
        <f t="shared" si="1"/>
        <v/>
      </c>
    </row>
    <row r="37" spans="4:10" ht="15" thickBot="1" x14ac:dyDescent="0.4">
      <c r="D37" s="9"/>
      <c r="E37" s="9"/>
      <c r="F37" s="15"/>
      <c r="G37" s="46"/>
      <c r="H37" s="15">
        <f t="shared" si="0"/>
        <v>0</v>
      </c>
      <c r="I37" s="15"/>
      <c r="J37" s="8" t="str">
        <f t="shared" si="1"/>
        <v/>
      </c>
    </row>
    <row r="38" spans="4:10" ht="15" thickBot="1" x14ac:dyDescent="0.4">
      <c r="D38" s="9"/>
      <c r="E38" s="9"/>
      <c r="F38" s="15"/>
      <c r="G38" s="46"/>
      <c r="H38" s="15">
        <f t="shared" si="0"/>
        <v>0</v>
      </c>
      <c r="I38" s="15"/>
      <c r="J38" s="8" t="str">
        <f t="shared" si="1"/>
        <v/>
      </c>
    </row>
    <row r="39" spans="4:10" ht="15" thickBot="1" x14ac:dyDescent="0.4">
      <c r="D39" s="9"/>
      <c r="E39" s="9"/>
      <c r="F39" s="15"/>
      <c r="G39" s="46"/>
      <c r="H39" s="15">
        <f t="shared" si="0"/>
        <v>0</v>
      </c>
      <c r="I39" s="15"/>
      <c r="J39" s="8" t="str">
        <f t="shared" si="1"/>
        <v/>
      </c>
    </row>
    <row r="40" spans="4:10" ht="15" thickBot="1" x14ac:dyDescent="0.4">
      <c r="D40" s="9"/>
      <c r="E40" s="9"/>
      <c r="F40" s="15"/>
      <c r="G40" s="46"/>
      <c r="H40" s="15">
        <f t="shared" si="0"/>
        <v>0</v>
      </c>
      <c r="I40" s="15"/>
      <c r="J40" s="8" t="str">
        <f t="shared" si="1"/>
        <v/>
      </c>
    </row>
    <row r="41" spans="4:10" ht="15" thickBot="1" x14ac:dyDescent="0.4">
      <c r="D41" s="9"/>
      <c r="E41" s="9"/>
      <c r="F41" s="15"/>
      <c r="G41" s="46"/>
      <c r="H41" s="15">
        <f t="shared" si="0"/>
        <v>0</v>
      </c>
      <c r="I41" s="15"/>
      <c r="J41" s="8" t="str">
        <f t="shared" si="1"/>
        <v/>
      </c>
    </row>
    <row r="42" spans="4:10" ht="15" thickBot="1" x14ac:dyDescent="0.4">
      <c r="D42" s="9"/>
      <c r="E42" s="9"/>
      <c r="F42" s="15"/>
      <c r="G42" s="46"/>
      <c r="H42" s="15">
        <f t="shared" si="0"/>
        <v>0</v>
      </c>
      <c r="I42" s="15"/>
      <c r="J42" s="8" t="str">
        <f t="shared" si="1"/>
        <v/>
      </c>
    </row>
    <row r="43" spans="4:10" ht="15" thickBot="1" x14ac:dyDescent="0.4">
      <c r="D43" s="9"/>
      <c r="E43" s="9"/>
      <c r="F43" s="15"/>
      <c r="G43" s="46"/>
      <c r="H43" s="15">
        <f t="shared" si="0"/>
        <v>0</v>
      </c>
      <c r="I43" s="15"/>
      <c r="J43" s="8" t="str">
        <f t="shared" si="1"/>
        <v/>
      </c>
    </row>
    <row r="44" spans="4:10" ht="15" thickBot="1" x14ac:dyDescent="0.4">
      <c r="D44" s="9"/>
      <c r="E44" s="9"/>
      <c r="F44" s="15"/>
      <c r="G44" s="46"/>
      <c r="H44" s="15">
        <f t="shared" si="0"/>
        <v>0</v>
      </c>
      <c r="I44" s="15"/>
      <c r="J44" s="8" t="str">
        <f t="shared" si="1"/>
        <v/>
      </c>
    </row>
    <row r="45" spans="4:10" ht="15" thickBot="1" x14ac:dyDescent="0.4">
      <c r="D45" s="9"/>
      <c r="E45" s="9"/>
      <c r="F45" s="15"/>
      <c r="G45" s="46"/>
      <c r="H45" s="15">
        <f t="shared" si="0"/>
        <v>0</v>
      </c>
      <c r="I45" s="15"/>
      <c r="J45" s="8" t="str">
        <f t="shared" si="1"/>
        <v/>
      </c>
    </row>
    <row r="46" spans="4:10" ht="15" thickBot="1" x14ac:dyDescent="0.4">
      <c r="D46" s="9"/>
      <c r="E46" s="9"/>
      <c r="F46" s="15"/>
      <c r="G46" s="46"/>
      <c r="H46" s="15">
        <f t="shared" si="0"/>
        <v>0</v>
      </c>
      <c r="I46" s="15"/>
      <c r="J46" s="8" t="str">
        <f t="shared" si="1"/>
        <v/>
      </c>
    </row>
    <row r="47" spans="4:10" ht="15" thickBot="1" x14ac:dyDescent="0.4">
      <c r="D47" s="9"/>
      <c r="E47" s="9"/>
      <c r="F47" s="15"/>
      <c r="G47" s="46"/>
      <c r="H47" s="15">
        <f t="shared" si="0"/>
        <v>0</v>
      </c>
      <c r="I47" s="15"/>
      <c r="J47" s="8" t="str">
        <f t="shared" si="1"/>
        <v/>
      </c>
    </row>
    <row r="48" spans="4:10" ht="15" thickBot="1" x14ac:dyDescent="0.4">
      <c r="D48" s="9"/>
      <c r="E48" s="9"/>
      <c r="F48" s="15"/>
      <c r="G48" s="46"/>
      <c r="H48" s="15">
        <f t="shared" si="0"/>
        <v>0</v>
      </c>
      <c r="I48" s="15"/>
      <c r="J48" s="8" t="str">
        <f t="shared" si="1"/>
        <v/>
      </c>
    </row>
    <row r="49" spans="4:10" ht="15" thickBot="1" x14ac:dyDescent="0.4">
      <c r="D49" s="9"/>
      <c r="E49" s="9"/>
      <c r="F49" s="15"/>
      <c r="G49" s="46"/>
      <c r="H49" s="15">
        <f t="shared" si="0"/>
        <v>0</v>
      </c>
      <c r="I49" s="15"/>
      <c r="J49" s="8" t="str">
        <f t="shared" si="1"/>
        <v/>
      </c>
    </row>
    <row r="50" spans="4:10" ht="15" thickBot="1" x14ac:dyDescent="0.4">
      <c r="D50" s="10"/>
      <c r="E50" s="10"/>
      <c r="F50" s="16"/>
      <c r="G50" s="122"/>
      <c r="H50" s="16">
        <f t="shared" si="0"/>
        <v>0</v>
      </c>
      <c r="I50" s="16"/>
      <c r="J50" s="8" t="str">
        <f t="shared" si="1"/>
        <v/>
      </c>
    </row>
    <row r="51" spans="4:10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8" t="e">
        <f t="shared" si="1"/>
        <v>#N/A</v>
      </c>
    </row>
  </sheetData>
  <dataValidations count="3">
    <dataValidation type="list" allowBlank="1" showInputMessage="1" showErrorMessage="1" sqref="E5:E50">
      <formula1>Location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F5:F50">
      <formula1>PortActions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D3" sqref="D3"/>
    </sheetView>
  </sheetViews>
  <sheetFormatPr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26" customFormat="1" ht="25" customHeight="1" x14ac:dyDescent="0.35">
      <c r="B1" s="125" t="s">
        <v>335</v>
      </c>
    </row>
    <row r="3" spans="2:19" ht="15" thickBot="1" x14ac:dyDescent="0.4">
      <c r="D3" s="5" t="str">
        <f>JESA_UploadTable(B1,D4:S50)</f>
        <v>port_production Saved! @08:24:16</v>
      </c>
    </row>
    <row r="4" spans="2:19" ht="30" customHeight="1" thickBot="1" x14ac:dyDescent="0.4">
      <c r="D4" s="128" t="s">
        <v>8</v>
      </c>
      <c r="E4" s="127" t="s">
        <v>333</v>
      </c>
      <c r="F4" s="127" t="s">
        <v>334</v>
      </c>
      <c r="G4" s="128" t="s">
        <v>24</v>
      </c>
      <c r="H4" s="127" t="s">
        <v>17</v>
      </c>
      <c r="I4" s="129" t="s">
        <v>37</v>
      </c>
      <c r="J4" s="129" t="s">
        <v>38</v>
      </c>
      <c r="K4" s="129" t="s">
        <v>39</v>
      </c>
      <c r="L4" s="129" t="s">
        <v>40</v>
      </c>
      <c r="M4" s="129" t="s">
        <v>41</v>
      </c>
      <c r="N4" s="129" t="s">
        <v>42</v>
      </c>
      <c r="O4" s="129" t="s">
        <v>43</v>
      </c>
      <c r="P4" s="129" t="s">
        <v>44</v>
      </c>
      <c r="Q4" s="129" t="s">
        <v>45</v>
      </c>
      <c r="R4" s="129" t="s">
        <v>46</v>
      </c>
      <c r="S4" s="129" t="s">
        <v>47</v>
      </c>
    </row>
    <row r="5" spans="2:19" x14ac:dyDescent="0.35">
      <c r="D5" s="8" t="s">
        <v>55</v>
      </c>
      <c r="E5" s="14" t="s">
        <v>318</v>
      </c>
      <c r="F5" s="124">
        <v>5</v>
      </c>
      <c r="G5" s="8" t="s">
        <v>198</v>
      </c>
      <c r="H5" s="8" t="s">
        <v>52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35">
      <c r="D6" s="9" t="s">
        <v>28</v>
      </c>
      <c r="E6" s="15" t="s">
        <v>323</v>
      </c>
      <c r="F6" s="46">
        <v>2.5</v>
      </c>
      <c r="G6" s="9" t="s">
        <v>322</v>
      </c>
      <c r="H6" s="9" t="s">
        <v>51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35">
      <c r="D7" s="9"/>
      <c r="E7" s="15"/>
      <c r="F7" s="46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35">
      <c r="D8" s="9"/>
      <c r="E8" s="15"/>
      <c r="F8" s="46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35">
      <c r="D9" s="9"/>
      <c r="E9" s="15"/>
      <c r="F9" s="46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35">
      <c r="D10" s="9"/>
      <c r="E10" s="15"/>
      <c r="F10" s="46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35">
      <c r="D11" s="9"/>
      <c r="E11" s="15"/>
      <c r="F11" s="46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35">
      <c r="D12" s="9"/>
      <c r="E12" s="15"/>
      <c r="F12" s="46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35">
      <c r="D13" s="9"/>
      <c r="E13" s="15"/>
      <c r="F13" s="46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35">
      <c r="D14" s="9"/>
      <c r="E14" s="15"/>
      <c r="F14" s="46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35">
      <c r="D15" s="9"/>
      <c r="E15" s="15"/>
      <c r="F15" s="46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35">
      <c r="D16" s="9"/>
      <c r="E16" s="15"/>
      <c r="F16" s="46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35">
      <c r="D17" s="9"/>
      <c r="E17" s="15"/>
      <c r="F17" s="46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35">
      <c r="D18" s="9"/>
      <c r="E18" s="15"/>
      <c r="F18" s="46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35">
      <c r="D19" s="9"/>
      <c r="E19" s="15"/>
      <c r="F19" s="46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35">
      <c r="D20" s="9"/>
      <c r="E20" s="15"/>
      <c r="F20" s="46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35">
      <c r="D21" s="9"/>
      <c r="E21" s="15"/>
      <c r="F21" s="46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35">
      <c r="D22" s="9"/>
      <c r="E22" s="15"/>
      <c r="F22" s="46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35">
      <c r="D23" s="9"/>
      <c r="E23" s="15"/>
      <c r="F23" s="46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35">
      <c r="D24" s="9"/>
      <c r="E24" s="15"/>
      <c r="F24" s="46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35">
      <c r="D25" s="9"/>
      <c r="E25" s="15"/>
      <c r="F25" s="46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35">
      <c r="D26" s="9"/>
      <c r="E26" s="15"/>
      <c r="F26" s="46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35">
      <c r="D27" s="9"/>
      <c r="E27" s="15"/>
      <c r="F27" s="46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35">
      <c r="D28" s="9"/>
      <c r="E28" s="15"/>
      <c r="F28" s="46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35">
      <c r="D29" s="9"/>
      <c r="E29" s="15"/>
      <c r="F29" s="46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35">
      <c r="D30" s="9"/>
      <c r="E30" s="15"/>
      <c r="F30" s="46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35">
      <c r="D31" s="9"/>
      <c r="E31" s="15"/>
      <c r="F31" s="46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35">
      <c r="D32" s="9"/>
      <c r="E32" s="15"/>
      <c r="F32" s="46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35">
      <c r="D33" s="9"/>
      <c r="E33" s="15"/>
      <c r="F33" s="46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35">
      <c r="D34" s="9"/>
      <c r="E34" s="15"/>
      <c r="F34" s="46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35">
      <c r="D35" s="9"/>
      <c r="E35" s="15"/>
      <c r="F35" s="46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35">
      <c r="D36" s="9"/>
      <c r="E36" s="15"/>
      <c r="F36" s="46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35">
      <c r="D37" s="9"/>
      <c r="E37" s="15"/>
      <c r="F37" s="46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35">
      <c r="D38" s="9"/>
      <c r="E38" s="15"/>
      <c r="F38" s="46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35">
      <c r="D39" s="9"/>
      <c r="E39" s="15"/>
      <c r="F39" s="46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35">
      <c r="D40" s="9"/>
      <c r="E40" s="15"/>
      <c r="F40" s="46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35">
      <c r="D41" s="9"/>
      <c r="E41" s="15"/>
      <c r="F41" s="46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35">
      <c r="D42" s="9"/>
      <c r="E42" s="15"/>
      <c r="F42" s="46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35">
      <c r="D43" s="9"/>
      <c r="E43" s="15"/>
      <c r="F43" s="46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35">
      <c r="D44" s="9"/>
      <c r="E44" s="15"/>
      <c r="F44" s="46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35">
      <c r="D45" s="9"/>
      <c r="E45" s="15"/>
      <c r="F45" s="46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35">
      <c r="D46" s="9"/>
      <c r="E46" s="15"/>
      <c r="F46" s="46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35">
      <c r="D47" s="9"/>
      <c r="E47" s="15"/>
      <c r="F47" s="46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35">
      <c r="D48" s="9"/>
      <c r="E48" s="15"/>
      <c r="F48" s="46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35">
      <c r="D49" s="9"/>
      <c r="E49" s="15"/>
      <c r="F49" s="46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" thickBot="1" x14ac:dyDescent="0.4">
      <c r="D50" s="10"/>
      <c r="E50" s="16"/>
      <c r="F50" s="122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D3" sqref="D3"/>
    </sheetView>
  </sheetViews>
  <sheetFormatPr defaultColWidth="11.54296875" defaultRowHeight="14.5" outlineLevelCol="1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8" width="15.81640625" style="5" customWidth="1"/>
    <col min="9" max="9" width="8.81640625" style="5" customWidth="1"/>
    <col min="10" max="19" width="8.81640625" style="5" customWidth="1" outlineLevel="1"/>
    <col min="20" max="16384" width="11.54296875" style="5"/>
  </cols>
  <sheetData>
    <row r="1" spans="2:19" s="126" customFormat="1" ht="25" customHeight="1" x14ac:dyDescent="0.35">
      <c r="B1" s="125" t="s">
        <v>336</v>
      </c>
    </row>
    <row r="3" spans="2:19" ht="15" thickBot="1" x14ac:dyDescent="0.4">
      <c r="D3" s="5" t="str">
        <f>JESA_UploadTable(B1,D4:S50)</f>
        <v>port_opex Saved! @08:24:17</v>
      </c>
    </row>
    <row r="4" spans="2:19" ht="30" customHeight="1" thickBot="1" x14ac:dyDescent="0.4">
      <c r="D4" s="128" t="s">
        <v>8</v>
      </c>
      <c r="E4" s="127" t="s">
        <v>333</v>
      </c>
      <c r="F4" s="127" t="s">
        <v>334</v>
      </c>
      <c r="G4" s="128" t="s">
        <v>24</v>
      </c>
      <c r="H4" s="127" t="s">
        <v>17</v>
      </c>
      <c r="I4" s="129" t="s">
        <v>37</v>
      </c>
      <c r="J4" s="129" t="s">
        <v>38</v>
      </c>
      <c r="K4" s="129" t="s">
        <v>39</v>
      </c>
      <c r="L4" s="129" t="s">
        <v>40</v>
      </c>
      <c r="M4" s="129" t="s">
        <v>41</v>
      </c>
      <c r="N4" s="129" t="s">
        <v>42</v>
      </c>
      <c r="O4" s="129" t="s">
        <v>43</v>
      </c>
      <c r="P4" s="129" t="s">
        <v>44</v>
      </c>
      <c r="Q4" s="129" t="s">
        <v>45</v>
      </c>
      <c r="R4" s="129" t="s">
        <v>46</v>
      </c>
      <c r="S4" s="129" t="s">
        <v>47</v>
      </c>
    </row>
    <row r="5" spans="2:19" x14ac:dyDescent="0.35">
      <c r="D5" s="8" t="s">
        <v>55</v>
      </c>
      <c r="E5" s="14" t="s">
        <v>318</v>
      </c>
      <c r="F5" s="124">
        <v>5</v>
      </c>
      <c r="G5" s="8" t="s">
        <v>198</v>
      </c>
      <c r="H5" s="8" t="s">
        <v>337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5">
      <c r="D6" s="9" t="s">
        <v>28</v>
      </c>
      <c r="E6" s="15" t="s">
        <v>323</v>
      </c>
      <c r="F6" s="46">
        <v>2.5</v>
      </c>
      <c r="G6" s="9" t="s">
        <v>322</v>
      </c>
      <c r="H6" s="9" t="s">
        <v>337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5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5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5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5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5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5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5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5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5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5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5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5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5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5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5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5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5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5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5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5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5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5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5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5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5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5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5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5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5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5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5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5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5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5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5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5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5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5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5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5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5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5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5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4">
      <c r="D50" s="10"/>
      <c r="E50" s="16"/>
      <c r="F50" s="122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D3" sqref="D3"/>
    </sheetView>
  </sheetViews>
  <sheetFormatPr defaultColWidth="11.54296875" defaultRowHeight="14.5" x14ac:dyDescent="0.35"/>
  <cols>
    <col min="1" max="3" width="3.81640625" style="5" customWidth="1"/>
    <col min="4" max="4" width="15.81640625" style="5" customWidth="1"/>
    <col min="5" max="5" width="21.453125" style="5" bestFit="1" customWidth="1"/>
    <col min="6" max="9" width="15.81640625" style="5" customWidth="1"/>
    <col min="10" max="19" width="8.81640625" style="5" customWidth="1"/>
    <col min="20" max="16384" width="11.54296875" style="5"/>
  </cols>
  <sheetData>
    <row r="1" spans="2:19" s="126" customFormat="1" ht="25" customHeight="1" x14ac:dyDescent="0.35">
      <c r="B1" s="125" t="s">
        <v>338</v>
      </c>
    </row>
    <row r="3" spans="2:19" ht="15" thickBot="1" x14ac:dyDescent="0.4">
      <c r="D3" s="5" t="str">
        <f>JESA_UploadTable(B1,D4:S50)</f>
        <v>port_capex Saved! @08:24:16</v>
      </c>
    </row>
    <row r="4" spans="2:19" ht="30" customHeight="1" thickBot="1" x14ac:dyDescent="0.4">
      <c r="D4" s="128" t="s">
        <v>8</v>
      </c>
      <c r="E4" s="127" t="s">
        <v>333</v>
      </c>
      <c r="F4" s="127" t="s">
        <v>334</v>
      </c>
      <c r="G4" s="128" t="s">
        <v>12</v>
      </c>
      <c r="H4" s="127" t="s">
        <v>69</v>
      </c>
      <c r="I4" s="127" t="s">
        <v>149</v>
      </c>
      <c r="J4" s="129" t="s">
        <v>72</v>
      </c>
      <c r="K4" s="129" t="s">
        <v>73</v>
      </c>
      <c r="L4" s="129" t="s">
        <v>74</v>
      </c>
      <c r="M4" s="129" t="s">
        <v>75</v>
      </c>
      <c r="N4" s="129" t="s">
        <v>76</v>
      </c>
      <c r="O4" s="129" t="s">
        <v>77</v>
      </c>
      <c r="P4" s="129" t="s">
        <v>78</v>
      </c>
      <c r="Q4" s="129" t="s">
        <v>79</v>
      </c>
      <c r="R4" s="129" t="s">
        <v>80</v>
      </c>
      <c r="S4" s="129" t="s">
        <v>81</v>
      </c>
    </row>
    <row r="5" spans="2:19" ht="15" thickBot="1" x14ac:dyDescent="0.4">
      <c r="D5" s="8" t="s">
        <v>55</v>
      </c>
      <c r="E5" s="14" t="s">
        <v>318</v>
      </c>
      <c r="F5" s="124">
        <v>5</v>
      </c>
      <c r="G5" s="8" t="s">
        <v>22</v>
      </c>
      <c r="H5" s="8" t="s">
        <v>70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5">
      <c r="D6" s="9" t="s">
        <v>28</v>
      </c>
      <c r="E6" s="15" t="s">
        <v>323</v>
      </c>
      <c r="F6" s="46">
        <v>2.5</v>
      </c>
      <c r="G6" s="9" t="s">
        <v>285</v>
      </c>
      <c r="H6" s="9" t="s">
        <v>70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35">
      <c r="D7" s="9"/>
      <c r="E7" s="15"/>
      <c r="F7" s="46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5">
      <c r="D8" s="9"/>
      <c r="E8" s="15"/>
      <c r="F8" s="46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5">
      <c r="D9" s="9"/>
      <c r="E9" s="15"/>
      <c r="F9" s="46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5">
      <c r="D10" s="9"/>
      <c r="E10" s="15"/>
      <c r="F10" s="46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5">
      <c r="D11" s="9"/>
      <c r="E11" s="15"/>
      <c r="F11" s="46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5">
      <c r="D12" s="9"/>
      <c r="E12" s="15"/>
      <c r="F12" s="46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5">
      <c r="D13" s="9"/>
      <c r="E13" s="15"/>
      <c r="F13" s="46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5">
      <c r="D14" s="9"/>
      <c r="E14" s="15"/>
      <c r="F14" s="46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5">
      <c r="D15" s="9"/>
      <c r="E15" s="15"/>
      <c r="F15" s="46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5">
      <c r="D16" s="9"/>
      <c r="E16" s="15"/>
      <c r="F16" s="46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5">
      <c r="D17" s="9"/>
      <c r="E17" s="15"/>
      <c r="F17" s="46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5">
      <c r="D18" s="9"/>
      <c r="E18" s="15"/>
      <c r="F18" s="46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5">
      <c r="D19" s="9"/>
      <c r="E19" s="15"/>
      <c r="F19" s="46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5">
      <c r="D20" s="9"/>
      <c r="E20" s="15"/>
      <c r="F20" s="46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5">
      <c r="D21" s="9"/>
      <c r="E21" s="15"/>
      <c r="F21" s="46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5">
      <c r="D22" s="9"/>
      <c r="E22" s="15"/>
      <c r="F22" s="46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5">
      <c r="D23" s="9"/>
      <c r="E23" s="15"/>
      <c r="F23" s="46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5">
      <c r="D24" s="9"/>
      <c r="E24" s="15"/>
      <c r="F24" s="46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5">
      <c r="D25" s="9"/>
      <c r="E25" s="15"/>
      <c r="F25" s="46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5">
      <c r="D26" s="9"/>
      <c r="E26" s="15"/>
      <c r="F26" s="46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5">
      <c r="D27" s="9"/>
      <c r="E27" s="15"/>
      <c r="F27" s="46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5">
      <c r="D28" s="9"/>
      <c r="E28" s="15"/>
      <c r="F28" s="46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5">
      <c r="D29" s="9"/>
      <c r="E29" s="15"/>
      <c r="F29" s="46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5">
      <c r="D30" s="9"/>
      <c r="E30" s="15"/>
      <c r="F30" s="46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5">
      <c r="D31" s="9"/>
      <c r="E31" s="15"/>
      <c r="F31" s="46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5">
      <c r="D32" s="9"/>
      <c r="E32" s="15"/>
      <c r="F32" s="46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5">
      <c r="D33" s="9"/>
      <c r="E33" s="15"/>
      <c r="F33" s="46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5">
      <c r="D34" s="9"/>
      <c r="E34" s="15"/>
      <c r="F34" s="46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5">
      <c r="D35" s="9"/>
      <c r="E35" s="15"/>
      <c r="F35" s="46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5">
      <c r="D36" s="9"/>
      <c r="E36" s="15"/>
      <c r="F36" s="46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5">
      <c r="D37" s="9"/>
      <c r="E37" s="15"/>
      <c r="F37" s="46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5">
      <c r="D38" s="9"/>
      <c r="E38" s="15"/>
      <c r="F38" s="46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5">
      <c r="D39" s="9"/>
      <c r="E39" s="15"/>
      <c r="F39" s="46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5">
      <c r="D40" s="9"/>
      <c r="E40" s="15"/>
      <c r="F40" s="46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5">
      <c r="D41" s="9"/>
      <c r="E41" s="15"/>
      <c r="F41" s="46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5">
      <c r="D42" s="9"/>
      <c r="E42" s="15"/>
      <c r="F42" s="46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5">
      <c r="D43" s="9"/>
      <c r="E43" s="15"/>
      <c r="F43" s="46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5">
      <c r="D44" s="9"/>
      <c r="E44" s="15"/>
      <c r="F44" s="46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5">
      <c r="D45" s="9"/>
      <c r="E45" s="15"/>
      <c r="F45" s="46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5">
      <c r="D46" s="9"/>
      <c r="E46" s="15"/>
      <c r="F46" s="46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5">
      <c r="D47" s="9"/>
      <c r="E47" s="15"/>
      <c r="F47" s="46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5">
      <c r="D48" s="9"/>
      <c r="E48" s="15"/>
      <c r="F48" s="46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5">
      <c r="D49" s="9"/>
      <c r="E49" s="15"/>
      <c r="F49" s="46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4">
      <c r="D50" s="10"/>
      <c r="E50" s="16"/>
      <c r="F50" s="122"/>
      <c r="G50" s="10"/>
      <c r="H50" s="10"/>
      <c r="I50" s="10"/>
      <c r="J50" s="53"/>
      <c r="K50" s="53"/>
      <c r="L50" s="53"/>
      <c r="M50" s="53"/>
      <c r="N50" s="53"/>
      <c r="O50" s="53"/>
      <c r="P50" s="53"/>
      <c r="Q50" s="53"/>
      <c r="R50" s="53"/>
      <c r="S50" s="53"/>
    </row>
    <row r="51" spans="4:19" x14ac:dyDescent="0.3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G5:G50">
      <formula1>PortCAPEX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27</vt:i4>
      </vt:variant>
    </vt:vector>
  </HeadingPairs>
  <TitlesOfParts>
    <vt:vector size="71" baseType="lpstr">
      <vt:lpstr>Home</vt:lpstr>
      <vt:lpstr>Export SP</vt:lpstr>
      <vt:lpstr>Local SP</vt:lpstr>
      <vt:lpstr>Spare SP</vt:lpstr>
      <vt:lpstr>Raw materials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GranulCapacities</vt:lpstr>
      <vt:lpstr>GranulInputs</vt:lpstr>
      <vt:lpstr>GranulProducts</vt:lpstr>
      <vt:lpstr>Location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'Port &gt;&gt;&gt;'!UtilitiesProcess</vt:lpstr>
      <vt:lpstr>'Port &gt;&gt;&gt;'!UtilitiesProduct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AKKOUH Mohammed mahdi</cp:lastModifiedBy>
  <dcterms:created xsi:type="dcterms:W3CDTF">2019-06-13T15:12:33Z</dcterms:created>
  <dcterms:modified xsi:type="dcterms:W3CDTF">2019-09-19T07:59:19Z</dcterms:modified>
</cp:coreProperties>
</file>