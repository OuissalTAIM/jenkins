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1.xml" ContentType="application/vnd.openxmlformats-officedocument.spreadsheetml.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omments2.xml" ContentType="application/vnd.openxmlformats-officedocument.spreadsheetml.comment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omments3.xml" ContentType="application/vnd.openxmlformats-officedocument.spreadsheetml.comment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GitRepos\mine2farm\inputs\"/>
    </mc:Choice>
  </mc:AlternateContent>
  <bookViews>
    <workbookView xWindow="0" yWindow="0" windowWidth="24000" windowHeight="9630" tabRatio="801"/>
  </bookViews>
  <sheets>
    <sheet name="Home" sheetId="34" r:id="rId1"/>
    <sheet name="SP" sheetId="37" r:id="rId2"/>
    <sheet name="Raw materials" sheetId="36" r:id="rId3"/>
    <sheet name="Conversion matrix" sheetId="69" r:id="rId4"/>
    <sheet name="Common dict" sheetId="28" r:id="rId5"/>
    <sheet name="MINING &gt;&gt;&gt;" sheetId="1" r:id="rId6"/>
    <sheet name="MINING options" sheetId="3" r:id="rId7"/>
    <sheet name="MINING production" sheetId="5" r:id="rId8"/>
    <sheet name="MINING opex" sheetId="4" r:id="rId9"/>
    <sheet name="MINING capex" sheetId="6" r:id="rId10"/>
    <sheet name="Connection matrix Mine2Benef" sheetId="67" r:id="rId11"/>
    <sheet name="Beneficiation &gt;&gt;&gt;" sheetId="62" r:id="rId12"/>
    <sheet name="Beneficiation options" sheetId="63" r:id="rId13"/>
    <sheet name="Beneficiation production" sheetId="64" r:id="rId14"/>
    <sheet name="Beneficiation opex" sheetId="65" r:id="rId15"/>
    <sheet name="Beneficiation capex" sheetId="66" r:id="rId16"/>
    <sheet name="SAP &gt;&gt;&gt;" sheetId="29" r:id="rId17"/>
    <sheet name="SAP options" sheetId="30" r:id="rId18"/>
    <sheet name="SAP production" sheetId="31" r:id="rId19"/>
    <sheet name="SAP opex" sheetId="32" r:id="rId20"/>
    <sheet name="SAP capex" sheetId="33" r:id="rId21"/>
    <sheet name="PAP &gt;&gt;&gt;" sheetId="39" r:id="rId22"/>
    <sheet name="PAP options" sheetId="40" r:id="rId23"/>
    <sheet name="PAP production" sheetId="41" r:id="rId24"/>
    <sheet name="PAP opex" sheetId="42" r:id="rId25"/>
    <sheet name="PAP capex" sheetId="43" r:id="rId26"/>
    <sheet name="Granulation &gt;&gt;&gt;" sheetId="44" r:id="rId27"/>
    <sheet name="Granulation options" sheetId="45" r:id="rId28"/>
    <sheet name="Granulation production" sheetId="46" r:id="rId29"/>
    <sheet name="Granulation opex" sheetId="47" r:id="rId30"/>
    <sheet name="Granulation capex" sheetId="48" r:id="rId31"/>
    <sheet name="Logistics &gt;&gt;&gt;" sheetId="49" r:id="rId32"/>
    <sheet name="Logistics options" sheetId="50" r:id="rId33"/>
    <sheet name="Logistics opex" sheetId="51" r:id="rId34"/>
    <sheet name="Logistics capex" sheetId="52" r:id="rId35"/>
  </sheets>
  <functionGroups builtInGroupCount="18"/>
  <externalReferences>
    <externalReference r:id="rId36"/>
    <externalReference r:id="rId37"/>
    <externalReference r:id="rId38"/>
    <externalReference r:id="rId39"/>
    <externalReference r:id="rId40"/>
  </externalReferences>
  <definedNames>
    <definedName name="_xlnm._FilterDatabase" localSheetId="29" hidden="1">'Granulation opex'!$D$4:$U$235</definedName>
    <definedName name="BeneficiationNames" localSheetId="3">'[1]Beneficiation &gt;&gt;&gt;'!$D$5:$D$40</definedName>
    <definedName name="BeneficiationNames">'Beneficiation &gt;&gt;&gt;'!$D$5:$D$40</definedName>
    <definedName name="BeneficiationProcess" localSheetId="3">'[1]Beneficiation &gt;&gt;&gt;'!$F$5:$F$40</definedName>
    <definedName name="BeneficiationProcess">'Beneficiation &gt;&gt;&gt;'!$F$5:$F$40</definedName>
    <definedName name="Currency" localSheetId="3">'[1]Common dict'!$J$5:$J$40</definedName>
    <definedName name="Currency">'Common dict'!$J$5:$J$40</definedName>
    <definedName name="db">Home!$M$24</definedName>
    <definedName name="ds_host">Home!$M$26</definedName>
    <definedName name="ds_port">Home!$M$27</definedName>
    <definedName name="ENTITIES">'Common dict'!$R$5:$W$40</definedName>
    <definedName name="GranulationCapex" localSheetId="10">#REF!</definedName>
    <definedName name="GranulationCapex" localSheetId="3">#REF!</definedName>
    <definedName name="GranulationCapex" localSheetId="1">#REF!</definedName>
    <definedName name="GranulationCapex">#REF!</definedName>
    <definedName name="GranulationINPUT" localSheetId="10">#REF!</definedName>
    <definedName name="GranulationINPUT" localSheetId="3">#REF!</definedName>
    <definedName name="GranulationINPUT" localSheetId="1">#REF!</definedName>
    <definedName name="GranulationINPUT">#REF!</definedName>
    <definedName name="GranulationMoniker" localSheetId="10">#REF!</definedName>
    <definedName name="GranulationMoniker" localSheetId="3">#REF!</definedName>
    <definedName name="GranulationMoniker" localSheetId="1">#REF!</definedName>
    <definedName name="GranulationMoniker">#REF!</definedName>
    <definedName name="GranulationName" localSheetId="10">#REF!</definedName>
    <definedName name="GranulationName" localSheetId="3">#REF!</definedName>
    <definedName name="GranulationName" localSheetId="1">#REF!</definedName>
    <definedName name="GranulationName">#REF!</definedName>
    <definedName name="GranulationOptionsCapacity">'Granulation options'!$G$5:$G$50</definedName>
    <definedName name="GranulationProcess" localSheetId="10">#REF!</definedName>
    <definedName name="GranulationProcess" localSheetId="3">#REF!</definedName>
    <definedName name="GranulationProcess" localSheetId="1">#REF!</definedName>
    <definedName name="GranulationProcess">#REF!</definedName>
    <definedName name="GranulationProduct" localSheetId="10">#REF!</definedName>
    <definedName name="GranulationProduct" localSheetId="3">#REF!</definedName>
    <definedName name="GranulationProduct" localSheetId="1">#REF!</definedName>
    <definedName name="GranulationProduct">#REF!</definedName>
    <definedName name="GranulCapacities" localSheetId="3">'[1]Granulation &gt;&gt;&gt;'!$N$5:$N$40</definedName>
    <definedName name="GranulCapacities">'Granulation &gt;&gt;&gt;'!$N$5:$N$40</definedName>
    <definedName name="GranulInputs" localSheetId="3">'[2]Granulation &gt;&gt;&gt;'!$L$5:$L$40</definedName>
    <definedName name="GranulInputs">'Granulation &gt;&gt;&gt;'!$L$5:$L$40</definedName>
    <definedName name="GranulProcess" localSheetId="3">'Granulation &gt;&gt;&gt;'!$F$5:$F$40</definedName>
    <definedName name="GranulProcess">'Granulation &gt;&gt;&gt;'!$F$5:$F$40</definedName>
    <definedName name="GranulProducts" localSheetId="3">'[1]Granulation &gt;&gt;&gt;'!$H$5:$H$40</definedName>
    <definedName name="GranulProducts">'Granulation &gt;&gt;&gt;'!$H$5:$H$40</definedName>
    <definedName name="Location" localSheetId="3">'[1]Common dict'!$D$5:$D$40</definedName>
    <definedName name="Location">'Common dict'!$D$5:$D$40</definedName>
    <definedName name="LogisticCapacity">'Logistics options'!$I$5:$I$50</definedName>
    <definedName name="LogisticsCapex" localSheetId="3">#REF!</definedName>
    <definedName name="LogisticsCapex" localSheetId="1">#REF!</definedName>
    <definedName name="LogisticsCapex">'Logistics &gt;&gt;&gt;'!$H$5:$H$40</definedName>
    <definedName name="LogisticsMethod" localSheetId="3">'Logistics &gt;&gt;&gt;'!$D$5:$D$40</definedName>
    <definedName name="LogisticsMethod">'Logistics &gt;&gt;&gt;'!$D$5:$D$40</definedName>
    <definedName name="LogisticsMoniker" localSheetId="10">#REF!</definedName>
    <definedName name="LogisticsMoniker" localSheetId="3">#REF!</definedName>
    <definedName name="LogisticsMoniker" localSheetId="1">#REF!</definedName>
    <definedName name="LogisticsMoniker">#REF!</definedName>
    <definedName name="LogisticsName" localSheetId="10">#REF!</definedName>
    <definedName name="LogisticsName" localSheetId="3">#REF!</definedName>
    <definedName name="LogisticsName" localSheetId="1">#REF!</definedName>
    <definedName name="LogisticsName">#REF!</definedName>
    <definedName name="LogisticsProcess" localSheetId="10">#REF!</definedName>
    <definedName name="LogisticsProcess" localSheetId="3">#REF!</definedName>
    <definedName name="LogisticsProcess" localSheetId="1">#REF!</definedName>
    <definedName name="LogisticsProcess">#REF!</definedName>
    <definedName name="LogisticsProduct" localSheetId="10">#REF!</definedName>
    <definedName name="LogisticsProduct" localSheetId="3">#REF!</definedName>
    <definedName name="LogisticsProduct" localSheetId="1">#REF!</definedName>
    <definedName name="LogisticsProduct">#REF!</definedName>
    <definedName name="MineCapex">'MINING &gt;&gt;&gt;'!$J$5:$J$40</definedName>
    <definedName name="MineMoniker">'MINING options'!$L$9:$L$46</definedName>
    <definedName name="MineName" localSheetId="3">'[1]MINING &gt;&gt;&gt;'!$D$5:$D$40</definedName>
    <definedName name="MineName">'MINING &gt;&gt;&gt;'!$D$5:$D$40</definedName>
    <definedName name="MineProcess" localSheetId="3">'[1]MINING &gt;&gt;&gt;'!$F$5:$F$40</definedName>
    <definedName name="MineProcess">'MINING &gt;&gt;&gt;'!$F$5:$F$40</definedName>
    <definedName name="MineQuality" localSheetId="3">'[1]MINING &gt;&gt;&gt;'!$H$5:$H$40</definedName>
    <definedName name="MineQuality">'MINING &gt;&gt;&gt;'!$H$5:$H$40</definedName>
    <definedName name="Names" localSheetId="3">'[1]Common dict'!$N$5:$N$40</definedName>
    <definedName name="Names">'Common dict'!$N$5:$N$40</definedName>
    <definedName name="OPEX" localSheetId="3">'[1]Common dict'!$F$5:$F$40</definedName>
    <definedName name="OPEX">'Common dict'!$F$5:$F$40</definedName>
    <definedName name="PAPCapex" localSheetId="10">#REF!</definedName>
    <definedName name="PAPCapex" localSheetId="3">#REF!</definedName>
    <definedName name="PAPCapex" localSheetId="1">#REF!</definedName>
    <definedName name="PAPCapex">#REF!</definedName>
    <definedName name="PAPInput" localSheetId="10">#REF!</definedName>
    <definedName name="PAPInput" localSheetId="3">#REF!</definedName>
    <definedName name="PAPInput" localSheetId="1">#REF!</definedName>
    <definedName name="PAPInput">#REF!</definedName>
    <definedName name="PAPInputs" localSheetId="3">'[1]PAP &gt;&gt;&gt;'!$O$5:$O$40</definedName>
    <definedName name="PAPInputs">'PAP &gt;&gt;&gt;'!$O$5:$O$40</definedName>
    <definedName name="PAPMoniker" localSheetId="10">#REF!</definedName>
    <definedName name="PAPMoniker" localSheetId="3">#REF!</definedName>
    <definedName name="PAPMoniker" localSheetId="1">#REF!</definedName>
    <definedName name="PAPMoniker">#REF!</definedName>
    <definedName name="PAPName" localSheetId="10">#REF!</definedName>
    <definedName name="PAPName" localSheetId="3">#REF!</definedName>
    <definedName name="PAPName" localSheetId="1">#REF!</definedName>
    <definedName name="PAPName">#REF!</definedName>
    <definedName name="PAPOptionsCapacity">'[3]PAP options'!$G$5:$G$57</definedName>
    <definedName name="PAPOptionsLocation">'[3]PAP options'!$D$5:$D$57</definedName>
    <definedName name="PAPOptionsName">'PAP options'!$E$5:$E$33</definedName>
    <definedName name="PAPOptionsProcess">'[3]PAP options'!$F$5:$F$57</definedName>
    <definedName name="PAPProcess" localSheetId="10">#REF!</definedName>
    <definedName name="PAPProcess" localSheetId="3">#REF!</definedName>
    <definedName name="PAPProcess" localSheetId="1">#REF!</definedName>
    <definedName name="PAPProcess">#REF!</definedName>
    <definedName name="PAPProduct" localSheetId="10">#REF!</definedName>
    <definedName name="PAPProduct" localSheetId="3">#REF!</definedName>
    <definedName name="PAPProduct" localSheetId="1">#REF!</definedName>
    <definedName name="PAPProduct">#REF!</definedName>
    <definedName name="PAPProducts" localSheetId="3">'[1]PAP &gt;&gt;&gt;'!$H$5:$H$40</definedName>
    <definedName name="PAPProducts">'PAP &gt;&gt;&gt;'!$H$5:$H$40</definedName>
    <definedName name="PAPSize" localSheetId="10">#REF!</definedName>
    <definedName name="PAPSize" localSheetId="3">#REF!</definedName>
    <definedName name="PAPSize" localSheetId="1">#REF!</definedName>
    <definedName name="PAPSize">#REF!</definedName>
    <definedName name="PortActions" localSheetId="10">#REF!</definedName>
    <definedName name="PortActions" localSheetId="3">#REF!</definedName>
    <definedName name="PortActions" localSheetId="1">#REF!</definedName>
    <definedName name="PortActions">#REF!</definedName>
    <definedName name="PortCapacity">#REF!</definedName>
    <definedName name="PortCAPEX" localSheetId="10">#REF!</definedName>
    <definedName name="PortCAPEX" localSheetId="3">#REF!</definedName>
    <definedName name="PortCAPEX" localSheetId="1">#REF!</definedName>
    <definedName name="PortCAPEX">#REF!</definedName>
    <definedName name="PortMoniker" localSheetId="10">#REF!</definedName>
    <definedName name="PortMoniker" localSheetId="3">#REF!</definedName>
    <definedName name="PortMoniker" localSheetId="1">#REF!</definedName>
    <definedName name="PortMoniker">#REF!</definedName>
    <definedName name="PortNames" localSheetId="10">#REF!</definedName>
    <definedName name="PortNames" localSheetId="3">#REF!</definedName>
    <definedName name="PortNames" localSheetId="1">#REF!</definedName>
    <definedName name="PortNames">#REF!</definedName>
    <definedName name="PortProducts" localSheetId="10">#REF!</definedName>
    <definedName name="PortProducts" localSheetId="3">#REF!</definedName>
    <definedName name="PortProducts" localSheetId="1">#REF!</definedName>
    <definedName name="PortProducts">#REF!</definedName>
    <definedName name="Products" localSheetId="3">'[1]Common dict'!$P$5:$P$39</definedName>
    <definedName name="Products">'Common dict'!$P$5:$P$39</definedName>
    <definedName name="ProductType" localSheetId="3">'[1]Common dict'!$L$5:$L$40</definedName>
    <definedName name="ProductType">'Common dict'!$L$5:$L$40</definedName>
    <definedName name="SAPCapex" localSheetId="10">#REF!</definedName>
    <definedName name="SAPCapex" localSheetId="3">#REF!</definedName>
    <definedName name="SAPCapex" localSheetId="1">#REF!</definedName>
    <definedName name="SAPCapex">#REF!</definedName>
    <definedName name="SAPMoniker" localSheetId="10">#REF!</definedName>
    <definedName name="SAPMoniker" localSheetId="3">#REF!</definedName>
    <definedName name="SAPMoniker" localSheetId="1">#REF!</definedName>
    <definedName name="SAPMoniker">#REF!</definedName>
    <definedName name="SAPName" localSheetId="10">#REF!</definedName>
    <definedName name="SAPName" localSheetId="3">#REF!</definedName>
    <definedName name="SAPName" localSheetId="1">#REF!</definedName>
    <definedName name="SAPName">#REF!</definedName>
    <definedName name="SAPOptionsCapacity" localSheetId="3">'[1]SAP options'!$G$5:$G$50</definedName>
    <definedName name="SAPOptionsCapacity">'SAP options'!$G$5:$G$42</definedName>
    <definedName name="SAPOptionsLocation" localSheetId="3">'[1]SAP options'!$D$5:$D$50</definedName>
    <definedName name="SAPOptionsLocation">'SAP options'!$D$5:$D$42</definedName>
    <definedName name="SAPOptionsProcess" localSheetId="3">'[1]SAP options'!$F$5:$F$50</definedName>
    <definedName name="SAPOptionsProcess">'SAP options'!$F$5:$F$42</definedName>
    <definedName name="SAPProcess" localSheetId="10">#REF!</definedName>
    <definedName name="SAPProcess" localSheetId="3">#REF!</definedName>
    <definedName name="SAPProcess" localSheetId="1">#REF!</definedName>
    <definedName name="SAPProcess">#REF!</definedName>
    <definedName name="SAPProduct" localSheetId="10">#REF!</definedName>
    <definedName name="SAPProduct" localSheetId="3">#REF!</definedName>
    <definedName name="SAPProduct" localSheetId="1">#REF!</definedName>
    <definedName name="SAPProduct">#REF!</definedName>
    <definedName name="SAPSize" localSheetId="10">#REF!</definedName>
    <definedName name="SAPSize" localSheetId="3">#REF!</definedName>
    <definedName name="SAPSize" localSheetId="1">#REF!</definedName>
    <definedName name="SAPSize">#REF!</definedName>
    <definedName name="Unit" localSheetId="3">'[1]Common dict'!$H$5:$H$40</definedName>
    <definedName name="Unit">'Common dict'!$H$5:$H$40</definedName>
    <definedName name="UpDown" localSheetId="10">#REF!</definedName>
    <definedName name="UpDown" localSheetId="3">#REF!</definedName>
    <definedName name="UpDown" localSheetId="1">'Logistics &gt;&gt;&gt;'!#REF!</definedName>
    <definedName name="UpDown">#REF!</definedName>
    <definedName name="UtilitiesCapex" localSheetId="10">#REF!</definedName>
    <definedName name="UtilitiesCapex" localSheetId="3">#REF!</definedName>
    <definedName name="UtilitiesCapex" localSheetId="1">#REF!</definedName>
    <definedName name="UtilitiesCapex">#REF!</definedName>
    <definedName name="UtilitiesMoniker" localSheetId="10">#REF!</definedName>
    <definedName name="UtilitiesMoniker" localSheetId="3">#REF!</definedName>
    <definedName name="UtilitiesMoniker" localSheetId="1">#REF!</definedName>
    <definedName name="UtilitiesMoniker">#REF!</definedName>
    <definedName name="UtilitiesName" localSheetId="10">#REF!</definedName>
    <definedName name="UtilitiesName" localSheetId="3">#REF!</definedName>
    <definedName name="UtilitiesName" localSheetId="1">#REF!</definedName>
    <definedName name="UtilitiesName">#REF!</definedName>
    <definedName name="UtilitiesOptionsCapacities">#REF!</definedName>
    <definedName name="UtilitiesOptionsTo">#REF!</definedName>
    <definedName name="UtilitiesProcess" localSheetId="10">#REF!</definedName>
    <definedName name="UtilitiesProcess" localSheetId="3">#REF!</definedName>
    <definedName name="UtilitiesProcess" localSheetId="1">#REF!</definedName>
    <definedName name="UtilitiesProcess">#REF!</definedName>
    <definedName name="UtilitiesProduct" localSheetId="10">#REF!</definedName>
    <definedName name="UtilitiesProduct" localSheetId="3">#REF!</definedName>
    <definedName name="UtilitiesProduct" localSheetId="1">#REF!</definedName>
    <definedName name="UtilitiesProduct">#REF!</definedName>
    <definedName name="UtilitiesSources">#REF!</definedName>
    <definedName name="WPCapex" localSheetId="10">#REF!</definedName>
    <definedName name="WPCapex" localSheetId="3">#REF!</definedName>
    <definedName name="WPCapex">#REF!</definedName>
    <definedName name="WPMoniker" localSheetId="10">#REF!</definedName>
    <definedName name="WPMoniker" localSheetId="3">#REF!</definedName>
    <definedName name="WPMoniker">#REF!</definedName>
    <definedName name="WPName" localSheetId="10">#REF!</definedName>
    <definedName name="WPName" localSheetId="3">#REF!</definedName>
    <definedName name="WPName">#REF!</definedName>
    <definedName name="WPProcess" localSheetId="10">#REF!</definedName>
    <definedName name="WPProcess" localSheetId="3">#REF!</definedName>
    <definedName name="WPProcess">#REF!</definedName>
    <definedName name="WPQuality" localSheetId="10">#REF!</definedName>
    <definedName name="WPQuality" localSheetId="3">#REF!</definedName>
    <definedName name="WPQuality">#REF!</definedName>
  </definedNames>
  <calcPr calcId="162913" calcMode="manual" calcOnSave="0"/>
  <extLst>
    <ext xmlns:x14="http://schemas.microsoft.com/office/spreadsheetml/2009/9/main" uri="{8193D73E-4604-4355-AFF4-8A2333D13BE4}">
      <x14:definedNames>
        <x14:definedName name="JESA_Upload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66" l="1"/>
  <c r="D3" i="39"/>
  <c r="O3" i="39"/>
  <c r="J3" i="28"/>
  <c r="F3" i="39"/>
  <c r="D3" i="29"/>
  <c r="K3" i="29"/>
  <c r="F3" i="29"/>
  <c r="D3" i="28"/>
  <c r="M3" i="29"/>
  <c r="P3" i="28"/>
  <c r="H3" i="39"/>
  <c r="H3" i="28"/>
  <c r="F3" i="28"/>
  <c r="K3" i="39"/>
  <c r="N3" i="28"/>
  <c r="H3" i="29"/>
  <c r="M3" i="39"/>
  <c r="L3" i="28"/>
  <c r="J3" i="44"/>
  <c r="H3" i="49"/>
  <c r="J3" i="49"/>
  <c r="D3" i="36"/>
  <c r="D3" i="32"/>
  <c r="D3" i="43"/>
  <c r="J3" i="1"/>
  <c r="D2" i="3"/>
  <c r="D3" i="47"/>
  <c r="H3" i="44"/>
  <c r="H3" i="62"/>
  <c r="F3" i="62"/>
  <c r="D3" i="6"/>
  <c r="D3" i="67"/>
  <c r="D3" i="44"/>
  <c r="H3" i="1"/>
  <c r="D3" i="48"/>
  <c r="F3" i="49"/>
  <c r="J3" i="62"/>
  <c r="L3" i="44"/>
  <c r="D3" i="52"/>
  <c r="D3" i="62"/>
  <c r="D3" i="66"/>
  <c r="D3" i="1"/>
  <c r="F3" i="44"/>
  <c r="D3" i="33"/>
  <c r="D3" i="49"/>
  <c r="D3" i="31"/>
  <c r="F3" i="1"/>
  <c r="D3" i="69"/>
  <c r="J5" i="64" l="1"/>
  <c r="K5" i="64" s="1"/>
  <c r="L5" i="64" s="1"/>
  <c r="M5" i="64" s="1"/>
  <c r="N5" i="64" s="1"/>
  <c r="O5" i="64" s="1"/>
  <c r="P5" i="64" s="1"/>
  <c r="Q5" i="64" s="1"/>
  <c r="R5" i="64" s="1"/>
  <c r="S5" i="64" s="1"/>
  <c r="P6" i="50" l="1"/>
  <c r="P7" i="50"/>
  <c r="P8" i="50"/>
  <c r="P9" i="50"/>
  <c r="P10" i="50"/>
  <c r="P11" i="50"/>
  <c r="P12" i="50"/>
  <c r="P13" i="50"/>
  <c r="P14" i="50"/>
  <c r="P15" i="50"/>
  <c r="P16" i="50"/>
  <c r="P17" i="50"/>
  <c r="P18" i="50"/>
  <c r="P19" i="50"/>
  <c r="P20" i="50"/>
  <c r="P21" i="50"/>
  <c r="P22" i="50"/>
  <c r="P23" i="50"/>
  <c r="P24" i="50"/>
  <c r="P25" i="50"/>
  <c r="P26" i="50"/>
  <c r="P27" i="50"/>
  <c r="P28" i="50"/>
  <c r="P29" i="50"/>
  <c r="P30" i="50"/>
  <c r="P31" i="50"/>
  <c r="P32" i="50"/>
  <c r="P33" i="50"/>
  <c r="P34" i="50"/>
  <c r="P35" i="50"/>
  <c r="P36" i="50"/>
  <c r="P37" i="50"/>
  <c r="P38" i="50"/>
  <c r="P39" i="50"/>
  <c r="P40" i="50"/>
  <c r="P41" i="50"/>
  <c r="P42" i="50"/>
  <c r="P43" i="50"/>
  <c r="P44" i="50"/>
  <c r="P45" i="50"/>
  <c r="P46" i="50"/>
  <c r="P47" i="50"/>
  <c r="P48" i="50"/>
  <c r="P49" i="50"/>
  <c r="P50" i="50"/>
  <c r="P51" i="50"/>
  <c r="P52" i="50"/>
  <c r="P53" i="50"/>
  <c r="P54" i="50"/>
  <c r="P55" i="50"/>
  <c r="P56" i="50"/>
  <c r="P57" i="50"/>
  <c r="P58" i="50"/>
  <c r="P59" i="50"/>
  <c r="P60" i="50"/>
  <c r="P61" i="50"/>
  <c r="P62" i="50"/>
  <c r="P63" i="50"/>
  <c r="P64" i="50"/>
  <c r="P65" i="50"/>
  <c r="P66" i="50"/>
  <c r="P67" i="50"/>
  <c r="P68" i="50"/>
  <c r="P69" i="50"/>
  <c r="P70" i="50"/>
  <c r="P71" i="50"/>
  <c r="P72" i="50"/>
  <c r="P73" i="50"/>
  <c r="P74" i="50"/>
  <c r="P75" i="50"/>
  <c r="P76" i="50"/>
  <c r="P77" i="50"/>
  <c r="P78" i="50"/>
  <c r="P79" i="50"/>
  <c r="P80" i="50"/>
  <c r="P81" i="50"/>
  <c r="P82" i="50"/>
  <c r="P5" i="50"/>
  <c r="D3" i="50"/>
  <c r="L82" i="51" l="1"/>
  <c r="M82" i="51" s="1"/>
  <c r="N82" i="51" s="1"/>
  <c r="O82" i="51" s="1"/>
  <c r="P82" i="51" s="1"/>
  <c r="Q82" i="51" s="1"/>
  <c r="R82" i="51" s="1"/>
  <c r="S82" i="51" s="1"/>
  <c r="T82" i="51" s="1"/>
  <c r="U82" i="51" s="1"/>
  <c r="L81" i="51"/>
  <c r="M81" i="51" s="1"/>
  <c r="N81" i="51" s="1"/>
  <c r="O81" i="51" s="1"/>
  <c r="P81" i="51" s="1"/>
  <c r="Q81" i="51" s="1"/>
  <c r="R81" i="51" s="1"/>
  <c r="S81" i="51" s="1"/>
  <c r="T81" i="51" s="1"/>
  <c r="U81" i="51" s="1"/>
  <c r="L80" i="51"/>
  <c r="M80" i="51" s="1"/>
  <c r="N80" i="51" s="1"/>
  <c r="O80" i="51" s="1"/>
  <c r="P80" i="51" s="1"/>
  <c r="Q80" i="51" s="1"/>
  <c r="R80" i="51" s="1"/>
  <c r="S80" i="51" s="1"/>
  <c r="T80" i="51" s="1"/>
  <c r="U80" i="51" s="1"/>
  <c r="L79" i="51"/>
  <c r="M79" i="51" s="1"/>
  <c r="N79" i="51" s="1"/>
  <c r="O79" i="51" s="1"/>
  <c r="P79" i="51" s="1"/>
  <c r="Q79" i="51" s="1"/>
  <c r="R79" i="51" s="1"/>
  <c r="S79" i="51" s="1"/>
  <c r="T79" i="51" s="1"/>
  <c r="U79" i="51" s="1"/>
  <c r="L78" i="51"/>
  <c r="M78" i="51" s="1"/>
  <c r="N78" i="51" s="1"/>
  <c r="O78" i="51" s="1"/>
  <c r="P78" i="51" s="1"/>
  <c r="Q78" i="51" s="1"/>
  <c r="R78" i="51" s="1"/>
  <c r="S78" i="51" s="1"/>
  <c r="T78" i="51" s="1"/>
  <c r="U78" i="51" s="1"/>
  <c r="L77" i="51"/>
  <c r="M77" i="51" s="1"/>
  <c r="N77" i="51" s="1"/>
  <c r="O77" i="51" s="1"/>
  <c r="P77" i="51" s="1"/>
  <c r="Q77" i="51" s="1"/>
  <c r="R77" i="51" s="1"/>
  <c r="S77" i="51" s="1"/>
  <c r="T77" i="51" s="1"/>
  <c r="U77" i="51" s="1"/>
  <c r="L76" i="51"/>
  <c r="M76" i="51" s="1"/>
  <c r="N76" i="51" s="1"/>
  <c r="O76" i="51" s="1"/>
  <c r="P76" i="51" s="1"/>
  <c r="Q76" i="51" s="1"/>
  <c r="R76" i="51" s="1"/>
  <c r="S76" i="51" s="1"/>
  <c r="T76" i="51" s="1"/>
  <c r="U76" i="51" s="1"/>
  <c r="L75" i="51"/>
  <c r="M75" i="51" s="1"/>
  <c r="N75" i="51" s="1"/>
  <c r="O75" i="51" s="1"/>
  <c r="P75" i="51" s="1"/>
  <c r="Q75" i="51" s="1"/>
  <c r="R75" i="51" s="1"/>
  <c r="S75" i="51" s="1"/>
  <c r="T75" i="51" s="1"/>
  <c r="U75" i="51" s="1"/>
  <c r="J12" i="37" l="1"/>
  <c r="K12" i="37" s="1"/>
  <c r="L12" i="37" s="1"/>
  <c r="M12" i="37" s="1"/>
  <c r="N12" i="37" s="1"/>
  <c r="O12" i="37" s="1"/>
  <c r="P12" i="37" s="1"/>
  <c r="Q12" i="37" s="1"/>
  <c r="I40" i="5" l="1"/>
  <c r="J40" i="5" s="1"/>
  <c r="K40" i="5" s="1"/>
  <c r="L40" i="5" s="1"/>
  <c r="M40" i="5" s="1"/>
  <c r="N40" i="5" s="1"/>
  <c r="O40" i="5" s="1"/>
  <c r="P40" i="5" s="1"/>
  <c r="Q40" i="5" s="1"/>
  <c r="R40" i="5" s="1"/>
  <c r="I39" i="5"/>
  <c r="J39" i="5" s="1"/>
  <c r="K39" i="5" s="1"/>
  <c r="L39" i="5" s="1"/>
  <c r="M39" i="5" s="1"/>
  <c r="N39" i="5" s="1"/>
  <c r="O39" i="5" s="1"/>
  <c r="P39" i="5" s="1"/>
  <c r="Q39" i="5" s="1"/>
  <c r="R39" i="5" s="1"/>
  <c r="I38" i="5"/>
  <c r="J38" i="5" s="1"/>
  <c r="K38" i="5" s="1"/>
  <c r="L38" i="5" s="1"/>
  <c r="M38" i="5" s="1"/>
  <c r="N38" i="5" s="1"/>
  <c r="O38" i="5" s="1"/>
  <c r="P38" i="5" s="1"/>
  <c r="Q38" i="5" s="1"/>
  <c r="R38" i="5" s="1"/>
  <c r="I37" i="5"/>
  <c r="J37" i="5" s="1"/>
  <c r="K37" i="5" s="1"/>
  <c r="L37" i="5" s="1"/>
  <c r="M37" i="5" s="1"/>
  <c r="N37" i="5" s="1"/>
  <c r="O37" i="5" s="1"/>
  <c r="P37" i="5" s="1"/>
  <c r="Q37" i="5" s="1"/>
  <c r="R37" i="5" s="1"/>
  <c r="I36" i="5"/>
  <c r="J36" i="5" s="1"/>
  <c r="K36" i="5" s="1"/>
  <c r="L36" i="5" s="1"/>
  <c r="M36" i="5" s="1"/>
  <c r="N36" i="5" s="1"/>
  <c r="O36" i="5" s="1"/>
  <c r="P36" i="5" s="1"/>
  <c r="Q36" i="5" s="1"/>
  <c r="R36" i="5" s="1"/>
  <c r="I35" i="5"/>
  <c r="J35" i="5" s="1"/>
  <c r="K35" i="5" s="1"/>
  <c r="L35" i="5" s="1"/>
  <c r="M35" i="5" s="1"/>
  <c r="N35" i="5" s="1"/>
  <c r="O35" i="5" s="1"/>
  <c r="P35" i="5" s="1"/>
  <c r="Q35" i="5" s="1"/>
  <c r="R35" i="5" s="1"/>
  <c r="I34" i="5"/>
  <c r="J34" i="5" s="1"/>
  <c r="K34" i="5" s="1"/>
  <c r="L34" i="5" s="1"/>
  <c r="M34" i="5" s="1"/>
  <c r="N34" i="5" s="1"/>
  <c r="O34" i="5" s="1"/>
  <c r="P34" i="5" s="1"/>
  <c r="Q34" i="5" s="1"/>
  <c r="R34" i="5" s="1"/>
  <c r="I33" i="5"/>
  <c r="J33" i="5" s="1"/>
  <c r="K33" i="5" s="1"/>
  <c r="L33" i="5" s="1"/>
  <c r="M33" i="5" s="1"/>
  <c r="N33" i="5" s="1"/>
  <c r="O33" i="5" s="1"/>
  <c r="P33" i="5" s="1"/>
  <c r="Q33" i="5" s="1"/>
  <c r="R33" i="5" s="1"/>
  <c r="I32" i="5"/>
  <c r="J32" i="5" s="1"/>
  <c r="K32" i="5" s="1"/>
  <c r="L32" i="5" s="1"/>
  <c r="M32" i="5" s="1"/>
  <c r="N32" i="5" s="1"/>
  <c r="O32" i="5" s="1"/>
  <c r="P32" i="5" s="1"/>
  <c r="Q32" i="5" s="1"/>
  <c r="R32" i="5" s="1"/>
  <c r="I31" i="5"/>
  <c r="J31" i="5" s="1"/>
  <c r="K31" i="5" s="1"/>
  <c r="L31" i="5" s="1"/>
  <c r="M31" i="5" s="1"/>
  <c r="N31" i="5" s="1"/>
  <c r="O31" i="5" s="1"/>
  <c r="P31" i="5" s="1"/>
  <c r="Q31" i="5" s="1"/>
  <c r="R31" i="5" s="1"/>
  <c r="I30" i="5"/>
  <c r="J30" i="5" s="1"/>
  <c r="K30" i="5" s="1"/>
  <c r="L30" i="5" s="1"/>
  <c r="M30" i="5" s="1"/>
  <c r="N30" i="5" s="1"/>
  <c r="O30" i="5" s="1"/>
  <c r="P30" i="5" s="1"/>
  <c r="Q30" i="5" s="1"/>
  <c r="R30" i="5" s="1"/>
  <c r="I29" i="5"/>
  <c r="J29" i="5" s="1"/>
  <c r="K29" i="5" s="1"/>
  <c r="L29" i="5" s="1"/>
  <c r="M29" i="5" s="1"/>
  <c r="N29" i="5" s="1"/>
  <c r="O29" i="5" s="1"/>
  <c r="P29" i="5" s="1"/>
  <c r="Q29" i="5" s="1"/>
  <c r="R29" i="5" s="1"/>
  <c r="I28" i="5"/>
  <c r="J28" i="5" s="1"/>
  <c r="K28" i="5" s="1"/>
  <c r="L28" i="5" s="1"/>
  <c r="M28" i="5" s="1"/>
  <c r="N28" i="5" s="1"/>
  <c r="O28" i="5" s="1"/>
  <c r="P28" i="5" s="1"/>
  <c r="Q28" i="5" s="1"/>
  <c r="R28" i="5" s="1"/>
  <c r="I27" i="5"/>
  <c r="J27" i="5" s="1"/>
  <c r="K27" i="5" s="1"/>
  <c r="L27" i="5" s="1"/>
  <c r="M27" i="5" s="1"/>
  <c r="N27" i="5" s="1"/>
  <c r="O27" i="5" s="1"/>
  <c r="P27" i="5" s="1"/>
  <c r="Q27" i="5" s="1"/>
  <c r="R27" i="5" s="1"/>
  <c r="I26" i="5"/>
  <c r="J26" i="5" s="1"/>
  <c r="K26" i="5" s="1"/>
  <c r="L26" i="5" s="1"/>
  <c r="M26" i="5" s="1"/>
  <c r="N26" i="5" s="1"/>
  <c r="O26" i="5" s="1"/>
  <c r="P26" i="5" s="1"/>
  <c r="Q26" i="5" s="1"/>
  <c r="R26" i="5" s="1"/>
  <c r="I25" i="5"/>
  <c r="J25" i="5" s="1"/>
  <c r="K25" i="5" s="1"/>
  <c r="L25" i="5" s="1"/>
  <c r="M25" i="5" s="1"/>
  <c r="N25" i="5" s="1"/>
  <c r="O25" i="5" s="1"/>
  <c r="P25" i="5" s="1"/>
  <c r="Q25" i="5" s="1"/>
  <c r="R25" i="5" s="1"/>
  <c r="I24" i="5"/>
  <c r="J24" i="5" s="1"/>
  <c r="K24" i="5" s="1"/>
  <c r="L24" i="5" s="1"/>
  <c r="M24" i="5" s="1"/>
  <c r="N24" i="5" s="1"/>
  <c r="O24" i="5" s="1"/>
  <c r="P24" i="5" s="1"/>
  <c r="Q24" i="5" s="1"/>
  <c r="R24" i="5" s="1"/>
  <c r="I23" i="5"/>
  <c r="J23" i="5" s="1"/>
  <c r="K23" i="5" s="1"/>
  <c r="L23" i="5" s="1"/>
  <c r="M23" i="5" s="1"/>
  <c r="N23" i="5" s="1"/>
  <c r="O23" i="5" s="1"/>
  <c r="P23" i="5" s="1"/>
  <c r="Q23" i="5" s="1"/>
  <c r="R23" i="5" s="1"/>
  <c r="I22" i="5"/>
  <c r="J22" i="5" s="1"/>
  <c r="K22" i="5" s="1"/>
  <c r="L22" i="5" s="1"/>
  <c r="M22" i="5" s="1"/>
  <c r="N22" i="5" s="1"/>
  <c r="O22" i="5" s="1"/>
  <c r="P22" i="5" s="1"/>
  <c r="Q22" i="5" s="1"/>
  <c r="R22" i="5" s="1"/>
  <c r="I21" i="5"/>
  <c r="J21" i="5" s="1"/>
  <c r="K21" i="5" s="1"/>
  <c r="L21" i="5" s="1"/>
  <c r="M21" i="5" s="1"/>
  <c r="N21" i="5" s="1"/>
  <c r="O21" i="5" s="1"/>
  <c r="P21" i="5" s="1"/>
  <c r="Q21" i="5" s="1"/>
  <c r="R21" i="5" s="1"/>
  <c r="I20" i="5"/>
  <c r="J20" i="5" s="1"/>
  <c r="K20" i="5" s="1"/>
  <c r="L20" i="5" s="1"/>
  <c r="M20" i="5" s="1"/>
  <c r="N20" i="5" s="1"/>
  <c r="O20" i="5" s="1"/>
  <c r="P20" i="5" s="1"/>
  <c r="Q20" i="5" s="1"/>
  <c r="R20" i="5" s="1"/>
  <c r="I19" i="5"/>
  <c r="J19" i="5" s="1"/>
  <c r="K19" i="5" s="1"/>
  <c r="L19" i="5" s="1"/>
  <c r="M19" i="5" s="1"/>
  <c r="N19" i="5" s="1"/>
  <c r="O19" i="5" s="1"/>
  <c r="P19" i="5" s="1"/>
  <c r="Q19" i="5" s="1"/>
  <c r="R19" i="5" s="1"/>
  <c r="I18" i="5"/>
  <c r="J18" i="5" s="1"/>
  <c r="K18" i="5" s="1"/>
  <c r="L18" i="5" s="1"/>
  <c r="M18" i="5" s="1"/>
  <c r="N18" i="5" s="1"/>
  <c r="O18" i="5" s="1"/>
  <c r="P18" i="5" s="1"/>
  <c r="Q18" i="5" s="1"/>
  <c r="R18" i="5" s="1"/>
  <c r="I17" i="5"/>
  <c r="J17" i="5" s="1"/>
  <c r="K17" i="5" s="1"/>
  <c r="L17" i="5" s="1"/>
  <c r="M17" i="5" s="1"/>
  <c r="N17" i="5" s="1"/>
  <c r="O17" i="5" s="1"/>
  <c r="P17" i="5" s="1"/>
  <c r="Q17" i="5" s="1"/>
  <c r="R17" i="5" s="1"/>
  <c r="I16" i="5"/>
  <c r="J16" i="5" s="1"/>
  <c r="K16" i="5" s="1"/>
  <c r="L16" i="5" s="1"/>
  <c r="M16" i="5" s="1"/>
  <c r="N16" i="5" s="1"/>
  <c r="O16" i="5" s="1"/>
  <c r="P16" i="5" s="1"/>
  <c r="Q16" i="5" s="1"/>
  <c r="R16" i="5" s="1"/>
  <c r="I15" i="5"/>
  <c r="J15" i="5" s="1"/>
  <c r="K15" i="5" s="1"/>
  <c r="L15" i="5" s="1"/>
  <c r="M15" i="5" s="1"/>
  <c r="N15" i="5" s="1"/>
  <c r="O15" i="5" s="1"/>
  <c r="P15" i="5" s="1"/>
  <c r="Q15" i="5" s="1"/>
  <c r="R15" i="5" s="1"/>
  <c r="I14" i="5"/>
  <c r="J14" i="5" s="1"/>
  <c r="K14" i="5" s="1"/>
  <c r="L14" i="5" s="1"/>
  <c r="M14" i="5" s="1"/>
  <c r="N14" i="5" s="1"/>
  <c r="O14" i="5" s="1"/>
  <c r="P14" i="5" s="1"/>
  <c r="Q14" i="5" s="1"/>
  <c r="R14" i="5" s="1"/>
  <c r="I13" i="5"/>
  <c r="J13" i="5" s="1"/>
  <c r="K13" i="5" s="1"/>
  <c r="L13" i="5" s="1"/>
  <c r="M13" i="5" s="1"/>
  <c r="N13" i="5" s="1"/>
  <c r="O13" i="5" s="1"/>
  <c r="P13" i="5" s="1"/>
  <c r="Q13" i="5" s="1"/>
  <c r="R13" i="5" s="1"/>
  <c r="I12" i="5"/>
  <c r="J12" i="5" s="1"/>
  <c r="K12" i="5" s="1"/>
  <c r="L12" i="5" s="1"/>
  <c r="M12" i="5" s="1"/>
  <c r="N12" i="5" s="1"/>
  <c r="O12" i="5" s="1"/>
  <c r="P12" i="5" s="1"/>
  <c r="Q12" i="5" s="1"/>
  <c r="R12" i="5" s="1"/>
  <c r="I11" i="5"/>
  <c r="J11" i="5" s="1"/>
  <c r="K11" i="5" s="1"/>
  <c r="L11" i="5" s="1"/>
  <c r="M11" i="5" s="1"/>
  <c r="N11" i="5" s="1"/>
  <c r="O11" i="5" s="1"/>
  <c r="P11" i="5" s="1"/>
  <c r="Q11" i="5" s="1"/>
  <c r="R11" i="5" s="1"/>
  <c r="I10" i="5"/>
  <c r="J10" i="5" s="1"/>
  <c r="K10" i="5" s="1"/>
  <c r="L10" i="5" s="1"/>
  <c r="M10" i="5" s="1"/>
  <c r="N10" i="5" s="1"/>
  <c r="O10" i="5" s="1"/>
  <c r="P10" i="5" s="1"/>
  <c r="Q10" i="5" s="1"/>
  <c r="R10" i="5" s="1"/>
  <c r="I9" i="5"/>
  <c r="J9" i="5" s="1"/>
  <c r="K9" i="5" s="1"/>
  <c r="L9" i="5" s="1"/>
  <c r="M9" i="5" s="1"/>
  <c r="N9" i="5" s="1"/>
  <c r="O9" i="5" s="1"/>
  <c r="P9" i="5" s="1"/>
  <c r="Q9" i="5" s="1"/>
  <c r="R9" i="5" s="1"/>
  <c r="I8" i="5"/>
  <c r="J8" i="5" s="1"/>
  <c r="K8" i="5" s="1"/>
  <c r="L8" i="5" s="1"/>
  <c r="M8" i="5" s="1"/>
  <c r="N8" i="5" s="1"/>
  <c r="O8" i="5" s="1"/>
  <c r="P8" i="5" s="1"/>
  <c r="Q8" i="5" s="1"/>
  <c r="R8" i="5" s="1"/>
  <c r="I7" i="5"/>
  <c r="J7" i="5" s="1"/>
  <c r="K7" i="5" s="1"/>
  <c r="L7" i="5" s="1"/>
  <c r="M7" i="5" s="1"/>
  <c r="N7" i="5" s="1"/>
  <c r="O7" i="5" s="1"/>
  <c r="P7" i="5" s="1"/>
  <c r="Q7" i="5" s="1"/>
  <c r="R7" i="5" s="1"/>
  <c r="I5" i="5"/>
  <c r="J5" i="5" s="1"/>
  <c r="K5" i="5" s="1"/>
  <c r="L5" i="5" s="1"/>
  <c r="M5" i="5" s="1"/>
  <c r="N5" i="5" s="1"/>
  <c r="O5" i="5" s="1"/>
  <c r="P5" i="5" s="1"/>
  <c r="Q5" i="5" s="1"/>
  <c r="R5" i="5" s="1"/>
  <c r="J10" i="4" l="1"/>
  <c r="K10" i="4" s="1"/>
  <c r="L10" i="4" s="1"/>
  <c r="M10" i="4" s="1"/>
  <c r="N10" i="4" s="1"/>
  <c r="O10" i="4" s="1"/>
  <c r="P10" i="4" s="1"/>
  <c r="Q10" i="4" s="1"/>
  <c r="R10" i="4" s="1"/>
  <c r="S10" i="4" s="1"/>
  <c r="J9" i="4"/>
  <c r="K9" i="4" s="1"/>
  <c r="L9" i="4" s="1"/>
  <c r="M9" i="4" s="1"/>
  <c r="N9" i="4" s="1"/>
  <c r="O9" i="4" s="1"/>
  <c r="P9" i="4" s="1"/>
  <c r="Q9" i="4" s="1"/>
  <c r="R9" i="4" s="1"/>
  <c r="S9" i="4" s="1"/>
  <c r="J8" i="4"/>
  <c r="K8" i="4" s="1"/>
  <c r="L8" i="4" s="1"/>
  <c r="M8" i="4" s="1"/>
  <c r="N8" i="4" s="1"/>
  <c r="O8" i="4" s="1"/>
  <c r="P8" i="4" s="1"/>
  <c r="Q8" i="4" s="1"/>
  <c r="R8" i="4" s="1"/>
  <c r="S8" i="4" s="1"/>
  <c r="J7" i="4"/>
  <c r="K7" i="4" s="1"/>
  <c r="L7" i="4" s="1"/>
  <c r="M7" i="4" s="1"/>
  <c r="N7" i="4" s="1"/>
  <c r="O7" i="4" s="1"/>
  <c r="P7" i="4" s="1"/>
  <c r="Q7" i="4" s="1"/>
  <c r="R7" i="4" s="1"/>
  <c r="S7" i="4" s="1"/>
  <c r="J6" i="4"/>
  <c r="K6" i="4" s="1"/>
  <c r="L6" i="4" s="1"/>
  <c r="M6" i="4" s="1"/>
  <c r="N6" i="4" s="1"/>
  <c r="O6" i="4" s="1"/>
  <c r="P6" i="4" s="1"/>
  <c r="Q6" i="4" s="1"/>
  <c r="R6" i="4" s="1"/>
  <c r="S6" i="4" s="1"/>
  <c r="J5" i="4"/>
  <c r="K5" i="4" s="1"/>
  <c r="L5" i="4" s="1"/>
  <c r="M5" i="4" s="1"/>
  <c r="N5" i="4" s="1"/>
  <c r="O5" i="4" s="1"/>
  <c r="P5" i="4" s="1"/>
  <c r="Q5" i="4" s="1"/>
  <c r="R5" i="4" s="1"/>
  <c r="S5" i="4" s="1"/>
  <c r="L74" i="51" l="1"/>
  <c r="M74" i="51" s="1"/>
  <c r="N74" i="51" s="1"/>
  <c r="O74" i="51" s="1"/>
  <c r="P74" i="51" s="1"/>
  <c r="Q74" i="51" s="1"/>
  <c r="R74" i="51" s="1"/>
  <c r="S74" i="51" s="1"/>
  <c r="T74" i="51" s="1"/>
  <c r="U74" i="51" s="1"/>
  <c r="L73" i="51"/>
  <c r="M73" i="51" s="1"/>
  <c r="N73" i="51" s="1"/>
  <c r="O73" i="51" s="1"/>
  <c r="P73" i="51" s="1"/>
  <c r="Q73" i="51" s="1"/>
  <c r="R73" i="51" s="1"/>
  <c r="S73" i="51" s="1"/>
  <c r="T73" i="51" s="1"/>
  <c r="U73" i="51" s="1"/>
  <c r="L72" i="51"/>
  <c r="M72" i="51" s="1"/>
  <c r="N72" i="51" s="1"/>
  <c r="O72" i="51" s="1"/>
  <c r="P72" i="51" s="1"/>
  <c r="Q72" i="51" s="1"/>
  <c r="R72" i="51" s="1"/>
  <c r="S72" i="51" s="1"/>
  <c r="T72" i="51" s="1"/>
  <c r="U72" i="51" s="1"/>
  <c r="L71" i="51"/>
  <c r="M71" i="51" s="1"/>
  <c r="N71" i="51" s="1"/>
  <c r="O71" i="51" s="1"/>
  <c r="P71" i="51" s="1"/>
  <c r="Q71" i="51" s="1"/>
  <c r="R71" i="51" s="1"/>
  <c r="S71" i="51" s="1"/>
  <c r="T71" i="51" s="1"/>
  <c r="U71" i="51" s="1"/>
  <c r="L70" i="51"/>
  <c r="M70" i="51" s="1"/>
  <c r="N70" i="51" s="1"/>
  <c r="O70" i="51" s="1"/>
  <c r="P70" i="51" s="1"/>
  <c r="Q70" i="51" s="1"/>
  <c r="R70" i="51" s="1"/>
  <c r="S70" i="51" s="1"/>
  <c r="T70" i="51" s="1"/>
  <c r="U70" i="51" s="1"/>
  <c r="L69" i="51"/>
  <c r="M69" i="51" s="1"/>
  <c r="N69" i="51" s="1"/>
  <c r="O69" i="51" s="1"/>
  <c r="P69" i="51" s="1"/>
  <c r="Q69" i="51" s="1"/>
  <c r="R69" i="51" s="1"/>
  <c r="S69" i="51" s="1"/>
  <c r="T69" i="51" s="1"/>
  <c r="U69" i="51" s="1"/>
  <c r="L68" i="51"/>
  <c r="M68" i="51" s="1"/>
  <c r="N68" i="51" s="1"/>
  <c r="O68" i="51" s="1"/>
  <c r="P68" i="51" s="1"/>
  <c r="Q68" i="51" s="1"/>
  <c r="R68" i="51" s="1"/>
  <c r="S68" i="51" s="1"/>
  <c r="T68" i="51" s="1"/>
  <c r="U68" i="51" s="1"/>
  <c r="L67" i="51"/>
  <c r="M67" i="51" s="1"/>
  <c r="N67" i="51" s="1"/>
  <c r="O67" i="51" s="1"/>
  <c r="P67" i="51" s="1"/>
  <c r="Q67" i="51" s="1"/>
  <c r="R67" i="51" s="1"/>
  <c r="S67" i="51" s="1"/>
  <c r="T67" i="51" s="1"/>
  <c r="U67" i="51" s="1"/>
  <c r="L66" i="51"/>
  <c r="M66" i="51" s="1"/>
  <c r="N66" i="51" s="1"/>
  <c r="O66" i="51" s="1"/>
  <c r="P66" i="51" s="1"/>
  <c r="Q66" i="51" s="1"/>
  <c r="R66" i="51" s="1"/>
  <c r="S66" i="51" s="1"/>
  <c r="T66" i="51" s="1"/>
  <c r="U66" i="51" s="1"/>
  <c r="L65" i="51"/>
  <c r="M65" i="51" s="1"/>
  <c r="N65" i="51" s="1"/>
  <c r="O65" i="51" s="1"/>
  <c r="P65" i="51" s="1"/>
  <c r="Q65" i="51" s="1"/>
  <c r="R65" i="51" s="1"/>
  <c r="S65" i="51" s="1"/>
  <c r="T65" i="51" s="1"/>
  <c r="U65" i="51" s="1"/>
  <c r="L64" i="51"/>
  <c r="M64" i="51" s="1"/>
  <c r="N64" i="51" s="1"/>
  <c r="O64" i="51" s="1"/>
  <c r="P64" i="51" s="1"/>
  <c r="Q64" i="51" s="1"/>
  <c r="R64" i="51" s="1"/>
  <c r="S64" i="51" s="1"/>
  <c r="T64" i="51" s="1"/>
  <c r="U64" i="51" s="1"/>
  <c r="L63" i="51"/>
  <c r="M63" i="51" s="1"/>
  <c r="N63" i="51" s="1"/>
  <c r="O63" i="51" s="1"/>
  <c r="P63" i="51" s="1"/>
  <c r="Q63" i="51" s="1"/>
  <c r="R63" i="51" s="1"/>
  <c r="S63" i="51" s="1"/>
  <c r="T63" i="51" s="1"/>
  <c r="U63" i="51" s="1"/>
  <c r="L62" i="51"/>
  <c r="M62" i="51" s="1"/>
  <c r="N62" i="51" s="1"/>
  <c r="O62" i="51" s="1"/>
  <c r="P62" i="51" s="1"/>
  <c r="Q62" i="51" s="1"/>
  <c r="R62" i="51" s="1"/>
  <c r="S62" i="51" s="1"/>
  <c r="T62" i="51" s="1"/>
  <c r="U62" i="51" s="1"/>
  <c r="L61" i="51"/>
  <c r="M61" i="51" s="1"/>
  <c r="N61" i="51" s="1"/>
  <c r="O61" i="51" s="1"/>
  <c r="P61" i="51" s="1"/>
  <c r="Q61" i="51" s="1"/>
  <c r="R61" i="51" s="1"/>
  <c r="S61" i="51" s="1"/>
  <c r="T61" i="51" s="1"/>
  <c r="U61" i="51" s="1"/>
  <c r="L60" i="51"/>
  <c r="M60" i="51" s="1"/>
  <c r="N60" i="51" s="1"/>
  <c r="O60" i="51" s="1"/>
  <c r="P60" i="51" s="1"/>
  <c r="Q60" i="51" s="1"/>
  <c r="R60" i="51" s="1"/>
  <c r="S60" i="51" s="1"/>
  <c r="T60" i="51" s="1"/>
  <c r="U60" i="51" s="1"/>
  <c r="L59" i="51"/>
  <c r="M59" i="51" s="1"/>
  <c r="N59" i="51" s="1"/>
  <c r="O59" i="51" s="1"/>
  <c r="P59" i="51" s="1"/>
  <c r="Q59" i="51" s="1"/>
  <c r="R59" i="51" s="1"/>
  <c r="S59" i="51" s="1"/>
  <c r="T59" i="51" s="1"/>
  <c r="U59" i="51" s="1"/>
  <c r="L58" i="51"/>
  <c r="M58" i="51" s="1"/>
  <c r="N58" i="51" s="1"/>
  <c r="O58" i="51" s="1"/>
  <c r="P58" i="51" s="1"/>
  <c r="Q58" i="51" s="1"/>
  <c r="R58" i="51" s="1"/>
  <c r="S58" i="51" s="1"/>
  <c r="T58" i="51" s="1"/>
  <c r="U58" i="51" s="1"/>
  <c r="L57" i="51"/>
  <c r="M57" i="51" s="1"/>
  <c r="N57" i="51" s="1"/>
  <c r="O57" i="51" s="1"/>
  <c r="P57" i="51" s="1"/>
  <c r="Q57" i="51" s="1"/>
  <c r="R57" i="51" s="1"/>
  <c r="S57" i="51" s="1"/>
  <c r="T57" i="51" s="1"/>
  <c r="U57" i="51" s="1"/>
  <c r="L56" i="51"/>
  <c r="M56" i="51" s="1"/>
  <c r="N56" i="51" s="1"/>
  <c r="O56" i="51" s="1"/>
  <c r="P56" i="51" s="1"/>
  <c r="Q56" i="51" s="1"/>
  <c r="R56" i="51" s="1"/>
  <c r="S56" i="51" s="1"/>
  <c r="T56" i="51" s="1"/>
  <c r="U56" i="51" s="1"/>
  <c r="L55" i="51"/>
  <c r="M55" i="51" s="1"/>
  <c r="N55" i="51" s="1"/>
  <c r="O55" i="51" s="1"/>
  <c r="P55" i="51" s="1"/>
  <c r="Q55" i="51" s="1"/>
  <c r="R55" i="51" s="1"/>
  <c r="S55" i="51" s="1"/>
  <c r="T55" i="51" s="1"/>
  <c r="U55" i="51" s="1"/>
  <c r="L54" i="51"/>
  <c r="M54" i="51" s="1"/>
  <c r="N54" i="51" s="1"/>
  <c r="O54" i="51" s="1"/>
  <c r="P54" i="51" s="1"/>
  <c r="Q54" i="51" s="1"/>
  <c r="R54" i="51" s="1"/>
  <c r="S54" i="51" s="1"/>
  <c r="T54" i="51" s="1"/>
  <c r="U54" i="51" s="1"/>
  <c r="L53" i="51"/>
  <c r="M53" i="51" s="1"/>
  <c r="N53" i="51" s="1"/>
  <c r="O53" i="51" s="1"/>
  <c r="P53" i="51" s="1"/>
  <c r="Q53" i="51" s="1"/>
  <c r="R53" i="51" s="1"/>
  <c r="S53" i="51" s="1"/>
  <c r="T53" i="51" s="1"/>
  <c r="U53" i="51" s="1"/>
  <c r="L52" i="51"/>
  <c r="M52" i="51" s="1"/>
  <c r="N52" i="51" s="1"/>
  <c r="O52" i="51" s="1"/>
  <c r="P52" i="51" s="1"/>
  <c r="Q52" i="51" s="1"/>
  <c r="R52" i="51" s="1"/>
  <c r="S52" i="51" s="1"/>
  <c r="T52" i="51" s="1"/>
  <c r="U52" i="51" s="1"/>
  <c r="L51" i="51"/>
  <c r="M51" i="51" s="1"/>
  <c r="N51" i="51" s="1"/>
  <c r="O51" i="51" s="1"/>
  <c r="P51" i="51" s="1"/>
  <c r="Q51" i="51" s="1"/>
  <c r="R51" i="51" s="1"/>
  <c r="S51" i="51" s="1"/>
  <c r="T51" i="51" s="1"/>
  <c r="U51" i="51" s="1"/>
  <c r="L50" i="51"/>
  <c r="M50" i="51" s="1"/>
  <c r="N50" i="51" s="1"/>
  <c r="O50" i="51" s="1"/>
  <c r="P50" i="51" s="1"/>
  <c r="Q50" i="51" s="1"/>
  <c r="R50" i="51" s="1"/>
  <c r="S50" i="51" s="1"/>
  <c r="T50" i="51" s="1"/>
  <c r="U50" i="51" s="1"/>
  <c r="L49" i="51"/>
  <c r="M49" i="51" s="1"/>
  <c r="N49" i="51" s="1"/>
  <c r="O49" i="51" s="1"/>
  <c r="P49" i="51" s="1"/>
  <c r="Q49" i="51" s="1"/>
  <c r="R49" i="51" s="1"/>
  <c r="S49" i="51" s="1"/>
  <c r="T49" i="51" s="1"/>
  <c r="U49" i="51" s="1"/>
  <c r="L48" i="51"/>
  <c r="M48" i="51" s="1"/>
  <c r="N48" i="51" s="1"/>
  <c r="O48" i="51" s="1"/>
  <c r="P48" i="51" s="1"/>
  <c r="Q48" i="51" s="1"/>
  <c r="R48" i="51" s="1"/>
  <c r="S48" i="51" s="1"/>
  <c r="T48" i="51" s="1"/>
  <c r="U48" i="51" s="1"/>
  <c r="L47" i="51"/>
  <c r="M47" i="51" s="1"/>
  <c r="N47" i="51" s="1"/>
  <c r="O47" i="51" s="1"/>
  <c r="P47" i="51" s="1"/>
  <c r="Q47" i="51" s="1"/>
  <c r="R47" i="51" s="1"/>
  <c r="S47" i="51" s="1"/>
  <c r="T47" i="51" s="1"/>
  <c r="U47" i="51" s="1"/>
  <c r="L46" i="51"/>
  <c r="M46" i="51" s="1"/>
  <c r="N46" i="51" s="1"/>
  <c r="O46" i="51" s="1"/>
  <c r="P46" i="51" s="1"/>
  <c r="Q46" i="51" s="1"/>
  <c r="R46" i="51" s="1"/>
  <c r="S46" i="51" s="1"/>
  <c r="T46" i="51" s="1"/>
  <c r="U46" i="51" s="1"/>
  <c r="L45" i="51"/>
  <c r="M45" i="51" s="1"/>
  <c r="N45" i="51" s="1"/>
  <c r="O45" i="51" s="1"/>
  <c r="P45" i="51" s="1"/>
  <c r="Q45" i="51" s="1"/>
  <c r="R45" i="51" s="1"/>
  <c r="S45" i="51" s="1"/>
  <c r="T45" i="51" s="1"/>
  <c r="U45" i="51" s="1"/>
  <c r="L44" i="51"/>
  <c r="M44" i="51" s="1"/>
  <c r="N44" i="51" s="1"/>
  <c r="O44" i="51" s="1"/>
  <c r="P44" i="51" s="1"/>
  <c r="Q44" i="51" s="1"/>
  <c r="R44" i="51" s="1"/>
  <c r="S44" i="51" s="1"/>
  <c r="T44" i="51" s="1"/>
  <c r="U44" i="51" s="1"/>
  <c r="L43" i="51"/>
  <c r="M43" i="51" s="1"/>
  <c r="N43" i="51" s="1"/>
  <c r="O43" i="51" s="1"/>
  <c r="P43" i="51" s="1"/>
  <c r="Q43" i="51" s="1"/>
  <c r="R43" i="51" s="1"/>
  <c r="S43" i="51" s="1"/>
  <c r="T43" i="51" s="1"/>
  <c r="U43" i="51" s="1"/>
  <c r="L42" i="51"/>
  <c r="M42" i="51" s="1"/>
  <c r="N42" i="51" s="1"/>
  <c r="O42" i="51" s="1"/>
  <c r="P42" i="51" s="1"/>
  <c r="Q42" i="51" s="1"/>
  <c r="R42" i="51" s="1"/>
  <c r="S42" i="51" s="1"/>
  <c r="T42" i="51" s="1"/>
  <c r="U42" i="51" s="1"/>
  <c r="L41" i="51"/>
  <c r="M41" i="51" s="1"/>
  <c r="N41" i="51" s="1"/>
  <c r="O41" i="51" s="1"/>
  <c r="P41" i="51" s="1"/>
  <c r="Q41" i="51" s="1"/>
  <c r="R41" i="51" s="1"/>
  <c r="S41" i="51" s="1"/>
  <c r="T41" i="51" s="1"/>
  <c r="U41" i="51" s="1"/>
  <c r="L40" i="51"/>
  <c r="M40" i="51" s="1"/>
  <c r="N40" i="51" s="1"/>
  <c r="O40" i="51" s="1"/>
  <c r="P40" i="51" s="1"/>
  <c r="Q40" i="51" s="1"/>
  <c r="R40" i="51" s="1"/>
  <c r="S40" i="51" s="1"/>
  <c r="T40" i="51" s="1"/>
  <c r="U40" i="51" s="1"/>
  <c r="L39" i="51"/>
  <c r="M39" i="51" s="1"/>
  <c r="N39" i="51" s="1"/>
  <c r="O39" i="51" s="1"/>
  <c r="P39" i="51" s="1"/>
  <c r="Q39" i="51" s="1"/>
  <c r="R39" i="51" s="1"/>
  <c r="S39" i="51" s="1"/>
  <c r="T39" i="51" s="1"/>
  <c r="U39" i="51" s="1"/>
  <c r="L38" i="51"/>
  <c r="M38" i="51" s="1"/>
  <c r="N38" i="51" s="1"/>
  <c r="O38" i="51" s="1"/>
  <c r="P38" i="51" s="1"/>
  <c r="Q38" i="51" s="1"/>
  <c r="R38" i="51" s="1"/>
  <c r="S38" i="51" s="1"/>
  <c r="T38" i="51" s="1"/>
  <c r="U38" i="51" s="1"/>
  <c r="L37" i="51"/>
  <c r="M37" i="51" s="1"/>
  <c r="N37" i="51" s="1"/>
  <c r="O37" i="51" s="1"/>
  <c r="P37" i="51" s="1"/>
  <c r="Q37" i="51" s="1"/>
  <c r="R37" i="51" s="1"/>
  <c r="S37" i="51" s="1"/>
  <c r="T37" i="51" s="1"/>
  <c r="U37" i="51" s="1"/>
  <c r="L36" i="51"/>
  <c r="M36" i="51" s="1"/>
  <c r="N36" i="51" s="1"/>
  <c r="O36" i="51" s="1"/>
  <c r="P36" i="51" s="1"/>
  <c r="Q36" i="51" s="1"/>
  <c r="R36" i="51" s="1"/>
  <c r="S36" i="51" s="1"/>
  <c r="T36" i="51" s="1"/>
  <c r="U36" i="51" s="1"/>
  <c r="L35" i="51"/>
  <c r="M35" i="51" s="1"/>
  <c r="N35" i="51" s="1"/>
  <c r="O35" i="51" s="1"/>
  <c r="P35" i="51" s="1"/>
  <c r="Q35" i="51" s="1"/>
  <c r="R35" i="51" s="1"/>
  <c r="S35" i="51" s="1"/>
  <c r="T35" i="51" s="1"/>
  <c r="U35" i="51" s="1"/>
  <c r="L34" i="51"/>
  <c r="M34" i="51" s="1"/>
  <c r="N34" i="51" s="1"/>
  <c r="O34" i="51" s="1"/>
  <c r="P34" i="51" s="1"/>
  <c r="Q34" i="51" s="1"/>
  <c r="R34" i="51" s="1"/>
  <c r="S34" i="51" s="1"/>
  <c r="T34" i="51" s="1"/>
  <c r="U34" i="51" s="1"/>
  <c r="L33" i="51"/>
  <c r="M33" i="51" s="1"/>
  <c r="N33" i="51" s="1"/>
  <c r="O33" i="51" s="1"/>
  <c r="P33" i="51" s="1"/>
  <c r="Q33" i="51" s="1"/>
  <c r="R33" i="51" s="1"/>
  <c r="S33" i="51" s="1"/>
  <c r="T33" i="51" s="1"/>
  <c r="U33" i="51" s="1"/>
  <c r="L32" i="51"/>
  <c r="M32" i="51" s="1"/>
  <c r="N32" i="51" s="1"/>
  <c r="O32" i="51" s="1"/>
  <c r="P32" i="51" s="1"/>
  <c r="Q32" i="51" s="1"/>
  <c r="R32" i="51" s="1"/>
  <c r="S32" i="51" s="1"/>
  <c r="T32" i="51" s="1"/>
  <c r="U32" i="51" s="1"/>
  <c r="L31" i="51"/>
  <c r="M31" i="51" s="1"/>
  <c r="N31" i="51" s="1"/>
  <c r="O31" i="51" s="1"/>
  <c r="P31" i="51" s="1"/>
  <c r="Q31" i="51" s="1"/>
  <c r="R31" i="51" s="1"/>
  <c r="S31" i="51" s="1"/>
  <c r="T31" i="51" s="1"/>
  <c r="U31" i="51" s="1"/>
  <c r="L30" i="51"/>
  <c r="M30" i="51" s="1"/>
  <c r="N30" i="51" s="1"/>
  <c r="O30" i="51" s="1"/>
  <c r="P30" i="51" s="1"/>
  <c r="Q30" i="51" s="1"/>
  <c r="R30" i="51" s="1"/>
  <c r="S30" i="51" s="1"/>
  <c r="T30" i="51" s="1"/>
  <c r="U30" i="51" s="1"/>
  <c r="L29" i="51"/>
  <c r="M29" i="51" s="1"/>
  <c r="N29" i="51" s="1"/>
  <c r="O29" i="51" s="1"/>
  <c r="P29" i="51" s="1"/>
  <c r="Q29" i="51" s="1"/>
  <c r="R29" i="51" s="1"/>
  <c r="S29" i="51" s="1"/>
  <c r="T29" i="51" s="1"/>
  <c r="U29" i="51" s="1"/>
  <c r="L28" i="51"/>
  <c r="M28" i="51" s="1"/>
  <c r="N28" i="51" s="1"/>
  <c r="O28" i="51" s="1"/>
  <c r="P28" i="51" s="1"/>
  <c r="Q28" i="51" s="1"/>
  <c r="R28" i="51" s="1"/>
  <c r="S28" i="51" s="1"/>
  <c r="T28" i="51" s="1"/>
  <c r="U28" i="51" s="1"/>
  <c r="L27" i="51"/>
  <c r="M27" i="51" s="1"/>
  <c r="N27" i="51" s="1"/>
  <c r="O27" i="51" s="1"/>
  <c r="P27" i="51" s="1"/>
  <c r="Q27" i="51" s="1"/>
  <c r="R27" i="51" s="1"/>
  <c r="S27" i="51" s="1"/>
  <c r="T27" i="51" s="1"/>
  <c r="U27" i="51" s="1"/>
  <c r="L26" i="51"/>
  <c r="M26" i="51" s="1"/>
  <c r="N26" i="51" s="1"/>
  <c r="O26" i="51" s="1"/>
  <c r="P26" i="51" s="1"/>
  <c r="Q26" i="51" s="1"/>
  <c r="R26" i="51" s="1"/>
  <c r="S26" i="51" s="1"/>
  <c r="T26" i="51" s="1"/>
  <c r="U26" i="51" s="1"/>
  <c r="L25" i="51"/>
  <c r="M25" i="51" s="1"/>
  <c r="N25" i="51" s="1"/>
  <c r="O25" i="51" s="1"/>
  <c r="P25" i="51" s="1"/>
  <c r="Q25" i="51" s="1"/>
  <c r="R25" i="51" s="1"/>
  <c r="S25" i="51" s="1"/>
  <c r="T25" i="51" s="1"/>
  <c r="U25" i="51" s="1"/>
  <c r="L24" i="51"/>
  <c r="M24" i="51" s="1"/>
  <c r="N24" i="51" s="1"/>
  <c r="O24" i="51" s="1"/>
  <c r="P24" i="51" s="1"/>
  <c r="Q24" i="51" s="1"/>
  <c r="R24" i="51" s="1"/>
  <c r="S24" i="51" s="1"/>
  <c r="T24" i="51" s="1"/>
  <c r="U24" i="51" s="1"/>
  <c r="L23" i="51"/>
  <c r="M23" i="51" s="1"/>
  <c r="N23" i="51" s="1"/>
  <c r="O23" i="51" s="1"/>
  <c r="P23" i="51" s="1"/>
  <c r="Q23" i="51" s="1"/>
  <c r="R23" i="51" s="1"/>
  <c r="S23" i="51" s="1"/>
  <c r="T23" i="51" s="1"/>
  <c r="U23" i="51" s="1"/>
  <c r="L22" i="51"/>
  <c r="M22" i="51" s="1"/>
  <c r="N22" i="51" s="1"/>
  <c r="O22" i="51" s="1"/>
  <c r="P22" i="51" s="1"/>
  <c r="Q22" i="51" s="1"/>
  <c r="R22" i="51" s="1"/>
  <c r="S22" i="51" s="1"/>
  <c r="T22" i="51" s="1"/>
  <c r="U22" i="51" s="1"/>
  <c r="L21" i="51"/>
  <c r="M21" i="51" s="1"/>
  <c r="N21" i="51" s="1"/>
  <c r="O21" i="51" s="1"/>
  <c r="P21" i="51" s="1"/>
  <c r="Q21" i="51" s="1"/>
  <c r="R21" i="51" s="1"/>
  <c r="S21" i="51" s="1"/>
  <c r="T21" i="51" s="1"/>
  <c r="U21" i="51" s="1"/>
  <c r="L20" i="51"/>
  <c r="M20" i="51" s="1"/>
  <c r="N20" i="51" s="1"/>
  <c r="O20" i="51" s="1"/>
  <c r="P20" i="51" s="1"/>
  <c r="Q20" i="51" s="1"/>
  <c r="R20" i="51" s="1"/>
  <c r="S20" i="51" s="1"/>
  <c r="T20" i="51" s="1"/>
  <c r="U20" i="51" s="1"/>
  <c r="L19" i="51"/>
  <c r="M19" i="51" s="1"/>
  <c r="N19" i="51" s="1"/>
  <c r="O19" i="51" s="1"/>
  <c r="P19" i="51" s="1"/>
  <c r="Q19" i="51" s="1"/>
  <c r="R19" i="51" s="1"/>
  <c r="S19" i="51" s="1"/>
  <c r="T19" i="51" s="1"/>
  <c r="U19" i="51" s="1"/>
  <c r="L18" i="51"/>
  <c r="M18" i="51" s="1"/>
  <c r="N18" i="51" s="1"/>
  <c r="O18" i="51" s="1"/>
  <c r="P18" i="51" s="1"/>
  <c r="Q18" i="51" s="1"/>
  <c r="R18" i="51" s="1"/>
  <c r="S18" i="51" s="1"/>
  <c r="T18" i="51" s="1"/>
  <c r="U18" i="51" s="1"/>
  <c r="L17" i="51"/>
  <c r="M17" i="51" s="1"/>
  <c r="N17" i="51" s="1"/>
  <c r="O17" i="51" s="1"/>
  <c r="P17" i="51" s="1"/>
  <c r="Q17" i="51" s="1"/>
  <c r="R17" i="51" s="1"/>
  <c r="S17" i="51" s="1"/>
  <c r="T17" i="51" s="1"/>
  <c r="U17" i="51" s="1"/>
  <c r="L16" i="51"/>
  <c r="M16" i="51" s="1"/>
  <c r="N16" i="51" s="1"/>
  <c r="O16" i="51" s="1"/>
  <c r="P16" i="51" s="1"/>
  <c r="Q16" i="51" s="1"/>
  <c r="R16" i="51" s="1"/>
  <c r="S16" i="51" s="1"/>
  <c r="T16" i="51" s="1"/>
  <c r="U16" i="51" s="1"/>
  <c r="L15" i="51"/>
  <c r="M15" i="51" s="1"/>
  <c r="N15" i="51" s="1"/>
  <c r="O15" i="51" s="1"/>
  <c r="P15" i="51" s="1"/>
  <c r="Q15" i="51" s="1"/>
  <c r="R15" i="51" s="1"/>
  <c r="S15" i="51" s="1"/>
  <c r="T15" i="51" s="1"/>
  <c r="U15" i="51" s="1"/>
  <c r="L14" i="51"/>
  <c r="M14" i="51" s="1"/>
  <c r="N14" i="51" s="1"/>
  <c r="O14" i="51" s="1"/>
  <c r="P14" i="51" s="1"/>
  <c r="Q14" i="51" s="1"/>
  <c r="R14" i="51" s="1"/>
  <c r="S14" i="51" s="1"/>
  <c r="T14" i="51" s="1"/>
  <c r="U14" i="51" s="1"/>
  <c r="L13" i="51"/>
  <c r="M13" i="51" s="1"/>
  <c r="N13" i="51" s="1"/>
  <c r="O13" i="51" s="1"/>
  <c r="P13" i="51" s="1"/>
  <c r="Q13" i="51" s="1"/>
  <c r="R13" i="51" s="1"/>
  <c r="S13" i="51" s="1"/>
  <c r="T13" i="51" s="1"/>
  <c r="U13" i="51" s="1"/>
  <c r="L12" i="51"/>
  <c r="M12" i="51" s="1"/>
  <c r="N12" i="51" s="1"/>
  <c r="O12" i="51" s="1"/>
  <c r="P12" i="51" s="1"/>
  <c r="Q12" i="51" s="1"/>
  <c r="R12" i="51" s="1"/>
  <c r="S12" i="51" s="1"/>
  <c r="T12" i="51" s="1"/>
  <c r="U12" i="51" s="1"/>
  <c r="L11" i="51"/>
  <c r="M11" i="51" s="1"/>
  <c r="N11" i="51" s="1"/>
  <c r="O11" i="51" s="1"/>
  <c r="P11" i="51" s="1"/>
  <c r="Q11" i="51" s="1"/>
  <c r="R11" i="51" s="1"/>
  <c r="S11" i="51" s="1"/>
  <c r="T11" i="51" s="1"/>
  <c r="U11" i="51" s="1"/>
  <c r="L10" i="51"/>
  <c r="M10" i="51" s="1"/>
  <c r="N10" i="51" s="1"/>
  <c r="O10" i="51" s="1"/>
  <c r="P10" i="51" s="1"/>
  <c r="Q10" i="51" s="1"/>
  <c r="R10" i="51" s="1"/>
  <c r="S10" i="51" s="1"/>
  <c r="T10" i="51" s="1"/>
  <c r="U10" i="51" s="1"/>
  <c r="L9" i="51"/>
  <c r="M9" i="51" s="1"/>
  <c r="N9" i="51" s="1"/>
  <c r="O9" i="51" s="1"/>
  <c r="P9" i="51" s="1"/>
  <c r="Q9" i="51" s="1"/>
  <c r="R9" i="51" s="1"/>
  <c r="S9" i="51" s="1"/>
  <c r="T9" i="51" s="1"/>
  <c r="U9" i="51" s="1"/>
  <c r="L8" i="51"/>
  <c r="M8" i="51" s="1"/>
  <c r="N8" i="51" s="1"/>
  <c r="O8" i="51" s="1"/>
  <c r="P8" i="51" s="1"/>
  <c r="Q8" i="51" s="1"/>
  <c r="R8" i="51" s="1"/>
  <c r="S8" i="51" s="1"/>
  <c r="T8" i="51" s="1"/>
  <c r="U8" i="51" s="1"/>
  <c r="L7" i="51"/>
  <c r="M7" i="51" s="1"/>
  <c r="N7" i="51" s="1"/>
  <c r="O7" i="51" s="1"/>
  <c r="P7" i="51" s="1"/>
  <c r="Q7" i="51" s="1"/>
  <c r="R7" i="51" s="1"/>
  <c r="S7" i="51" s="1"/>
  <c r="T7" i="51" s="1"/>
  <c r="U7" i="51" s="1"/>
  <c r="L6" i="51"/>
  <c r="M6" i="51" s="1"/>
  <c r="N6" i="51" s="1"/>
  <c r="O6" i="51" s="1"/>
  <c r="P6" i="51" s="1"/>
  <c r="Q6" i="51" s="1"/>
  <c r="R6" i="51" s="1"/>
  <c r="S6" i="51" s="1"/>
  <c r="T6" i="51" s="1"/>
  <c r="U6" i="51" s="1"/>
  <c r="L5" i="51"/>
  <c r="M5" i="51" s="1"/>
  <c r="N5" i="51" s="1"/>
  <c r="O5" i="51" s="1"/>
  <c r="P5" i="51" s="1"/>
  <c r="Q5" i="51" s="1"/>
  <c r="R5" i="51" s="1"/>
  <c r="S5" i="51" s="1"/>
  <c r="T5" i="51" s="1"/>
  <c r="U5" i="51" s="1"/>
  <c r="L6" i="40"/>
  <c r="L7" i="40"/>
  <c r="L8" i="40"/>
  <c r="L9" i="40"/>
  <c r="L10" i="40"/>
  <c r="L11" i="40"/>
  <c r="L12" i="40"/>
  <c r="L13" i="40"/>
  <c r="L14" i="40"/>
  <c r="L15" i="40"/>
  <c r="L16" i="40"/>
  <c r="L17" i="40"/>
  <c r="L18" i="40"/>
  <c r="L19" i="40"/>
  <c r="L20" i="40"/>
  <c r="L21" i="40"/>
  <c r="L22" i="40"/>
  <c r="L23" i="40"/>
  <c r="L24" i="40"/>
  <c r="L25" i="40"/>
  <c r="L26" i="40"/>
  <c r="L27" i="40"/>
  <c r="L28" i="40"/>
  <c r="L29" i="40"/>
  <c r="L30" i="40"/>
  <c r="L31" i="40"/>
  <c r="L32" i="40"/>
  <c r="L33" i="40"/>
  <c r="L34" i="40"/>
  <c r="L35" i="40"/>
  <c r="L36" i="40"/>
  <c r="L37" i="40"/>
  <c r="L38" i="40"/>
  <c r="L39" i="40"/>
  <c r="L40" i="40"/>
  <c r="L41" i="40"/>
  <c r="L42" i="40"/>
  <c r="L43" i="40"/>
  <c r="L44" i="40"/>
  <c r="L45" i="40"/>
  <c r="L46" i="40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D3" i="51"/>
  <c r="T8" i="32" l="1"/>
  <c r="W139" i="47"/>
  <c r="W148" i="47"/>
  <c r="W140" i="47"/>
  <c r="W142" i="47" l="1"/>
  <c r="W144" i="47" s="1"/>
  <c r="L206" i="47" l="1"/>
  <c r="M206" i="47" s="1"/>
  <c r="N206" i="47" s="1"/>
  <c r="O206" i="47" s="1"/>
  <c r="P206" i="47" s="1"/>
  <c r="Q206" i="47" s="1"/>
  <c r="R206" i="47" s="1"/>
  <c r="S206" i="47" s="1"/>
  <c r="T206" i="47" s="1"/>
  <c r="U206" i="47" s="1"/>
  <c r="L207" i="47"/>
  <c r="M207" i="47" s="1"/>
  <c r="N207" i="47" s="1"/>
  <c r="O207" i="47" s="1"/>
  <c r="P207" i="47" s="1"/>
  <c r="Q207" i="47" s="1"/>
  <c r="R207" i="47" s="1"/>
  <c r="S207" i="47" s="1"/>
  <c r="T207" i="47" s="1"/>
  <c r="U207" i="47" s="1"/>
  <c r="L208" i="47"/>
  <c r="M208" i="47" s="1"/>
  <c r="N208" i="47" s="1"/>
  <c r="O208" i="47" s="1"/>
  <c r="P208" i="47" s="1"/>
  <c r="Q208" i="47" s="1"/>
  <c r="R208" i="47" s="1"/>
  <c r="S208" i="47" s="1"/>
  <c r="T208" i="47" s="1"/>
  <c r="U208" i="47" s="1"/>
  <c r="L209" i="47"/>
  <c r="M209" i="47" s="1"/>
  <c r="N209" i="47" s="1"/>
  <c r="O209" i="47" s="1"/>
  <c r="P209" i="47" s="1"/>
  <c r="Q209" i="47" s="1"/>
  <c r="R209" i="47" s="1"/>
  <c r="S209" i="47" s="1"/>
  <c r="T209" i="47" s="1"/>
  <c r="U209" i="47" s="1"/>
  <c r="L210" i="47"/>
  <c r="M210" i="47" s="1"/>
  <c r="N210" i="47" s="1"/>
  <c r="O210" i="47" s="1"/>
  <c r="P210" i="47" s="1"/>
  <c r="Q210" i="47" s="1"/>
  <c r="R210" i="47" s="1"/>
  <c r="S210" i="47" s="1"/>
  <c r="T210" i="47" s="1"/>
  <c r="U210" i="47" s="1"/>
  <c r="L211" i="47"/>
  <c r="M211" i="47" s="1"/>
  <c r="N211" i="47" s="1"/>
  <c r="O211" i="47" s="1"/>
  <c r="P211" i="47" s="1"/>
  <c r="Q211" i="47" s="1"/>
  <c r="R211" i="47" s="1"/>
  <c r="S211" i="47" s="1"/>
  <c r="T211" i="47" s="1"/>
  <c r="U211" i="47" s="1"/>
  <c r="L212" i="47"/>
  <c r="M212" i="47" s="1"/>
  <c r="N212" i="47" s="1"/>
  <c r="O212" i="47" s="1"/>
  <c r="P212" i="47" s="1"/>
  <c r="Q212" i="47" s="1"/>
  <c r="R212" i="47" s="1"/>
  <c r="S212" i="47" s="1"/>
  <c r="T212" i="47" s="1"/>
  <c r="U212" i="47" s="1"/>
  <c r="L213" i="47"/>
  <c r="M213" i="47" s="1"/>
  <c r="N213" i="47" s="1"/>
  <c r="O213" i="47" s="1"/>
  <c r="P213" i="47" s="1"/>
  <c r="Q213" i="47" s="1"/>
  <c r="R213" i="47" s="1"/>
  <c r="S213" i="47" s="1"/>
  <c r="T213" i="47" s="1"/>
  <c r="U213" i="47" s="1"/>
  <c r="L214" i="47"/>
  <c r="M214" i="47" s="1"/>
  <c r="N214" i="47" s="1"/>
  <c r="O214" i="47" s="1"/>
  <c r="P214" i="47" s="1"/>
  <c r="Q214" i="47" s="1"/>
  <c r="R214" i="47" s="1"/>
  <c r="S214" i="47" s="1"/>
  <c r="T214" i="47" s="1"/>
  <c r="U214" i="47" s="1"/>
  <c r="L215" i="47"/>
  <c r="M215" i="47" s="1"/>
  <c r="N215" i="47" s="1"/>
  <c r="O215" i="47" s="1"/>
  <c r="P215" i="47" s="1"/>
  <c r="Q215" i="47" s="1"/>
  <c r="R215" i="47" s="1"/>
  <c r="S215" i="47" s="1"/>
  <c r="T215" i="47" s="1"/>
  <c r="U215" i="47" s="1"/>
  <c r="L216" i="47"/>
  <c r="M216" i="47" s="1"/>
  <c r="N216" i="47" s="1"/>
  <c r="O216" i="47" s="1"/>
  <c r="P216" i="47" s="1"/>
  <c r="Q216" i="47" s="1"/>
  <c r="R216" i="47" s="1"/>
  <c r="S216" i="47" s="1"/>
  <c r="T216" i="47" s="1"/>
  <c r="U216" i="47" s="1"/>
  <c r="L217" i="47"/>
  <c r="M217" i="47" s="1"/>
  <c r="N217" i="47" s="1"/>
  <c r="O217" i="47" s="1"/>
  <c r="P217" i="47" s="1"/>
  <c r="Q217" i="47" s="1"/>
  <c r="R217" i="47" s="1"/>
  <c r="S217" i="47" s="1"/>
  <c r="T217" i="47" s="1"/>
  <c r="U217" i="47" s="1"/>
  <c r="L218" i="47"/>
  <c r="M218" i="47" s="1"/>
  <c r="N218" i="47" s="1"/>
  <c r="O218" i="47" s="1"/>
  <c r="P218" i="47" s="1"/>
  <c r="Q218" i="47" s="1"/>
  <c r="R218" i="47" s="1"/>
  <c r="S218" i="47" s="1"/>
  <c r="T218" i="47" s="1"/>
  <c r="U218" i="47" s="1"/>
  <c r="J9" i="37"/>
  <c r="K9" i="37" s="1"/>
  <c r="L9" i="37" s="1"/>
  <c r="M9" i="37" s="1"/>
  <c r="N9" i="37" s="1"/>
  <c r="O9" i="37" s="1"/>
  <c r="P9" i="37" s="1"/>
  <c r="Q9" i="37" s="1"/>
  <c r="O6" i="45"/>
  <c r="O7" i="45"/>
  <c r="O8" i="45"/>
  <c r="O9" i="45"/>
  <c r="O10" i="45"/>
  <c r="O11" i="45"/>
  <c r="O12" i="45"/>
  <c r="O13" i="45"/>
  <c r="O14" i="45"/>
  <c r="O15" i="45"/>
  <c r="O16" i="45"/>
  <c r="O17" i="45"/>
  <c r="O18" i="45"/>
  <c r="O19" i="45"/>
  <c r="O20" i="45"/>
  <c r="O21" i="45"/>
  <c r="O22" i="45"/>
  <c r="O23" i="45"/>
  <c r="O24" i="45"/>
  <c r="O25" i="45"/>
  <c r="O26" i="45"/>
  <c r="O27" i="45"/>
  <c r="O28" i="45"/>
  <c r="O29" i="45"/>
  <c r="O30" i="45"/>
  <c r="O31" i="45"/>
  <c r="O32" i="45"/>
  <c r="O33" i="45"/>
  <c r="O34" i="45"/>
  <c r="O35" i="45"/>
  <c r="O5" i="45"/>
  <c r="D3" i="45"/>
  <c r="L9" i="3" l="1"/>
  <c r="D7" i="3"/>
  <c r="N5" i="44" l="1"/>
  <c r="N3" i="44"/>
  <c r="L220" i="47" l="1"/>
  <c r="M220" i="47" s="1"/>
  <c r="N220" i="47" s="1"/>
  <c r="O220" i="47" s="1"/>
  <c r="P220" i="47" s="1"/>
  <c r="Q220" i="47" s="1"/>
  <c r="R220" i="47" s="1"/>
  <c r="S220" i="47" s="1"/>
  <c r="T220" i="47" s="1"/>
  <c r="U220" i="47" s="1"/>
  <c r="L221" i="47"/>
  <c r="M221" i="47" s="1"/>
  <c r="N221" i="47" s="1"/>
  <c r="O221" i="47" s="1"/>
  <c r="P221" i="47" s="1"/>
  <c r="Q221" i="47" s="1"/>
  <c r="R221" i="47" s="1"/>
  <c r="S221" i="47" s="1"/>
  <c r="T221" i="47" s="1"/>
  <c r="U221" i="47" s="1"/>
  <c r="L222" i="47"/>
  <c r="M222" i="47" s="1"/>
  <c r="N222" i="47" s="1"/>
  <c r="O222" i="47" s="1"/>
  <c r="P222" i="47" s="1"/>
  <c r="Q222" i="47" s="1"/>
  <c r="R222" i="47" s="1"/>
  <c r="S222" i="47" s="1"/>
  <c r="T222" i="47" s="1"/>
  <c r="U222" i="47" s="1"/>
  <c r="L223" i="47"/>
  <c r="M223" i="47" s="1"/>
  <c r="N223" i="47" s="1"/>
  <c r="O223" i="47" s="1"/>
  <c r="P223" i="47" s="1"/>
  <c r="Q223" i="47" s="1"/>
  <c r="R223" i="47" s="1"/>
  <c r="S223" i="47" s="1"/>
  <c r="T223" i="47" s="1"/>
  <c r="U223" i="47" s="1"/>
  <c r="L224" i="47"/>
  <c r="M224" i="47" s="1"/>
  <c r="N224" i="47" s="1"/>
  <c r="O224" i="47" s="1"/>
  <c r="P224" i="47" s="1"/>
  <c r="Q224" i="47" s="1"/>
  <c r="R224" i="47" s="1"/>
  <c r="S224" i="47" s="1"/>
  <c r="T224" i="47" s="1"/>
  <c r="U224" i="47" s="1"/>
  <c r="L225" i="47"/>
  <c r="M225" i="47" s="1"/>
  <c r="N225" i="47" s="1"/>
  <c r="O225" i="47" s="1"/>
  <c r="P225" i="47" s="1"/>
  <c r="Q225" i="47" s="1"/>
  <c r="R225" i="47" s="1"/>
  <c r="S225" i="47" s="1"/>
  <c r="T225" i="47" s="1"/>
  <c r="U225" i="47" s="1"/>
  <c r="L226" i="47"/>
  <c r="M226" i="47" s="1"/>
  <c r="N226" i="47" s="1"/>
  <c r="O226" i="47" s="1"/>
  <c r="P226" i="47" s="1"/>
  <c r="Q226" i="47" s="1"/>
  <c r="R226" i="47" s="1"/>
  <c r="S226" i="47" s="1"/>
  <c r="T226" i="47" s="1"/>
  <c r="U226" i="47" s="1"/>
  <c r="L227" i="47"/>
  <c r="M227" i="47" s="1"/>
  <c r="N227" i="47" s="1"/>
  <c r="O227" i="47" s="1"/>
  <c r="P227" i="47" s="1"/>
  <c r="Q227" i="47" s="1"/>
  <c r="R227" i="47" s="1"/>
  <c r="S227" i="47" s="1"/>
  <c r="T227" i="47" s="1"/>
  <c r="U227" i="47" s="1"/>
  <c r="L228" i="47"/>
  <c r="M228" i="47" s="1"/>
  <c r="N228" i="47" s="1"/>
  <c r="O228" i="47" s="1"/>
  <c r="P228" i="47" s="1"/>
  <c r="Q228" i="47" s="1"/>
  <c r="R228" i="47" s="1"/>
  <c r="S228" i="47" s="1"/>
  <c r="T228" i="47" s="1"/>
  <c r="U228" i="47" s="1"/>
  <c r="L229" i="47"/>
  <c r="M229" i="47" s="1"/>
  <c r="N229" i="47" s="1"/>
  <c r="O229" i="47" s="1"/>
  <c r="P229" i="47" s="1"/>
  <c r="Q229" i="47" s="1"/>
  <c r="R229" i="47" s="1"/>
  <c r="S229" i="47" s="1"/>
  <c r="T229" i="47" s="1"/>
  <c r="U229" i="47" s="1"/>
  <c r="L230" i="47"/>
  <c r="M230" i="47" s="1"/>
  <c r="N230" i="47" s="1"/>
  <c r="O230" i="47" s="1"/>
  <c r="P230" i="47" s="1"/>
  <c r="Q230" i="47" s="1"/>
  <c r="R230" i="47" s="1"/>
  <c r="S230" i="47" s="1"/>
  <c r="T230" i="47" s="1"/>
  <c r="U230" i="47" s="1"/>
  <c r="L231" i="47"/>
  <c r="M231" i="47" s="1"/>
  <c r="N231" i="47" s="1"/>
  <c r="O231" i="47" s="1"/>
  <c r="P231" i="47" s="1"/>
  <c r="Q231" i="47" s="1"/>
  <c r="R231" i="47" s="1"/>
  <c r="S231" i="47" s="1"/>
  <c r="T231" i="47" s="1"/>
  <c r="U231" i="47" s="1"/>
  <c r="L232" i="47"/>
  <c r="M232" i="47" s="1"/>
  <c r="N232" i="47" s="1"/>
  <c r="O232" i="47" s="1"/>
  <c r="P232" i="47" s="1"/>
  <c r="Q232" i="47" s="1"/>
  <c r="R232" i="47" s="1"/>
  <c r="S232" i="47" s="1"/>
  <c r="T232" i="47" s="1"/>
  <c r="U232" i="47" s="1"/>
  <c r="L233" i="47"/>
  <c r="M233" i="47" s="1"/>
  <c r="N233" i="47" s="1"/>
  <c r="O233" i="47" s="1"/>
  <c r="P233" i="47" s="1"/>
  <c r="Q233" i="47" s="1"/>
  <c r="R233" i="47" s="1"/>
  <c r="S233" i="47" s="1"/>
  <c r="T233" i="47" s="1"/>
  <c r="U233" i="47" s="1"/>
  <c r="L234" i="47"/>
  <c r="M234" i="47" s="1"/>
  <c r="N234" i="47" s="1"/>
  <c r="O234" i="47" s="1"/>
  <c r="P234" i="47" s="1"/>
  <c r="Q234" i="47" s="1"/>
  <c r="R234" i="47" s="1"/>
  <c r="S234" i="47" s="1"/>
  <c r="T234" i="47" s="1"/>
  <c r="U234" i="47" s="1"/>
  <c r="L219" i="47"/>
  <c r="M219" i="47" s="1"/>
  <c r="N219" i="47" s="1"/>
  <c r="O219" i="47" s="1"/>
  <c r="P219" i="47" s="1"/>
  <c r="Q219" i="47" s="1"/>
  <c r="R219" i="47" s="1"/>
  <c r="S219" i="47" s="1"/>
  <c r="T219" i="47" s="1"/>
  <c r="U219" i="47" s="1"/>
  <c r="J19" i="65" l="1"/>
  <c r="K19" i="65" s="1"/>
  <c r="L19" i="65" s="1"/>
  <c r="M19" i="65" s="1"/>
  <c r="N19" i="65" s="1"/>
  <c r="O19" i="65" s="1"/>
  <c r="P19" i="65" s="1"/>
  <c r="Q19" i="65" s="1"/>
  <c r="R19" i="65" s="1"/>
  <c r="S19" i="65" s="1"/>
  <c r="J20" i="65"/>
  <c r="K20" i="65" s="1"/>
  <c r="L20" i="65" s="1"/>
  <c r="M20" i="65" s="1"/>
  <c r="N20" i="65" s="1"/>
  <c r="O20" i="65" s="1"/>
  <c r="P20" i="65" s="1"/>
  <c r="Q20" i="65" s="1"/>
  <c r="R20" i="65" s="1"/>
  <c r="S20" i="65" s="1"/>
  <c r="J21" i="65"/>
  <c r="K21" i="65" s="1"/>
  <c r="L21" i="65" s="1"/>
  <c r="M21" i="65" s="1"/>
  <c r="N21" i="65" s="1"/>
  <c r="O21" i="65" s="1"/>
  <c r="P21" i="65" s="1"/>
  <c r="Q21" i="65" s="1"/>
  <c r="R21" i="65" s="1"/>
  <c r="S21" i="65" s="1"/>
  <c r="J22" i="65"/>
  <c r="K22" i="65" s="1"/>
  <c r="L22" i="65" s="1"/>
  <c r="M22" i="65" s="1"/>
  <c r="N22" i="65" s="1"/>
  <c r="O22" i="65" s="1"/>
  <c r="P22" i="65" s="1"/>
  <c r="Q22" i="65" s="1"/>
  <c r="R22" i="65" s="1"/>
  <c r="S22" i="65" s="1"/>
  <c r="J23" i="65"/>
  <c r="K23" i="65" s="1"/>
  <c r="L23" i="65" s="1"/>
  <c r="M23" i="65" s="1"/>
  <c r="N23" i="65" s="1"/>
  <c r="O23" i="65" s="1"/>
  <c r="P23" i="65" s="1"/>
  <c r="Q23" i="65" s="1"/>
  <c r="R23" i="65" s="1"/>
  <c r="S23" i="65" s="1"/>
  <c r="J24" i="65"/>
  <c r="K24" i="65" s="1"/>
  <c r="L24" i="65" s="1"/>
  <c r="M24" i="65" s="1"/>
  <c r="N24" i="65" s="1"/>
  <c r="O24" i="65" s="1"/>
  <c r="P24" i="65" s="1"/>
  <c r="Q24" i="65" s="1"/>
  <c r="R24" i="65" s="1"/>
  <c r="S24" i="65" s="1"/>
  <c r="J25" i="65"/>
  <c r="K25" i="65" s="1"/>
  <c r="L25" i="65" s="1"/>
  <c r="M25" i="65" s="1"/>
  <c r="N25" i="65" s="1"/>
  <c r="O25" i="65" s="1"/>
  <c r="P25" i="65" s="1"/>
  <c r="Q25" i="65" s="1"/>
  <c r="R25" i="65" s="1"/>
  <c r="S25" i="65" s="1"/>
  <c r="J26" i="65"/>
  <c r="K26" i="65" s="1"/>
  <c r="L26" i="65" s="1"/>
  <c r="M26" i="65" s="1"/>
  <c r="N26" i="65" s="1"/>
  <c r="O26" i="65" s="1"/>
  <c r="P26" i="65" s="1"/>
  <c r="Q26" i="65" s="1"/>
  <c r="R26" i="65" s="1"/>
  <c r="S26" i="65" s="1"/>
  <c r="J27" i="65"/>
  <c r="K27" i="65" s="1"/>
  <c r="L27" i="65" s="1"/>
  <c r="M27" i="65" s="1"/>
  <c r="N27" i="65" s="1"/>
  <c r="O27" i="65" s="1"/>
  <c r="P27" i="65" s="1"/>
  <c r="Q27" i="65" s="1"/>
  <c r="R27" i="65" s="1"/>
  <c r="S27" i="65" s="1"/>
  <c r="J28" i="65"/>
  <c r="K28" i="65" s="1"/>
  <c r="L28" i="65" s="1"/>
  <c r="M28" i="65" s="1"/>
  <c r="N28" i="65" s="1"/>
  <c r="O28" i="65" s="1"/>
  <c r="P28" i="65" s="1"/>
  <c r="Q28" i="65" s="1"/>
  <c r="R28" i="65" s="1"/>
  <c r="S28" i="65" s="1"/>
  <c r="J29" i="65"/>
  <c r="K29" i="65" s="1"/>
  <c r="L29" i="65" s="1"/>
  <c r="M29" i="65" s="1"/>
  <c r="N29" i="65" s="1"/>
  <c r="O29" i="65" s="1"/>
  <c r="P29" i="65" s="1"/>
  <c r="Q29" i="65" s="1"/>
  <c r="R29" i="65" s="1"/>
  <c r="S29" i="65" s="1"/>
  <c r="J30" i="65"/>
  <c r="K30" i="65" s="1"/>
  <c r="L30" i="65" s="1"/>
  <c r="M30" i="65" s="1"/>
  <c r="N30" i="65" s="1"/>
  <c r="O30" i="65" s="1"/>
  <c r="P30" i="65" s="1"/>
  <c r="Q30" i="65" s="1"/>
  <c r="R30" i="65" s="1"/>
  <c r="S30" i="65" s="1"/>
  <c r="J31" i="65"/>
  <c r="K31" i="65" s="1"/>
  <c r="L31" i="65" s="1"/>
  <c r="M31" i="65" s="1"/>
  <c r="N31" i="65" s="1"/>
  <c r="O31" i="65" s="1"/>
  <c r="P31" i="65" s="1"/>
  <c r="Q31" i="65" s="1"/>
  <c r="R31" i="65" s="1"/>
  <c r="S31" i="65" s="1"/>
  <c r="J32" i="65"/>
  <c r="K32" i="65" s="1"/>
  <c r="L32" i="65" s="1"/>
  <c r="M32" i="65" s="1"/>
  <c r="N32" i="65" s="1"/>
  <c r="O32" i="65" s="1"/>
  <c r="P32" i="65" s="1"/>
  <c r="Q32" i="65" s="1"/>
  <c r="R32" i="65" s="1"/>
  <c r="S32" i="65" s="1"/>
  <c r="J33" i="65"/>
  <c r="K33" i="65" s="1"/>
  <c r="L33" i="65" s="1"/>
  <c r="M33" i="65" s="1"/>
  <c r="N33" i="65" s="1"/>
  <c r="O33" i="65" s="1"/>
  <c r="P33" i="65" s="1"/>
  <c r="Q33" i="65" s="1"/>
  <c r="R33" i="65" s="1"/>
  <c r="S33" i="65" s="1"/>
  <c r="J34" i="65"/>
  <c r="K34" i="65" s="1"/>
  <c r="L34" i="65" s="1"/>
  <c r="M34" i="65" s="1"/>
  <c r="N34" i="65" s="1"/>
  <c r="O34" i="65" s="1"/>
  <c r="P34" i="65" s="1"/>
  <c r="Q34" i="65" s="1"/>
  <c r="R34" i="65" s="1"/>
  <c r="S34" i="65" s="1"/>
  <c r="J35" i="65"/>
  <c r="K35" i="65" s="1"/>
  <c r="L35" i="65" s="1"/>
  <c r="M35" i="65" s="1"/>
  <c r="N35" i="65" s="1"/>
  <c r="O35" i="65" s="1"/>
  <c r="P35" i="65" s="1"/>
  <c r="Q35" i="65" s="1"/>
  <c r="R35" i="65" s="1"/>
  <c r="S35" i="65" s="1"/>
  <c r="J36" i="65"/>
  <c r="K36" i="65" s="1"/>
  <c r="L36" i="65" s="1"/>
  <c r="M36" i="65" s="1"/>
  <c r="N36" i="65" s="1"/>
  <c r="O36" i="65" s="1"/>
  <c r="P36" i="65" s="1"/>
  <c r="Q36" i="65" s="1"/>
  <c r="R36" i="65" s="1"/>
  <c r="S36" i="65" s="1"/>
  <c r="J37" i="65"/>
  <c r="K37" i="65" s="1"/>
  <c r="L37" i="65" s="1"/>
  <c r="M37" i="65" s="1"/>
  <c r="N37" i="65" s="1"/>
  <c r="O37" i="65" s="1"/>
  <c r="P37" i="65" s="1"/>
  <c r="Q37" i="65" s="1"/>
  <c r="R37" i="65" s="1"/>
  <c r="S37" i="65" s="1"/>
  <c r="J38" i="65"/>
  <c r="K38" i="65" s="1"/>
  <c r="L38" i="65" s="1"/>
  <c r="M38" i="65" s="1"/>
  <c r="N38" i="65" s="1"/>
  <c r="O38" i="65" s="1"/>
  <c r="P38" i="65" s="1"/>
  <c r="Q38" i="65" s="1"/>
  <c r="R38" i="65" s="1"/>
  <c r="S38" i="65" s="1"/>
  <c r="J39" i="65"/>
  <c r="K39" i="65" s="1"/>
  <c r="L39" i="65" s="1"/>
  <c r="M39" i="65" s="1"/>
  <c r="N39" i="65" s="1"/>
  <c r="O39" i="65" s="1"/>
  <c r="P39" i="65" s="1"/>
  <c r="Q39" i="65" s="1"/>
  <c r="R39" i="65" s="1"/>
  <c r="S39" i="65" s="1"/>
  <c r="J40" i="65"/>
  <c r="K40" i="65" s="1"/>
  <c r="L40" i="65" s="1"/>
  <c r="M40" i="65" s="1"/>
  <c r="N40" i="65" s="1"/>
  <c r="O40" i="65" s="1"/>
  <c r="P40" i="65" s="1"/>
  <c r="Q40" i="65" s="1"/>
  <c r="R40" i="65" s="1"/>
  <c r="S40" i="65" s="1"/>
  <c r="J41" i="65"/>
  <c r="K41" i="65" s="1"/>
  <c r="L41" i="65" s="1"/>
  <c r="M41" i="65" s="1"/>
  <c r="N41" i="65" s="1"/>
  <c r="O41" i="65" s="1"/>
  <c r="P41" i="65" s="1"/>
  <c r="Q41" i="65" s="1"/>
  <c r="R41" i="65" s="1"/>
  <c r="S41" i="65" s="1"/>
  <c r="J42" i="65"/>
  <c r="K42" i="65" s="1"/>
  <c r="L42" i="65" s="1"/>
  <c r="M42" i="65" s="1"/>
  <c r="N42" i="65" s="1"/>
  <c r="O42" i="65" s="1"/>
  <c r="P42" i="65" s="1"/>
  <c r="Q42" i="65" s="1"/>
  <c r="R42" i="65" s="1"/>
  <c r="S42" i="65" s="1"/>
  <c r="J43" i="65"/>
  <c r="K43" i="65" s="1"/>
  <c r="L43" i="65" s="1"/>
  <c r="M43" i="65" s="1"/>
  <c r="N43" i="65" s="1"/>
  <c r="O43" i="65" s="1"/>
  <c r="P43" i="65" s="1"/>
  <c r="Q43" i="65" s="1"/>
  <c r="R43" i="65" s="1"/>
  <c r="S43" i="65" s="1"/>
  <c r="J44" i="65"/>
  <c r="K44" i="65" s="1"/>
  <c r="L44" i="65" s="1"/>
  <c r="M44" i="65" s="1"/>
  <c r="N44" i="65" s="1"/>
  <c r="O44" i="65" s="1"/>
  <c r="P44" i="65" s="1"/>
  <c r="Q44" i="65" s="1"/>
  <c r="R44" i="65" s="1"/>
  <c r="S44" i="65" s="1"/>
  <c r="J45" i="65"/>
  <c r="K45" i="65" s="1"/>
  <c r="L45" i="65" s="1"/>
  <c r="M45" i="65" s="1"/>
  <c r="N45" i="65" s="1"/>
  <c r="O45" i="65" s="1"/>
  <c r="P45" i="65" s="1"/>
  <c r="Q45" i="65" s="1"/>
  <c r="R45" i="65" s="1"/>
  <c r="S45" i="65" s="1"/>
  <c r="J46" i="65"/>
  <c r="K46" i="65" s="1"/>
  <c r="L46" i="65" s="1"/>
  <c r="M46" i="65" s="1"/>
  <c r="N46" i="65" s="1"/>
  <c r="O46" i="65" s="1"/>
  <c r="P46" i="65" s="1"/>
  <c r="Q46" i="65" s="1"/>
  <c r="R46" i="65" s="1"/>
  <c r="S46" i="65" s="1"/>
  <c r="J47" i="65"/>
  <c r="K47" i="65" s="1"/>
  <c r="L47" i="65" s="1"/>
  <c r="M47" i="65" s="1"/>
  <c r="N47" i="65" s="1"/>
  <c r="O47" i="65" s="1"/>
  <c r="P47" i="65" s="1"/>
  <c r="Q47" i="65" s="1"/>
  <c r="R47" i="65" s="1"/>
  <c r="S47" i="65" s="1"/>
  <c r="J48" i="65"/>
  <c r="K48" i="65" s="1"/>
  <c r="L48" i="65" s="1"/>
  <c r="M48" i="65" s="1"/>
  <c r="N48" i="65" s="1"/>
  <c r="O48" i="65" s="1"/>
  <c r="P48" i="65" s="1"/>
  <c r="Q48" i="65" s="1"/>
  <c r="R48" i="65" s="1"/>
  <c r="S48" i="65" s="1"/>
  <c r="J49" i="65"/>
  <c r="K49" i="65" s="1"/>
  <c r="L49" i="65" s="1"/>
  <c r="M49" i="65" s="1"/>
  <c r="N49" i="65" s="1"/>
  <c r="O49" i="65" s="1"/>
  <c r="P49" i="65" s="1"/>
  <c r="Q49" i="65" s="1"/>
  <c r="R49" i="65" s="1"/>
  <c r="S49" i="65" s="1"/>
  <c r="J50" i="65"/>
  <c r="K50" i="65" s="1"/>
  <c r="L50" i="65" s="1"/>
  <c r="M50" i="65" s="1"/>
  <c r="N50" i="65" s="1"/>
  <c r="O50" i="65" s="1"/>
  <c r="P50" i="65" s="1"/>
  <c r="Q50" i="65" s="1"/>
  <c r="R50" i="65" s="1"/>
  <c r="S50" i="65" s="1"/>
  <c r="J51" i="65"/>
  <c r="K51" i="65" s="1"/>
  <c r="L51" i="65" s="1"/>
  <c r="M51" i="65" s="1"/>
  <c r="N51" i="65" s="1"/>
  <c r="O51" i="65" s="1"/>
  <c r="P51" i="65" s="1"/>
  <c r="Q51" i="65" s="1"/>
  <c r="R51" i="65" s="1"/>
  <c r="S51" i="65" s="1"/>
  <c r="J52" i="65"/>
  <c r="K52" i="65" s="1"/>
  <c r="L52" i="65" s="1"/>
  <c r="M52" i="65" s="1"/>
  <c r="N52" i="65" s="1"/>
  <c r="O52" i="65" s="1"/>
  <c r="P52" i="65" s="1"/>
  <c r="Q52" i="65" s="1"/>
  <c r="R52" i="65" s="1"/>
  <c r="S52" i="65" s="1"/>
  <c r="J5" i="65"/>
  <c r="K5" i="65" s="1"/>
  <c r="L5" i="65" s="1"/>
  <c r="M5" i="65" s="1"/>
  <c r="N5" i="65" s="1"/>
  <c r="O5" i="65" s="1"/>
  <c r="J6" i="64"/>
  <c r="K6" i="64" s="1"/>
  <c r="L6" i="64" s="1"/>
  <c r="M6" i="64" s="1"/>
  <c r="N6" i="64" s="1"/>
  <c r="O6" i="64" s="1"/>
  <c r="P6" i="64" s="1"/>
  <c r="Q6" i="64" s="1"/>
  <c r="R6" i="64" s="1"/>
  <c r="S6" i="64" s="1"/>
  <c r="J7" i="64"/>
  <c r="K7" i="64" s="1"/>
  <c r="L7" i="64" s="1"/>
  <c r="M7" i="64" s="1"/>
  <c r="N7" i="64" s="1"/>
  <c r="O7" i="64" s="1"/>
  <c r="P7" i="64" s="1"/>
  <c r="Q7" i="64" s="1"/>
  <c r="R7" i="64" s="1"/>
  <c r="S7" i="64" s="1"/>
  <c r="J8" i="64"/>
  <c r="K8" i="64" s="1"/>
  <c r="L8" i="64" s="1"/>
  <c r="M8" i="64" s="1"/>
  <c r="N8" i="64" s="1"/>
  <c r="O8" i="64" s="1"/>
  <c r="P8" i="64" s="1"/>
  <c r="Q8" i="64" s="1"/>
  <c r="R8" i="64" s="1"/>
  <c r="S8" i="64" s="1"/>
  <c r="J9" i="64"/>
  <c r="K9" i="64" s="1"/>
  <c r="L9" i="64" s="1"/>
  <c r="M9" i="64" s="1"/>
  <c r="N9" i="64" s="1"/>
  <c r="O9" i="64" s="1"/>
  <c r="P9" i="64" s="1"/>
  <c r="Q9" i="64" s="1"/>
  <c r="R9" i="64" s="1"/>
  <c r="S9" i="64" s="1"/>
  <c r="J10" i="64"/>
  <c r="K10" i="64" s="1"/>
  <c r="L10" i="64" s="1"/>
  <c r="M10" i="64" s="1"/>
  <c r="N10" i="64" s="1"/>
  <c r="O10" i="64" s="1"/>
  <c r="P10" i="64" s="1"/>
  <c r="Q10" i="64" s="1"/>
  <c r="R10" i="64" s="1"/>
  <c r="S10" i="64" s="1"/>
  <c r="J11" i="64"/>
  <c r="K11" i="64" s="1"/>
  <c r="L11" i="64" s="1"/>
  <c r="M11" i="64" s="1"/>
  <c r="N11" i="64" s="1"/>
  <c r="O11" i="64" s="1"/>
  <c r="P11" i="64" s="1"/>
  <c r="Q11" i="64" s="1"/>
  <c r="R11" i="64" s="1"/>
  <c r="S11" i="64" s="1"/>
  <c r="J12" i="64"/>
  <c r="K12" i="64" s="1"/>
  <c r="L12" i="64" s="1"/>
  <c r="M12" i="64" s="1"/>
  <c r="N12" i="64" s="1"/>
  <c r="O12" i="64" s="1"/>
  <c r="P12" i="64" s="1"/>
  <c r="Q12" i="64" s="1"/>
  <c r="R12" i="64" s="1"/>
  <c r="S12" i="64" s="1"/>
  <c r="J13" i="64"/>
  <c r="K13" i="64" s="1"/>
  <c r="L13" i="64" s="1"/>
  <c r="M13" i="64" s="1"/>
  <c r="N13" i="64" s="1"/>
  <c r="O13" i="64" s="1"/>
  <c r="P13" i="64" s="1"/>
  <c r="Q13" i="64" s="1"/>
  <c r="R13" i="64" s="1"/>
  <c r="S13" i="64" s="1"/>
  <c r="J14" i="64"/>
  <c r="K14" i="64" s="1"/>
  <c r="L14" i="64" s="1"/>
  <c r="M14" i="64" s="1"/>
  <c r="N14" i="64" s="1"/>
  <c r="O14" i="64" s="1"/>
  <c r="P14" i="64" s="1"/>
  <c r="Q14" i="64" s="1"/>
  <c r="R14" i="64" s="1"/>
  <c r="S14" i="64" s="1"/>
  <c r="J15" i="64"/>
  <c r="K15" i="64" s="1"/>
  <c r="L15" i="64" s="1"/>
  <c r="M15" i="64" s="1"/>
  <c r="N15" i="64" s="1"/>
  <c r="O15" i="64" s="1"/>
  <c r="P15" i="64" s="1"/>
  <c r="Q15" i="64" s="1"/>
  <c r="R15" i="64" s="1"/>
  <c r="S15" i="64" s="1"/>
  <c r="J16" i="64"/>
  <c r="K16" i="64" s="1"/>
  <c r="L16" i="64" s="1"/>
  <c r="M16" i="64" s="1"/>
  <c r="N16" i="64" s="1"/>
  <c r="O16" i="64" s="1"/>
  <c r="P16" i="64" s="1"/>
  <c r="Q16" i="64" s="1"/>
  <c r="R16" i="64" s="1"/>
  <c r="S16" i="64" s="1"/>
  <c r="J17" i="64"/>
  <c r="K17" i="64" s="1"/>
  <c r="L17" i="64" s="1"/>
  <c r="M17" i="64" s="1"/>
  <c r="N17" i="64" s="1"/>
  <c r="O17" i="64" s="1"/>
  <c r="P17" i="64" s="1"/>
  <c r="Q17" i="64" s="1"/>
  <c r="R17" i="64" s="1"/>
  <c r="S17" i="64" s="1"/>
  <c r="J18" i="64"/>
  <c r="K18" i="64" s="1"/>
  <c r="L18" i="64" s="1"/>
  <c r="M18" i="64" s="1"/>
  <c r="N18" i="64" s="1"/>
  <c r="O18" i="64" s="1"/>
  <c r="P18" i="64" s="1"/>
  <c r="Q18" i="64" s="1"/>
  <c r="R18" i="64" s="1"/>
  <c r="S18" i="64" s="1"/>
  <c r="J19" i="64"/>
  <c r="K19" i="64" s="1"/>
  <c r="L19" i="64" s="1"/>
  <c r="M19" i="64" s="1"/>
  <c r="N19" i="64" s="1"/>
  <c r="O19" i="64" s="1"/>
  <c r="P19" i="64" s="1"/>
  <c r="Q19" i="64" s="1"/>
  <c r="R19" i="64" s="1"/>
  <c r="S19" i="64" s="1"/>
  <c r="J20" i="64"/>
  <c r="K20" i="64" s="1"/>
  <c r="L20" i="64" s="1"/>
  <c r="M20" i="64" s="1"/>
  <c r="N20" i="64" s="1"/>
  <c r="O20" i="64" s="1"/>
  <c r="P20" i="64" s="1"/>
  <c r="Q20" i="64" s="1"/>
  <c r="R20" i="64" s="1"/>
  <c r="S20" i="64" s="1"/>
  <c r="J21" i="64"/>
  <c r="K21" i="64" s="1"/>
  <c r="L21" i="64" s="1"/>
  <c r="M21" i="64" s="1"/>
  <c r="N21" i="64" s="1"/>
  <c r="O21" i="64" s="1"/>
  <c r="P21" i="64" s="1"/>
  <c r="Q21" i="64" s="1"/>
  <c r="R21" i="64" s="1"/>
  <c r="S21" i="64" s="1"/>
  <c r="J22" i="64"/>
  <c r="K22" i="64" s="1"/>
  <c r="L22" i="64" s="1"/>
  <c r="M22" i="64" s="1"/>
  <c r="N22" i="64" s="1"/>
  <c r="O22" i="64" s="1"/>
  <c r="P22" i="64" s="1"/>
  <c r="Q22" i="64" s="1"/>
  <c r="R22" i="64" s="1"/>
  <c r="S22" i="64" s="1"/>
  <c r="J23" i="64"/>
  <c r="K23" i="64" s="1"/>
  <c r="L23" i="64" s="1"/>
  <c r="M23" i="64" s="1"/>
  <c r="N23" i="64" s="1"/>
  <c r="O23" i="64" s="1"/>
  <c r="P23" i="64" s="1"/>
  <c r="Q23" i="64" s="1"/>
  <c r="R23" i="64" s="1"/>
  <c r="S23" i="64" s="1"/>
  <c r="J24" i="64"/>
  <c r="K24" i="64" s="1"/>
  <c r="L24" i="64" s="1"/>
  <c r="M24" i="64" s="1"/>
  <c r="N24" i="64" s="1"/>
  <c r="O24" i="64" s="1"/>
  <c r="P24" i="64" s="1"/>
  <c r="Q24" i="64" s="1"/>
  <c r="R24" i="64" s="1"/>
  <c r="S24" i="64" s="1"/>
  <c r="J25" i="64"/>
  <c r="K25" i="64" s="1"/>
  <c r="L25" i="64" s="1"/>
  <c r="M25" i="64" s="1"/>
  <c r="N25" i="64" s="1"/>
  <c r="O25" i="64" s="1"/>
  <c r="P25" i="64" s="1"/>
  <c r="Q25" i="64" s="1"/>
  <c r="R25" i="64" s="1"/>
  <c r="S25" i="64" s="1"/>
  <c r="J26" i="64"/>
  <c r="K26" i="64" s="1"/>
  <c r="L26" i="64" s="1"/>
  <c r="M26" i="64" s="1"/>
  <c r="N26" i="64" s="1"/>
  <c r="O26" i="64" s="1"/>
  <c r="P26" i="64" s="1"/>
  <c r="Q26" i="64" s="1"/>
  <c r="R26" i="64" s="1"/>
  <c r="S26" i="64" s="1"/>
  <c r="J27" i="64"/>
  <c r="K27" i="64" s="1"/>
  <c r="L27" i="64" s="1"/>
  <c r="M27" i="64" s="1"/>
  <c r="N27" i="64" s="1"/>
  <c r="O27" i="64" s="1"/>
  <c r="P27" i="64" s="1"/>
  <c r="Q27" i="64" s="1"/>
  <c r="R27" i="64" s="1"/>
  <c r="S27" i="64" s="1"/>
  <c r="J28" i="64"/>
  <c r="K28" i="64" s="1"/>
  <c r="L28" i="64" s="1"/>
  <c r="M28" i="64" s="1"/>
  <c r="N28" i="64" s="1"/>
  <c r="O28" i="64" s="1"/>
  <c r="P28" i="64" s="1"/>
  <c r="Q28" i="64" s="1"/>
  <c r="R28" i="64" s="1"/>
  <c r="S28" i="64" s="1"/>
  <c r="J29" i="64"/>
  <c r="K29" i="64" s="1"/>
  <c r="L29" i="64" s="1"/>
  <c r="M29" i="64" s="1"/>
  <c r="N29" i="64" s="1"/>
  <c r="O29" i="64" s="1"/>
  <c r="P29" i="64" s="1"/>
  <c r="Q29" i="64" s="1"/>
  <c r="R29" i="64" s="1"/>
  <c r="S29" i="64" s="1"/>
  <c r="J30" i="64"/>
  <c r="K30" i="64" s="1"/>
  <c r="L30" i="64" s="1"/>
  <c r="M30" i="64" s="1"/>
  <c r="N30" i="64" s="1"/>
  <c r="O30" i="64" s="1"/>
  <c r="P30" i="64" s="1"/>
  <c r="Q30" i="64" s="1"/>
  <c r="R30" i="64" s="1"/>
  <c r="S30" i="64" s="1"/>
  <c r="J31" i="64"/>
  <c r="K31" i="64" s="1"/>
  <c r="L31" i="64" s="1"/>
  <c r="M31" i="64" s="1"/>
  <c r="N31" i="64" s="1"/>
  <c r="O31" i="64" s="1"/>
  <c r="P31" i="64" s="1"/>
  <c r="Q31" i="64" s="1"/>
  <c r="R31" i="64" s="1"/>
  <c r="S31" i="64" s="1"/>
  <c r="J32" i="64"/>
  <c r="K32" i="64" s="1"/>
  <c r="L32" i="64" s="1"/>
  <c r="M32" i="64" s="1"/>
  <c r="N32" i="64" s="1"/>
  <c r="O32" i="64" s="1"/>
  <c r="P32" i="64" s="1"/>
  <c r="Q32" i="64" s="1"/>
  <c r="R32" i="64" s="1"/>
  <c r="S32" i="64" s="1"/>
  <c r="J33" i="64"/>
  <c r="K33" i="64" s="1"/>
  <c r="L33" i="64" s="1"/>
  <c r="M33" i="64" s="1"/>
  <c r="N33" i="64" s="1"/>
  <c r="O33" i="64" s="1"/>
  <c r="P33" i="64" s="1"/>
  <c r="Q33" i="64" s="1"/>
  <c r="R33" i="64" s="1"/>
  <c r="S33" i="64" s="1"/>
  <c r="J34" i="64"/>
  <c r="K34" i="64" s="1"/>
  <c r="L34" i="64" s="1"/>
  <c r="M34" i="64" s="1"/>
  <c r="N34" i="64" s="1"/>
  <c r="O34" i="64" s="1"/>
  <c r="P34" i="64" s="1"/>
  <c r="Q34" i="64" s="1"/>
  <c r="R34" i="64" s="1"/>
  <c r="S34" i="64" s="1"/>
  <c r="J35" i="64"/>
  <c r="K35" i="64" s="1"/>
  <c r="L35" i="64" s="1"/>
  <c r="M35" i="64" s="1"/>
  <c r="N35" i="64" s="1"/>
  <c r="O35" i="64" s="1"/>
  <c r="P35" i="64" s="1"/>
  <c r="Q35" i="64" s="1"/>
  <c r="R35" i="64" s="1"/>
  <c r="S35" i="64" s="1"/>
  <c r="J36" i="64"/>
  <c r="K36" i="64" s="1"/>
  <c r="L36" i="64" s="1"/>
  <c r="M36" i="64" s="1"/>
  <c r="N36" i="64" s="1"/>
  <c r="O36" i="64" s="1"/>
  <c r="P36" i="64" s="1"/>
  <c r="Q36" i="64" s="1"/>
  <c r="R36" i="64" s="1"/>
  <c r="S36" i="64" s="1"/>
  <c r="J37" i="64"/>
  <c r="K37" i="64" s="1"/>
  <c r="L37" i="64" s="1"/>
  <c r="M37" i="64" s="1"/>
  <c r="N37" i="64" s="1"/>
  <c r="O37" i="64" s="1"/>
  <c r="P37" i="64" s="1"/>
  <c r="Q37" i="64" s="1"/>
  <c r="R37" i="64" s="1"/>
  <c r="S37" i="64" s="1"/>
  <c r="J38" i="64"/>
  <c r="K38" i="64" s="1"/>
  <c r="L38" i="64" s="1"/>
  <c r="M38" i="64" s="1"/>
  <c r="N38" i="64" s="1"/>
  <c r="O38" i="64" s="1"/>
  <c r="P38" i="64" s="1"/>
  <c r="Q38" i="64" s="1"/>
  <c r="R38" i="64" s="1"/>
  <c r="S38" i="64" s="1"/>
  <c r="J39" i="64"/>
  <c r="K39" i="64" s="1"/>
  <c r="L39" i="64" s="1"/>
  <c r="M39" i="64" s="1"/>
  <c r="N39" i="64" s="1"/>
  <c r="O39" i="64" s="1"/>
  <c r="P39" i="64" s="1"/>
  <c r="Q39" i="64" s="1"/>
  <c r="R39" i="64" s="1"/>
  <c r="S39" i="64" s="1"/>
  <c r="J40" i="64"/>
  <c r="K40" i="64" s="1"/>
  <c r="L40" i="64" s="1"/>
  <c r="M40" i="64" s="1"/>
  <c r="N40" i="64" s="1"/>
  <c r="O40" i="64" s="1"/>
  <c r="P40" i="64" s="1"/>
  <c r="Q40" i="64" s="1"/>
  <c r="R40" i="64" s="1"/>
  <c r="S40" i="64" s="1"/>
  <c r="J41" i="64"/>
  <c r="K41" i="64" s="1"/>
  <c r="L41" i="64" s="1"/>
  <c r="M41" i="64" s="1"/>
  <c r="N41" i="64" s="1"/>
  <c r="O41" i="64" s="1"/>
  <c r="P41" i="64" s="1"/>
  <c r="Q41" i="64" s="1"/>
  <c r="R41" i="64" s="1"/>
  <c r="S41" i="64" s="1"/>
  <c r="J42" i="64"/>
  <c r="K42" i="64" s="1"/>
  <c r="L42" i="64" s="1"/>
  <c r="M42" i="64" s="1"/>
  <c r="N42" i="64" s="1"/>
  <c r="O42" i="64" s="1"/>
  <c r="P42" i="64" s="1"/>
  <c r="Q42" i="64" s="1"/>
  <c r="R42" i="64" s="1"/>
  <c r="S42" i="64" s="1"/>
  <c r="J43" i="64"/>
  <c r="K43" i="64" s="1"/>
  <c r="L43" i="64" s="1"/>
  <c r="M43" i="64" s="1"/>
  <c r="N43" i="64" s="1"/>
  <c r="O43" i="64" s="1"/>
  <c r="P43" i="64" s="1"/>
  <c r="Q43" i="64" s="1"/>
  <c r="R43" i="64" s="1"/>
  <c r="S43" i="64" s="1"/>
  <c r="J44" i="64"/>
  <c r="K44" i="64" s="1"/>
  <c r="L44" i="64" s="1"/>
  <c r="M44" i="64" s="1"/>
  <c r="N44" i="64" s="1"/>
  <c r="O44" i="64" s="1"/>
  <c r="P44" i="64" s="1"/>
  <c r="Q44" i="64" s="1"/>
  <c r="R44" i="64" s="1"/>
  <c r="S44" i="64" s="1"/>
  <c r="J45" i="64"/>
  <c r="K45" i="64" s="1"/>
  <c r="L45" i="64" s="1"/>
  <c r="M45" i="64" s="1"/>
  <c r="N45" i="64" s="1"/>
  <c r="O45" i="64" s="1"/>
  <c r="P45" i="64" s="1"/>
  <c r="Q45" i="64" s="1"/>
  <c r="R45" i="64" s="1"/>
  <c r="S45" i="64" s="1"/>
  <c r="J46" i="64"/>
  <c r="K46" i="64" s="1"/>
  <c r="L46" i="64" s="1"/>
  <c r="M46" i="64" s="1"/>
  <c r="N46" i="64" s="1"/>
  <c r="O46" i="64" s="1"/>
  <c r="P46" i="64" s="1"/>
  <c r="Q46" i="64" s="1"/>
  <c r="R46" i="64" s="1"/>
  <c r="S46" i="64" s="1"/>
  <c r="J47" i="64"/>
  <c r="K47" i="64" s="1"/>
  <c r="L47" i="64" s="1"/>
  <c r="M47" i="64" s="1"/>
  <c r="N47" i="64" s="1"/>
  <c r="O47" i="64" s="1"/>
  <c r="P47" i="64" s="1"/>
  <c r="Q47" i="64" s="1"/>
  <c r="R47" i="64" s="1"/>
  <c r="S47" i="64" s="1"/>
  <c r="J48" i="64"/>
  <c r="K48" i="64" s="1"/>
  <c r="L48" i="64" s="1"/>
  <c r="M48" i="64" s="1"/>
  <c r="N48" i="64" s="1"/>
  <c r="O48" i="64" s="1"/>
  <c r="P48" i="64" s="1"/>
  <c r="Q48" i="64" s="1"/>
  <c r="R48" i="64" s="1"/>
  <c r="S48" i="64" s="1"/>
  <c r="J49" i="64"/>
  <c r="K49" i="64" s="1"/>
  <c r="L49" i="64" s="1"/>
  <c r="M49" i="64" s="1"/>
  <c r="N49" i="64" s="1"/>
  <c r="O49" i="64" s="1"/>
  <c r="P49" i="64" s="1"/>
  <c r="Q49" i="64" s="1"/>
  <c r="R49" i="64" s="1"/>
  <c r="S49" i="64" s="1"/>
  <c r="J50" i="64"/>
  <c r="K50" i="64" s="1"/>
  <c r="L50" i="64" s="1"/>
  <c r="M50" i="64" s="1"/>
  <c r="N50" i="64" s="1"/>
  <c r="O50" i="64" s="1"/>
  <c r="P50" i="64" s="1"/>
  <c r="Q50" i="64" s="1"/>
  <c r="R50" i="64" s="1"/>
  <c r="S50" i="64" s="1"/>
  <c r="D3" i="64"/>
  <c r="P5" i="65" l="1"/>
  <c r="Q5" i="65" s="1"/>
  <c r="R5" i="65" s="1"/>
  <c r="S5" i="65" s="1"/>
  <c r="L5" i="40"/>
  <c r="M6" i="30"/>
  <c r="M7" i="30"/>
  <c r="M8" i="30"/>
  <c r="M9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M40" i="30"/>
  <c r="M41" i="30"/>
  <c r="M42" i="30"/>
  <c r="M43" i="30"/>
  <c r="M5" i="30"/>
  <c r="L6" i="63"/>
  <c r="L7" i="63"/>
  <c r="L8" i="63"/>
  <c r="L9" i="63"/>
  <c r="L10" i="63"/>
  <c r="L11" i="63"/>
  <c r="L12" i="63"/>
  <c r="L13" i="63"/>
  <c r="L14" i="63"/>
  <c r="L15" i="63"/>
  <c r="L16" i="63"/>
  <c r="L17" i="63"/>
  <c r="L5" i="63"/>
  <c r="D3" i="40"/>
  <c r="D3" i="65"/>
  <c r="D3" i="30"/>
  <c r="D3" i="63"/>
  <c r="I50" i="46" l="1"/>
  <c r="J50" i="46" s="1"/>
  <c r="K50" i="46" s="1"/>
  <c r="L50" i="46" s="1"/>
  <c r="M50" i="46" s="1"/>
  <c r="N50" i="46" s="1"/>
  <c r="O50" i="46" s="1"/>
  <c r="P50" i="46" s="1"/>
  <c r="Q50" i="46" s="1"/>
  <c r="R50" i="46" s="1"/>
  <c r="I49" i="46"/>
  <c r="J49" i="46" s="1"/>
  <c r="K49" i="46" s="1"/>
  <c r="L49" i="46" s="1"/>
  <c r="M49" i="46" s="1"/>
  <c r="N49" i="46" s="1"/>
  <c r="O49" i="46" s="1"/>
  <c r="P49" i="46" s="1"/>
  <c r="Q49" i="46" s="1"/>
  <c r="R49" i="46" s="1"/>
  <c r="I48" i="46"/>
  <c r="J48" i="46" s="1"/>
  <c r="K48" i="46" s="1"/>
  <c r="L48" i="46" s="1"/>
  <c r="M48" i="46" s="1"/>
  <c r="N48" i="46" s="1"/>
  <c r="O48" i="46" s="1"/>
  <c r="P48" i="46" s="1"/>
  <c r="Q48" i="46" s="1"/>
  <c r="R48" i="46" s="1"/>
  <c r="I47" i="46"/>
  <c r="J47" i="46" s="1"/>
  <c r="K47" i="46" s="1"/>
  <c r="L47" i="46" s="1"/>
  <c r="M47" i="46" s="1"/>
  <c r="N47" i="46" s="1"/>
  <c r="O47" i="46" s="1"/>
  <c r="P47" i="46" s="1"/>
  <c r="Q47" i="46" s="1"/>
  <c r="R47" i="46" s="1"/>
  <c r="I46" i="46"/>
  <c r="J46" i="46" s="1"/>
  <c r="K46" i="46" s="1"/>
  <c r="L46" i="46" s="1"/>
  <c r="M46" i="46" s="1"/>
  <c r="N46" i="46" s="1"/>
  <c r="O46" i="46" s="1"/>
  <c r="P46" i="46" s="1"/>
  <c r="Q46" i="46" s="1"/>
  <c r="R46" i="46" s="1"/>
  <c r="I45" i="46"/>
  <c r="J45" i="46" s="1"/>
  <c r="K45" i="46" s="1"/>
  <c r="L45" i="46" s="1"/>
  <c r="M45" i="46" s="1"/>
  <c r="N45" i="46" s="1"/>
  <c r="O45" i="46" s="1"/>
  <c r="P45" i="46" s="1"/>
  <c r="Q45" i="46" s="1"/>
  <c r="R45" i="46" s="1"/>
  <c r="I44" i="46"/>
  <c r="J44" i="46" s="1"/>
  <c r="K44" i="46" s="1"/>
  <c r="L44" i="46" s="1"/>
  <c r="M44" i="46" s="1"/>
  <c r="N44" i="46" s="1"/>
  <c r="O44" i="46" s="1"/>
  <c r="P44" i="46" s="1"/>
  <c r="Q44" i="46" s="1"/>
  <c r="R44" i="46" s="1"/>
  <c r="I43" i="46"/>
  <c r="J43" i="46" s="1"/>
  <c r="K43" i="46" s="1"/>
  <c r="L43" i="46" s="1"/>
  <c r="M43" i="46" s="1"/>
  <c r="N43" i="46" s="1"/>
  <c r="O43" i="46" s="1"/>
  <c r="P43" i="46" s="1"/>
  <c r="Q43" i="46" s="1"/>
  <c r="R43" i="46" s="1"/>
  <c r="I42" i="46"/>
  <c r="J42" i="46" s="1"/>
  <c r="K42" i="46" s="1"/>
  <c r="L42" i="46" s="1"/>
  <c r="M42" i="46" s="1"/>
  <c r="N42" i="46" s="1"/>
  <c r="O42" i="46" s="1"/>
  <c r="P42" i="46" s="1"/>
  <c r="Q42" i="46" s="1"/>
  <c r="R42" i="46" s="1"/>
  <c r="I41" i="46"/>
  <c r="J41" i="46" s="1"/>
  <c r="K41" i="46" s="1"/>
  <c r="L41" i="46" s="1"/>
  <c r="M41" i="46" s="1"/>
  <c r="N41" i="46" s="1"/>
  <c r="O41" i="46" s="1"/>
  <c r="P41" i="46" s="1"/>
  <c r="Q41" i="46" s="1"/>
  <c r="R41" i="46" s="1"/>
  <c r="I40" i="46"/>
  <c r="J40" i="46" s="1"/>
  <c r="K40" i="46" s="1"/>
  <c r="L40" i="46" s="1"/>
  <c r="M40" i="46" s="1"/>
  <c r="N40" i="46" s="1"/>
  <c r="O40" i="46" s="1"/>
  <c r="P40" i="46" s="1"/>
  <c r="Q40" i="46" s="1"/>
  <c r="R40" i="46" s="1"/>
  <c r="I39" i="46"/>
  <c r="J39" i="46" s="1"/>
  <c r="K39" i="46" s="1"/>
  <c r="L39" i="46" s="1"/>
  <c r="M39" i="46" s="1"/>
  <c r="N39" i="46" s="1"/>
  <c r="O39" i="46" s="1"/>
  <c r="P39" i="46" s="1"/>
  <c r="Q39" i="46" s="1"/>
  <c r="R39" i="46" s="1"/>
  <c r="I38" i="46"/>
  <c r="J38" i="46" s="1"/>
  <c r="K38" i="46" s="1"/>
  <c r="L38" i="46" s="1"/>
  <c r="M38" i="46" s="1"/>
  <c r="N38" i="46" s="1"/>
  <c r="O38" i="46" s="1"/>
  <c r="P38" i="46" s="1"/>
  <c r="Q38" i="46" s="1"/>
  <c r="R38" i="46" s="1"/>
  <c r="I37" i="46"/>
  <c r="J37" i="46" s="1"/>
  <c r="K37" i="46" s="1"/>
  <c r="L37" i="46" s="1"/>
  <c r="M37" i="46" s="1"/>
  <c r="N37" i="46" s="1"/>
  <c r="O37" i="46" s="1"/>
  <c r="P37" i="46" s="1"/>
  <c r="Q37" i="46" s="1"/>
  <c r="R37" i="46" s="1"/>
  <c r="I36" i="46"/>
  <c r="J36" i="46" s="1"/>
  <c r="K36" i="46" s="1"/>
  <c r="L36" i="46" s="1"/>
  <c r="M36" i="46" s="1"/>
  <c r="N36" i="46" s="1"/>
  <c r="O36" i="46" s="1"/>
  <c r="P36" i="46" s="1"/>
  <c r="Q36" i="46" s="1"/>
  <c r="R36" i="46" s="1"/>
  <c r="I35" i="46"/>
  <c r="J35" i="46" s="1"/>
  <c r="K35" i="46" s="1"/>
  <c r="L35" i="46" s="1"/>
  <c r="M35" i="46" s="1"/>
  <c r="N35" i="46" s="1"/>
  <c r="O35" i="46" s="1"/>
  <c r="P35" i="46" s="1"/>
  <c r="Q35" i="46" s="1"/>
  <c r="R35" i="46" s="1"/>
  <c r="I34" i="46"/>
  <c r="J34" i="46" s="1"/>
  <c r="K34" i="46" s="1"/>
  <c r="L34" i="46" s="1"/>
  <c r="M34" i="46" s="1"/>
  <c r="N34" i="46" s="1"/>
  <c r="O34" i="46" s="1"/>
  <c r="P34" i="46" s="1"/>
  <c r="Q34" i="46" s="1"/>
  <c r="R34" i="46" s="1"/>
  <c r="I33" i="46"/>
  <c r="J33" i="46" s="1"/>
  <c r="K33" i="46" s="1"/>
  <c r="L33" i="46" s="1"/>
  <c r="M33" i="46" s="1"/>
  <c r="N33" i="46" s="1"/>
  <c r="O33" i="46" s="1"/>
  <c r="P33" i="46" s="1"/>
  <c r="Q33" i="46" s="1"/>
  <c r="R33" i="46" s="1"/>
  <c r="I32" i="46"/>
  <c r="J32" i="46" s="1"/>
  <c r="K32" i="46" s="1"/>
  <c r="L32" i="46" s="1"/>
  <c r="M32" i="46" s="1"/>
  <c r="N32" i="46" s="1"/>
  <c r="O32" i="46" s="1"/>
  <c r="P32" i="46" s="1"/>
  <c r="Q32" i="46" s="1"/>
  <c r="R32" i="46" s="1"/>
  <c r="I31" i="46"/>
  <c r="J31" i="46" s="1"/>
  <c r="K31" i="46" s="1"/>
  <c r="L31" i="46" s="1"/>
  <c r="M31" i="46" s="1"/>
  <c r="N31" i="46" s="1"/>
  <c r="O31" i="46" s="1"/>
  <c r="P31" i="46" s="1"/>
  <c r="Q31" i="46" s="1"/>
  <c r="R31" i="46" s="1"/>
  <c r="I30" i="46"/>
  <c r="J30" i="46" s="1"/>
  <c r="K30" i="46" s="1"/>
  <c r="L30" i="46" s="1"/>
  <c r="M30" i="46" s="1"/>
  <c r="N30" i="46" s="1"/>
  <c r="O30" i="46" s="1"/>
  <c r="P30" i="46" s="1"/>
  <c r="Q30" i="46" s="1"/>
  <c r="R30" i="46" s="1"/>
  <c r="I29" i="46"/>
  <c r="J29" i="46" s="1"/>
  <c r="K29" i="46" s="1"/>
  <c r="L29" i="46" s="1"/>
  <c r="M29" i="46" s="1"/>
  <c r="N29" i="46" s="1"/>
  <c r="O29" i="46" s="1"/>
  <c r="P29" i="46" s="1"/>
  <c r="Q29" i="46" s="1"/>
  <c r="R29" i="46" s="1"/>
  <c r="I28" i="46"/>
  <c r="J28" i="46" s="1"/>
  <c r="K28" i="46" s="1"/>
  <c r="L28" i="46" s="1"/>
  <c r="M28" i="46" s="1"/>
  <c r="N28" i="46" s="1"/>
  <c r="O28" i="46" s="1"/>
  <c r="P28" i="46" s="1"/>
  <c r="Q28" i="46" s="1"/>
  <c r="R28" i="46" s="1"/>
  <c r="I27" i="46"/>
  <c r="J27" i="46" s="1"/>
  <c r="K27" i="46" s="1"/>
  <c r="L27" i="46" s="1"/>
  <c r="M27" i="46" s="1"/>
  <c r="N27" i="46" s="1"/>
  <c r="O27" i="46" s="1"/>
  <c r="P27" i="46" s="1"/>
  <c r="Q27" i="46" s="1"/>
  <c r="R27" i="46" s="1"/>
  <c r="I26" i="46"/>
  <c r="J26" i="46" s="1"/>
  <c r="K26" i="46" s="1"/>
  <c r="L26" i="46" s="1"/>
  <c r="M26" i="46" s="1"/>
  <c r="N26" i="46" s="1"/>
  <c r="O26" i="46" s="1"/>
  <c r="P26" i="46" s="1"/>
  <c r="Q26" i="46" s="1"/>
  <c r="R26" i="46" s="1"/>
  <c r="I25" i="46"/>
  <c r="J25" i="46" s="1"/>
  <c r="K25" i="46" s="1"/>
  <c r="L25" i="46" s="1"/>
  <c r="M25" i="46" s="1"/>
  <c r="N25" i="46" s="1"/>
  <c r="O25" i="46" s="1"/>
  <c r="P25" i="46" s="1"/>
  <c r="Q25" i="46" s="1"/>
  <c r="R25" i="46" s="1"/>
  <c r="I24" i="46"/>
  <c r="J24" i="46" s="1"/>
  <c r="K24" i="46" s="1"/>
  <c r="L24" i="46" s="1"/>
  <c r="M24" i="46" s="1"/>
  <c r="N24" i="46" s="1"/>
  <c r="O24" i="46" s="1"/>
  <c r="P24" i="46" s="1"/>
  <c r="Q24" i="46" s="1"/>
  <c r="R24" i="46" s="1"/>
  <c r="I23" i="46"/>
  <c r="J23" i="46" s="1"/>
  <c r="K23" i="46" s="1"/>
  <c r="L23" i="46" s="1"/>
  <c r="M23" i="46" s="1"/>
  <c r="N23" i="46" s="1"/>
  <c r="O23" i="46" s="1"/>
  <c r="P23" i="46" s="1"/>
  <c r="Q23" i="46" s="1"/>
  <c r="R23" i="46" s="1"/>
  <c r="I22" i="46"/>
  <c r="J22" i="46" s="1"/>
  <c r="K22" i="46" s="1"/>
  <c r="L22" i="46" s="1"/>
  <c r="M22" i="46" s="1"/>
  <c r="N22" i="46" s="1"/>
  <c r="O22" i="46" s="1"/>
  <c r="P22" i="46" s="1"/>
  <c r="Q22" i="46" s="1"/>
  <c r="R22" i="46" s="1"/>
  <c r="I21" i="46"/>
  <c r="J21" i="46" s="1"/>
  <c r="K21" i="46" s="1"/>
  <c r="L21" i="46" s="1"/>
  <c r="M21" i="46" s="1"/>
  <c r="N21" i="46" s="1"/>
  <c r="O21" i="46" s="1"/>
  <c r="P21" i="46" s="1"/>
  <c r="Q21" i="46" s="1"/>
  <c r="R21" i="46" s="1"/>
  <c r="I20" i="46"/>
  <c r="J20" i="46" s="1"/>
  <c r="K20" i="46" s="1"/>
  <c r="L20" i="46" s="1"/>
  <c r="M20" i="46" s="1"/>
  <c r="N20" i="46" s="1"/>
  <c r="O20" i="46" s="1"/>
  <c r="P20" i="46" s="1"/>
  <c r="Q20" i="46" s="1"/>
  <c r="R20" i="46" s="1"/>
  <c r="I19" i="46"/>
  <c r="J19" i="46" s="1"/>
  <c r="K19" i="46" s="1"/>
  <c r="L19" i="46" s="1"/>
  <c r="M19" i="46" s="1"/>
  <c r="N19" i="46" s="1"/>
  <c r="O19" i="46" s="1"/>
  <c r="P19" i="46" s="1"/>
  <c r="Q19" i="46" s="1"/>
  <c r="R19" i="46" s="1"/>
  <c r="I18" i="46"/>
  <c r="J18" i="46" s="1"/>
  <c r="K18" i="46" s="1"/>
  <c r="L18" i="46" s="1"/>
  <c r="M18" i="46" s="1"/>
  <c r="N18" i="46" s="1"/>
  <c r="O18" i="46" s="1"/>
  <c r="P18" i="46" s="1"/>
  <c r="Q18" i="46" s="1"/>
  <c r="R18" i="46" s="1"/>
  <c r="I17" i="46"/>
  <c r="J17" i="46" s="1"/>
  <c r="K17" i="46" s="1"/>
  <c r="L17" i="46" s="1"/>
  <c r="M17" i="46" s="1"/>
  <c r="N17" i="46" s="1"/>
  <c r="O17" i="46" s="1"/>
  <c r="P17" i="46" s="1"/>
  <c r="Q17" i="46" s="1"/>
  <c r="R17" i="46" s="1"/>
  <c r="I16" i="46"/>
  <c r="J16" i="46" s="1"/>
  <c r="K16" i="46" s="1"/>
  <c r="L16" i="46" s="1"/>
  <c r="M16" i="46" s="1"/>
  <c r="N16" i="46" s="1"/>
  <c r="O16" i="46" s="1"/>
  <c r="P16" i="46" s="1"/>
  <c r="Q16" i="46" s="1"/>
  <c r="R16" i="46" s="1"/>
  <c r="I15" i="46"/>
  <c r="J15" i="46" s="1"/>
  <c r="K15" i="46" s="1"/>
  <c r="L15" i="46" s="1"/>
  <c r="M15" i="46" s="1"/>
  <c r="N15" i="46" s="1"/>
  <c r="O15" i="46" s="1"/>
  <c r="P15" i="46" s="1"/>
  <c r="Q15" i="46" s="1"/>
  <c r="R15" i="46" s="1"/>
  <c r="I12" i="46"/>
  <c r="J12" i="46" s="1"/>
  <c r="K12" i="46" s="1"/>
  <c r="L12" i="46" s="1"/>
  <c r="M12" i="46" s="1"/>
  <c r="N12" i="46" s="1"/>
  <c r="O12" i="46" s="1"/>
  <c r="P12" i="46" s="1"/>
  <c r="Q12" i="46" s="1"/>
  <c r="R12" i="46" s="1"/>
  <c r="I11" i="46"/>
  <c r="J11" i="46" s="1"/>
  <c r="K11" i="46" s="1"/>
  <c r="L11" i="46" s="1"/>
  <c r="M11" i="46" s="1"/>
  <c r="N11" i="46" s="1"/>
  <c r="O11" i="46" s="1"/>
  <c r="P11" i="46" s="1"/>
  <c r="Q11" i="46" s="1"/>
  <c r="R11" i="46" s="1"/>
  <c r="I10" i="46"/>
  <c r="J10" i="46" s="1"/>
  <c r="K10" i="46" s="1"/>
  <c r="L10" i="46" s="1"/>
  <c r="M10" i="46" s="1"/>
  <c r="N10" i="46" s="1"/>
  <c r="O10" i="46" s="1"/>
  <c r="P10" i="46" s="1"/>
  <c r="Q10" i="46" s="1"/>
  <c r="R10" i="46" s="1"/>
  <c r="I9" i="46"/>
  <c r="J9" i="46" s="1"/>
  <c r="K9" i="46" s="1"/>
  <c r="L9" i="46" s="1"/>
  <c r="M9" i="46" s="1"/>
  <c r="N9" i="46" s="1"/>
  <c r="O9" i="46" s="1"/>
  <c r="P9" i="46" s="1"/>
  <c r="Q9" i="46" s="1"/>
  <c r="R9" i="46" s="1"/>
  <c r="I8" i="46"/>
  <c r="J8" i="46" s="1"/>
  <c r="K8" i="46" s="1"/>
  <c r="L8" i="46" s="1"/>
  <c r="M8" i="46" s="1"/>
  <c r="N8" i="46" s="1"/>
  <c r="O8" i="46" s="1"/>
  <c r="P8" i="46" s="1"/>
  <c r="Q8" i="46" s="1"/>
  <c r="R8" i="46" s="1"/>
  <c r="I7" i="46"/>
  <c r="J7" i="46" s="1"/>
  <c r="K7" i="46" s="1"/>
  <c r="L7" i="46" s="1"/>
  <c r="M7" i="46" s="1"/>
  <c r="N7" i="46" s="1"/>
  <c r="O7" i="46" s="1"/>
  <c r="P7" i="46" s="1"/>
  <c r="Q7" i="46" s="1"/>
  <c r="R7" i="46" s="1"/>
  <c r="I6" i="46"/>
  <c r="J6" i="46" s="1"/>
  <c r="K6" i="46" s="1"/>
  <c r="L6" i="46" s="1"/>
  <c r="M6" i="46" s="1"/>
  <c r="N6" i="46" s="1"/>
  <c r="O6" i="46" s="1"/>
  <c r="P6" i="46" s="1"/>
  <c r="Q6" i="46" s="1"/>
  <c r="R6" i="46" s="1"/>
  <c r="I5" i="46"/>
  <c r="J5" i="46" s="1"/>
  <c r="K5" i="46" s="1"/>
  <c r="L5" i="46" s="1"/>
  <c r="M5" i="46" s="1"/>
  <c r="N5" i="46" s="1"/>
  <c r="O5" i="46" s="1"/>
  <c r="P5" i="46" s="1"/>
  <c r="Q5" i="46" s="1"/>
  <c r="R5" i="46" s="1"/>
  <c r="J5" i="37"/>
  <c r="L5" i="37" s="1"/>
  <c r="M5" i="37" s="1"/>
  <c r="N5" i="37" s="1"/>
  <c r="O5" i="37" s="1"/>
  <c r="P5" i="37" s="1"/>
  <c r="Q5" i="37" s="1"/>
  <c r="D3" i="46"/>
  <c r="L47" i="42" l="1"/>
  <c r="M47" i="42" s="1"/>
  <c r="N47" i="42" s="1"/>
  <c r="O47" i="42" s="1"/>
  <c r="P47" i="42" s="1"/>
  <c r="Q47" i="42" s="1"/>
  <c r="R47" i="42" s="1"/>
  <c r="S47" i="42" s="1"/>
  <c r="T47" i="42" s="1"/>
  <c r="U47" i="42" s="1"/>
  <c r="L46" i="42"/>
  <c r="M46" i="42" s="1"/>
  <c r="N46" i="42" s="1"/>
  <c r="O46" i="42" s="1"/>
  <c r="P46" i="42" s="1"/>
  <c r="Q46" i="42" s="1"/>
  <c r="R46" i="42" s="1"/>
  <c r="S46" i="42" s="1"/>
  <c r="T46" i="42" s="1"/>
  <c r="U46" i="42" s="1"/>
  <c r="L45" i="42"/>
  <c r="M45" i="42" s="1"/>
  <c r="N45" i="42" s="1"/>
  <c r="O45" i="42" s="1"/>
  <c r="P45" i="42" s="1"/>
  <c r="Q45" i="42" s="1"/>
  <c r="R45" i="42" s="1"/>
  <c r="S45" i="42" s="1"/>
  <c r="T45" i="42" s="1"/>
  <c r="U45" i="42" s="1"/>
  <c r="L44" i="42"/>
  <c r="M44" i="42" s="1"/>
  <c r="N44" i="42" s="1"/>
  <c r="O44" i="42" s="1"/>
  <c r="P44" i="42" s="1"/>
  <c r="Q44" i="42" s="1"/>
  <c r="R44" i="42" s="1"/>
  <c r="S44" i="42" s="1"/>
  <c r="T44" i="42" s="1"/>
  <c r="U44" i="42" s="1"/>
  <c r="L43" i="42"/>
  <c r="M43" i="42" s="1"/>
  <c r="N43" i="42" s="1"/>
  <c r="O43" i="42" s="1"/>
  <c r="P43" i="42" s="1"/>
  <c r="Q43" i="42" s="1"/>
  <c r="R43" i="42" s="1"/>
  <c r="S43" i="42" s="1"/>
  <c r="T43" i="42" s="1"/>
  <c r="U43" i="42" s="1"/>
  <c r="L42" i="42"/>
  <c r="M42" i="42" s="1"/>
  <c r="N42" i="42" s="1"/>
  <c r="O42" i="42" s="1"/>
  <c r="P42" i="42" s="1"/>
  <c r="Q42" i="42" s="1"/>
  <c r="R42" i="42" s="1"/>
  <c r="S42" i="42" s="1"/>
  <c r="T42" i="42" s="1"/>
  <c r="U42" i="42" s="1"/>
  <c r="L41" i="42"/>
  <c r="M41" i="42" s="1"/>
  <c r="N41" i="42" s="1"/>
  <c r="O41" i="42" s="1"/>
  <c r="P41" i="42" s="1"/>
  <c r="Q41" i="42" s="1"/>
  <c r="R41" i="42" s="1"/>
  <c r="S41" i="42" s="1"/>
  <c r="T41" i="42" s="1"/>
  <c r="U41" i="42" s="1"/>
  <c r="L40" i="42"/>
  <c r="M40" i="42" s="1"/>
  <c r="N40" i="42" s="1"/>
  <c r="O40" i="42" s="1"/>
  <c r="P40" i="42" s="1"/>
  <c r="Q40" i="42" s="1"/>
  <c r="R40" i="42" s="1"/>
  <c r="S40" i="42" s="1"/>
  <c r="T40" i="42" s="1"/>
  <c r="U40" i="42" s="1"/>
  <c r="L39" i="42"/>
  <c r="M39" i="42" s="1"/>
  <c r="N39" i="42" s="1"/>
  <c r="O39" i="42" s="1"/>
  <c r="P39" i="42" s="1"/>
  <c r="Q39" i="42" s="1"/>
  <c r="R39" i="42" s="1"/>
  <c r="S39" i="42" s="1"/>
  <c r="T39" i="42" s="1"/>
  <c r="U39" i="42" s="1"/>
  <c r="L38" i="42"/>
  <c r="M38" i="42" s="1"/>
  <c r="N38" i="42" s="1"/>
  <c r="O38" i="42" s="1"/>
  <c r="P38" i="42" s="1"/>
  <c r="Q38" i="42" s="1"/>
  <c r="R38" i="42" s="1"/>
  <c r="S38" i="42" s="1"/>
  <c r="T38" i="42" s="1"/>
  <c r="U38" i="42" s="1"/>
  <c r="L37" i="42"/>
  <c r="M37" i="42" s="1"/>
  <c r="N37" i="42" s="1"/>
  <c r="O37" i="42" s="1"/>
  <c r="P37" i="42" s="1"/>
  <c r="Q37" i="42" s="1"/>
  <c r="R37" i="42" s="1"/>
  <c r="S37" i="42" s="1"/>
  <c r="T37" i="42" s="1"/>
  <c r="U37" i="42" s="1"/>
  <c r="L36" i="42"/>
  <c r="M36" i="42" s="1"/>
  <c r="N36" i="42" s="1"/>
  <c r="O36" i="42" s="1"/>
  <c r="P36" i="42" s="1"/>
  <c r="Q36" i="42" s="1"/>
  <c r="R36" i="42" s="1"/>
  <c r="S36" i="42" s="1"/>
  <c r="T36" i="42" s="1"/>
  <c r="U36" i="42" s="1"/>
  <c r="L35" i="42"/>
  <c r="M35" i="42" s="1"/>
  <c r="N35" i="42" s="1"/>
  <c r="O35" i="42" s="1"/>
  <c r="P35" i="42" s="1"/>
  <c r="Q35" i="42" s="1"/>
  <c r="R35" i="42" s="1"/>
  <c r="S35" i="42" s="1"/>
  <c r="T35" i="42" s="1"/>
  <c r="U35" i="42" s="1"/>
  <c r="L34" i="42"/>
  <c r="M34" i="42" s="1"/>
  <c r="N34" i="42" s="1"/>
  <c r="O34" i="42" s="1"/>
  <c r="P34" i="42" s="1"/>
  <c r="Q34" i="42" s="1"/>
  <c r="R34" i="42" s="1"/>
  <c r="S34" i="42" s="1"/>
  <c r="T34" i="42" s="1"/>
  <c r="U34" i="42" s="1"/>
  <c r="L33" i="42"/>
  <c r="M33" i="42" s="1"/>
  <c r="N33" i="42" s="1"/>
  <c r="O33" i="42" s="1"/>
  <c r="P33" i="42" s="1"/>
  <c r="Q33" i="42" s="1"/>
  <c r="R33" i="42" s="1"/>
  <c r="S33" i="42" s="1"/>
  <c r="T33" i="42" s="1"/>
  <c r="U33" i="42" s="1"/>
  <c r="L32" i="42"/>
  <c r="M32" i="42" s="1"/>
  <c r="N32" i="42" s="1"/>
  <c r="O32" i="42" s="1"/>
  <c r="P32" i="42" s="1"/>
  <c r="Q32" i="42" s="1"/>
  <c r="R32" i="42" s="1"/>
  <c r="S32" i="42" s="1"/>
  <c r="T32" i="42" s="1"/>
  <c r="U32" i="42" s="1"/>
  <c r="L31" i="42"/>
  <c r="M31" i="42" s="1"/>
  <c r="N31" i="42" s="1"/>
  <c r="O31" i="42" s="1"/>
  <c r="P31" i="42" s="1"/>
  <c r="Q31" i="42" s="1"/>
  <c r="R31" i="42" s="1"/>
  <c r="S31" i="42" s="1"/>
  <c r="T31" i="42" s="1"/>
  <c r="U31" i="42" s="1"/>
  <c r="L30" i="42"/>
  <c r="M30" i="42" s="1"/>
  <c r="N30" i="42" s="1"/>
  <c r="O30" i="42" s="1"/>
  <c r="P30" i="42" s="1"/>
  <c r="Q30" i="42" s="1"/>
  <c r="R30" i="42" s="1"/>
  <c r="S30" i="42" s="1"/>
  <c r="T30" i="42" s="1"/>
  <c r="U30" i="42" s="1"/>
  <c r="I44" i="41"/>
  <c r="J44" i="41" s="1"/>
  <c r="K44" i="41" s="1"/>
  <c r="L44" i="41" s="1"/>
  <c r="M44" i="41" s="1"/>
  <c r="N44" i="41" s="1"/>
  <c r="O44" i="41" s="1"/>
  <c r="P44" i="41" s="1"/>
  <c r="Q44" i="41" s="1"/>
  <c r="R44" i="41" s="1"/>
  <c r="I43" i="41"/>
  <c r="J43" i="41" s="1"/>
  <c r="K43" i="41" s="1"/>
  <c r="L43" i="41" s="1"/>
  <c r="M43" i="41" s="1"/>
  <c r="N43" i="41" s="1"/>
  <c r="O43" i="41" s="1"/>
  <c r="P43" i="41" s="1"/>
  <c r="Q43" i="41" s="1"/>
  <c r="R43" i="41" s="1"/>
  <c r="I42" i="41"/>
  <c r="J42" i="41" s="1"/>
  <c r="K42" i="41" s="1"/>
  <c r="L42" i="41" s="1"/>
  <c r="M42" i="41" s="1"/>
  <c r="N42" i="41" s="1"/>
  <c r="O42" i="41" s="1"/>
  <c r="P42" i="41" s="1"/>
  <c r="Q42" i="41" s="1"/>
  <c r="R42" i="41" s="1"/>
  <c r="I41" i="41"/>
  <c r="J41" i="41" s="1"/>
  <c r="K41" i="41" s="1"/>
  <c r="L41" i="41" s="1"/>
  <c r="M41" i="41" s="1"/>
  <c r="N41" i="41" s="1"/>
  <c r="O41" i="41" s="1"/>
  <c r="P41" i="41" s="1"/>
  <c r="Q41" i="41" s="1"/>
  <c r="R41" i="41" s="1"/>
  <c r="I40" i="41"/>
  <c r="J40" i="41" s="1"/>
  <c r="K40" i="41" s="1"/>
  <c r="L40" i="41" s="1"/>
  <c r="M40" i="41" s="1"/>
  <c r="N40" i="41" s="1"/>
  <c r="O40" i="41" s="1"/>
  <c r="P40" i="41" s="1"/>
  <c r="Q40" i="41" s="1"/>
  <c r="R40" i="41" s="1"/>
  <c r="I39" i="41"/>
  <c r="J39" i="41" s="1"/>
  <c r="K39" i="41" s="1"/>
  <c r="L39" i="41" s="1"/>
  <c r="M39" i="41" s="1"/>
  <c r="N39" i="41" s="1"/>
  <c r="O39" i="41" s="1"/>
  <c r="P39" i="41" s="1"/>
  <c r="Q39" i="41" s="1"/>
  <c r="R39" i="41" s="1"/>
  <c r="I38" i="41"/>
  <c r="J38" i="41" s="1"/>
  <c r="K38" i="41" s="1"/>
  <c r="L38" i="41" s="1"/>
  <c r="M38" i="41" s="1"/>
  <c r="N38" i="41" s="1"/>
  <c r="O38" i="41" s="1"/>
  <c r="P38" i="41" s="1"/>
  <c r="Q38" i="41" s="1"/>
  <c r="R38" i="41" s="1"/>
  <c r="I37" i="41"/>
  <c r="J37" i="41" s="1"/>
  <c r="K37" i="41" s="1"/>
  <c r="L37" i="41" s="1"/>
  <c r="M37" i="41" s="1"/>
  <c r="N37" i="41" s="1"/>
  <c r="O37" i="41" s="1"/>
  <c r="P37" i="41" s="1"/>
  <c r="Q37" i="41" s="1"/>
  <c r="R37" i="41" s="1"/>
  <c r="I36" i="41"/>
  <c r="J36" i="41" s="1"/>
  <c r="K36" i="41" s="1"/>
  <c r="L36" i="41" s="1"/>
  <c r="M36" i="41" s="1"/>
  <c r="N36" i="41" s="1"/>
  <c r="O36" i="41" s="1"/>
  <c r="P36" i="41" s="1"/>
  <c r="Q36" i="41" s="1"/>
  <c r="R36" i="41" s="1"/>
  <c r="I35" i="41"/>
  <c r="J35" i="41" s="1"/>
  <c r="K35" i="41" s="1"/>
  <c r="L35" i="41" s="1"/>
  <c r="M35" i="41" s="1"/>
  <c r="N35" i="41" s="1"/>
  <c r="O35" i="41" s="1"/>
  <c r="P35" i="41" s="1"/>
  <c r="Q35" i="41" s="1"/>
  <c r="R35" i="41" s="1"/>
  <c r="I34" i="41"/>
  <c r="J34" i="41" s="1"/>
  <c r="K34" i="41" s="1"/>
  <c r="L34" i="41" s="1"/>
  <c r="M34" i="41" s="1"/>
  <c r="N34" i="41" s="1"/>
  <c r="O34" i="41" s="1"/>
  <c r="P34" i="41" s="1"/>
  <c r="Q34" i="41" s="1"/>
  <c r="R34" i="41" s="1"/>
  <c r="I33" i="41"/>
  <c r="J33" i="41" s="1"/>
  <c r="K33" i="41" s="1"/>
  <c r="L33" i="41" s="1"/>
  <c r="M33" i="41" s="1"/>
  <c r="N33" i="41" s="1"/>
  <c r="O33" i="41" s="1"/>
  <c r="P33" i="41" s="1"/>
  <c r="Q33" i="41" s="1"/>
  <c r="R33" i="41" s="1"/>
  <c r="I32" i="41"/>
  <c r="J32" i="41" s="1"/>
  <c r="K32" i="41" s="1"/>
  <c r="L32" i="41" s="1"/>
  <c r="M32" i="41" s="1"/>
  <c r="N32" i="41" s="1"/>
  <c r="O32" i="41" s="1"/>
  <c r="P32" i="41" s="1"/>
  <c r="Q32" i="41" s="1"/>
  <c r="R32" i="41" s="1"/>
  <c r="I31" i="41"/>
  <c r="J31" i="41" s="1"/>
  <c r="K31" i="41" s="1"/>
  <c r="L31" i="41" s="1"/>
  <c r="M31" i="41" s="1"/>
  <c r="N31" i="41" s="1"/>
  <c r="O31" i="41" s="1"/>
  <c r="P31" i="41" s="1"/>
  <c r="Q31" i="41" s="1"/>
  <c r="R31" i="41" s="1"/>
  <c r="I30" i="41"/>
  <c r="J30" i="41" s="1"/>
  <c r="K30" i="41" s="1"/>
  <c r="L30" i="41" s="1"/>
  <c r="M30" i="41" s="1"/>
  <c r="N30" i="41" s="1"/>
  <c r="O30" i="41" s="1"/>
  <c r="P30" i="41" s="1"/>
  <c r="Q30" i="41" s="1"/>
  <c r="R30" i="41" s="1"/>
  <c r="I29" i="41"/>
  <c r="J29" i="41" s="1"/>
  <c r="K29" i="41" s="1"/>
  <c r="L29" i="41" s="1"/>
  <c r="M29" i="41" s="1"/>
  <c r="N29" i="41" s="1"/>
  <c r="O29" i="41" s="1"/>
  <c r="P29" i="41" s="1"/>
  <c r="Q29" i="41" s="1"/>
  <c r="R29" i="41" s="1"/>
  <c r="I28" i="41"/>
  <c r="J28" i="41" s="1"/>
  <c r="K28" i="41" s="1"/>
  <c r="L28" i="41" s="1"/>
  <c r="M28" i="41" s="1"/>
  <c r="N28" i="41" s="1"/>
  <c r="O28" i="41" s="1"/>
  <c r="P28" i="41" s="1"/>
  <c r="Q28" i="41" s="1"/>
  <c r="R28" i="41" s="1"/>
  <c r="I27" i="41"/>
  <c r="J27" i="41" s="1"/>
  <c r="K27" i="41" s="1"/>
  <c r="L27" i="41" s="1"/>
  <c r="M27" i="41" s="1"/>
  <c r="N27" i="41" s="1"/>
  <c r="O27" i="41" s="1"/>
  <c r="P27" i="41" s="1"/>
  <c r="Q27" i="41" s="1"/>
  <c r="R27" i="41" s="1"/>
  <c r="I26" i="41"/>
  <c r="J26" i="41" s="1"/>
  <c r="K26" i="41" s="1"/>
  <c r="L26" i="41" s="1"/>
  <c r="M26" i="41" s="1"/>
  <c r="N26" i="41" s="1"/>
  <c r="O26" i="41" s="1"/>
  <c r="P26" i="41" s="1"/>
  <c r="Q26" i="41" s="1"/>
  <c r="R26" i="41" s="1"/>
  <c r="I25" i="41"/>
  <c r="J25" i="41" s="1"/>
  <c r="K25" i="41" s="1"/>
  <c r="L25" i="41" s="1"/>
  <c r="M25" i="41" s="1"/>
  <c r="N25" i="41" s="1"/>
  <c r="O25" i="41" s="1"/>
  <c r="P25" i="41" s="1"/>
  <c r="Q25" i="41" s="1"/>
  <c r="R25" i="41" s="1"/>
  <c r="I24" i="41"/>
  <c r="J24" i="41" s="1"/>
  <c r="K24" i="41" s="1"/>
  <c r="L24" i="41" s="1"/>
  <c r="M24" i="41" s="1"/>
  <c r="N24" i="41" s="1"/>
  <c r="O24" i="41" s="1"/>
  <c r="P24" i="41" s="1"/>
  <c r="Q24" i="41" s="1"/>
  <c r="R24" i="41" s="1"/>
  <c r="I23" i="41"/>
  <c r="J23" i="41" s="1"/>
  <c r="K23" i="41" s="1"/>
  <c r="L23" i="41" s="1"/>
  <c r="M23" i="41" s="1"/>
  <c r="N23" i="41" s="1"/>
  <c r="O23" i="41" s="1"/>
  <c r="P23" i="41" s="1"/>
  <c r="Q23" i="41" s="1"/>
  <c r="R23" i="41" s="1"/>
  <c r="I22" i="41"/>
  <c r="J22" i="41" s="1"/>
  <c r="K22" i="41" s="1"/>
  <c r="L22" i="41" s="1"/>
  <c r="M22" i="41" s="1"/>
  <c r="N22" i="41" s="1"/>
  <c r="O22" i="41" s="1"/>
  <c r="P22" i="41" s="1"/>
  <c r="Q22" i="41" s="1"/>
  <c r="R22" i="41" s="1"/>
  <c r="I21" i="41"/>
  <c r="J21" i="41" s="1"/>
  <c r="K21" i="41" s="1"/>
  <c r="L21" i="41" s="1"/>
  <c r="M21" i="41" s="1"/>
  <c r="N21" i="41" s="1"/>
  <c r="O21" i="41" s="1"/>
  <c r="P21" i="41" s="1"/>
  <c r="Q21" i="41" s="1"/>
  <c r="R21" i="41" s="1"/>
  <c r="I20" i="41"/>
  <c r="J20" i="41" s="1"/>
  <c r="K20" i="41" s="1"/>
  <c r="L20" i="41" s="1"/>
  <c r="M20" i="41" s="1"/>
  <c r="N20" i="41" s="1"/>
  <c r="O20" i="41" s="1"/>
  <c r="P20" i="41" s="1"/>
  <c r="Q20" i="41" s="1"/>
  <c r="R20" i="41" s="1"/>
  <c r="I19" i="41"/>
  <c r="J19" i="41" s="1"/>
  <c r="K19" i="41" s="1"/>
  <c r="L19" i="41" s="1"/>
  <c r="M19" i="41" s="1"/>
  <c r="N19" i="41" s="1"/>
  <c r="O19" i="41" s="1"/>
  <c r="P19" i="41" s="1"/>
  <c r="Q19" i="41" s="1"/>
  <c r="R19" i="41" s="1"/>
  <c r="I18" i="41"/>
  <c r="J18" i="41" s="1"/>
  <c r="K18" i="41" s="1"/>
  <c r="L18" i="41" s="1"/>
  <c r="M18" i="41" s="1"/>
  <c r="N18" i="41" s="1"/>
  <c r="O18" i="41" s="1"/>
  <c r="P18" i="41" s="1"/>
  <c r="Q18" i="41" s="1"/>
  <c r="R18" i="41" s="1"/>
  <c r="I17" i="41"/>
  <c r="J17" i="41" s="1"/>
  <c r="K17" i="41" s="1"/>
  <c r="L17" i="41" s="1"/>
  <c r="M17" i="41" s="1"/>
  <c r="N17" i="41" s="1"/>
  <c r="O17" i="41" s="1"/>
  <c r="P17" i="41" s="1"/>
  <c r="Q17" i="41" s="1"/>
  <c r="R17" i="41" s="1"/>
  <c r="I16" i="41"/>
  <c r="J16" i="41" s="1"/>
  <c r="K16" i="41" s="1"/>
  <c r="L16" i="41" s="1"/>
  <c r="M16" i="41" s="1"/>
  <c r="N16" i="41" s="1"/>
  <c r="O16" i="41" s="1"/>
  <c r="P16" i="41" s="1"/>
  <c r="Q16" i="41" s="1"/>
  <c r="R16" i="41" s="1"/>
  <c r="I15" i="41"/>
  <c r="J15" i="41" s="1"/>
  <c r="K15" i="41" s="1"/>
  <c r="L15" i="41" s="1"/>
  <c r="M15" i="41" s="1"/>
  <c r="N15" i="41" s="1"/>
  <c r="O15" i="41" s="1"/>
  <c r="P15" i="41" s="1"/>
  <c r="Q15" i="41" s="1"/>
  <c r="R15" i="41" s="1"/>
  <c r="I14" i="41"/>
  <c r="J14" i="41" s="1"/>
  <c r="K14" i="41" s="1"/>
  <c r="L14" i="41" s="1"/>
  <c r="M14" i="41" s="1"/>
  <c r="N14" i="41" s="1"/>
  <c r="O14" i="41" s="1"/>
  <c r="P14" i="41" s="1"/>
  <c r="Q14" i="41" s="1"/>
  <c r="R14" i="41" s="1"/>
  <c r="I13" i="41"/>
  <c r="J13" i="41" s="1"/>
  <c r="K13" i="41" s="1"/>
  <c r="L13" i="41" s="1"/>
  <c r="M13" i="41" s="1"/>
  <c r="N13" i="41" s="1"/>
  <c r="O13" i="41" s="1"/>
  <c r="P13" i="41" s="1"/>
  <c r="Q13" i="41" s="1"/>
  <c r="R13" i="41" s="1"/>
  <c r="I12" i="41"/>
  <c r="J12" i="41" s="1"/>
  <c r="K12" i="41" s="1"/>
  <c r="L12" i="41" s="1"/>
  <c r="M12" i="41" s="1"/>
  <c r="N12" i="41" s="1"/>
  <c r="O12" i="41" s="1"/>
  <c r="P12" i="41" s="1"/>
  <c r="Q12" i="41" s="1"/>
  <c r="R12" i="41" s="1"/>
  <c r="I11" i="41"/>
  <c r="J11" i="41" s="1"/>
  <c r="K11" i="41" s="1"/>
  <c r="L11" i="41" s="1"/>
  <c r="M11" i="41" s="1"/>
  <c r="N11" i="41" s="1"/>
  <c r="O11" i="41" s="1"/>
  <c r="P11" i="41" s="1"/>
  <c r="Q11" i="41" s="1"/>
  <c r="R11" i="41" s="1"/>
  <c r="I10" i="41"/>
  <c r="J10" i="41" s="1"/>
  <c r="K10" i="41" s="1"/>
  <c r="L10" i="41" s="1"/>
  <c r="M10" i="41" s="1"/>
  <c r="N10" i="41" s="1"/>
  <c r="O10" i="41" s="1"/>
  <c r="P10" i="41" s="1"/>
  <c r="Q10" i="41" s="1"/>
  <c r="R10" i="41" s="1"/>
  <c r="I9" i="41"/>
  <c r="J9" i="41" s="1"/>
  <c r="K9" i="41" s="1"/>
  <c r="L9" i="41" s="1"/>
  <c r="M9" i="41" s="1"/>
  <c r="N9" i="41" s="1"/>
  <c r="O9" i="41" s="1"/>
  <c r="P9" i="41" s="1"/>
  <c r="Q9" i="41" s="1"/>
  <c r="R9" i="41" s="1"/>
  <c r="I8" i="41"/>
  <c r="J8" i="41" s="1"/>
  <c r="K8" i="41" s="1"/>
  <c r="L8" i="41" s="1"/>
  <c r="M8" i="41" s="1"/>
  <c r="N8" i="41" s="1"/>
  <c r="O8" i="41" s="1"/>
  <c r="P8" i="41" s="1"/>
  <c r="Q8" i="41" s="1"/>
  <c r="R8" i="41" s="1"/>
  <c r="I7" i="41"/>
  <c r="J7" i="41" s="1"/>
  <c r="K7" i="41" s="1"/>
  <c r="L7" i="41" s="1"/>
  <c r="M7" i="41" s="1"/>
  <c r="N7" i="41" s="1"/>
  <c r="O7" i="41" s="1"/>
  <c r="P7" i="41" s="1"/>
  <c r="Q7" i="41" s="1"/>
  <c r="R7" i="41" s="1"/>
  <c r="I6" i="41"/>
  <c r="J6" i="41" s="1"/>
  <c r="K6" i="41" s="1"/>
  <c r="L6" i="41" s="1"/>
  <c r="M6" i="41" s="1"/>
  <c r="N6" i="41" s="1"/>
  <c r="O6" i="41" s="1"/>
  <c r="P6" i="41" s="1"/>
  <c r="Q6" i="41" s="1"/>
  <c r="R6" i="41" s="1"/>
  <c r="I5" i="41"/>
  <c r="J5" i="41" s="1"/>
  <c r="K5" i="41" s="1"/>
  <c r="L5" i="41" s="1"/>
  <c r="M5" i="41" s="1"/>
  <c r="N5" i="41" s="1"/>
  <c r="O5" i="41" s="1"/>
  <c r="P5" i="41" s="1"/>
  <c r="Q5" i="41" s="1"/>
  <c r="R5" i="41" s="1"/>
  <c r="D3" i="42"/>
  <c r="D3" i="41"/>
  <c r="H50" i="37" l="1"/>
  <c r="I50" i="37" s="1"/>
  <c r="J50" i="37" s="1"/>
  <c r="K50" i="37" s="1"/>
  <c r="L50" i="37" s="1"/>
  <c r="M50" i="37" s="1"/>
  <c r="N50" i="37" s="1"/>
  <c r="O50" i="37" s="1"/>
  <c r="P50" i="37" s="1"/>
  <c r="Q50" i="37" s="1"/>
  <c r="H49" i="37"/>
  <c r="I49" i="37" s="1"/>
  <c r="J49" i="37" s="1"/>
  <c r="K49" i="37" s="1"/>
  <c r="L49" i="37" s="1"/>
  <c r="M49" i="37" s="1"/>
  <c r="N49" i="37" s="1"/>
  <c r="O49" i="37" s="1"/>
  <c r="P49" i="37" s="1"/>
  <c r="Q49" i="37" s="1"/>
  <c r="H48" i="37"/>
  <c r="I48" i="37" s="1"/>
  <c r="J48" i="37" s="1"/>
  <c r="K48" i="37" s="1"/>
  <c r="L48" i="37" s="1"/>
  <c r="M48" i="37" s="1"/>
  <c r="N48" i="37" s="1"/>
  <c r="O48" i="37" s="1"/>
  <c r="P48" i="37" s="1"/>
  <c r="Q48" i="37" s="1"/>
  <c r="H47" i="37"/>
  <c r="I47" i="37" s="1"/>
  <c r="J47" i="37" s="1"/>
  <c r="K47" i="37" s="1"/>
  <c r="L47" i="37" s="1"/>
  <c r="M47" i="37" s="1"/>
  <c r="N47" i="37" s="1"/>
  <c r="O47" i="37" s="1"/>
  <c r="P47" i="37" s="1"/>
  <c r="Q47" i="37" s="1"/>
  <c r="H46" i="37"/>
  <c r="I46" i="37" s="1"/>
  <c r="J46" i="37" s="1"/>
  <c r="K46" i="37" s="1"/>
  <c r="L46" i="37" s="1"/>
  <c r="M46" i="37" s="1"/>
  <c r="N46" i="37" s="1"/>
  <c r="O46" i="37" s="1"/>
  <c r="P46" i="37" s="1"/>
  <c r="Q46" i="37" s="1"/>
  <c r="H45" i="37"/>
  <c r="I45" i="37" s="1"/>
  <c r="J45" i="37" s="1"/>
  <c r="K45" i="37" s="1"/>
  <c r="L45" i="37" s="1"/>
  <c r="M45" i="37" s="1"/>
  <c r="N45" i="37" s="1"/>
  <c r="O45" i="37" s="1"/>
  <c r="P45" i="37" s="1"/>
  <c r="Q45" i="37" s="1"/>
  <c r="H44" i="37"/>
  <c r="I44" i="37" s="1"/>
  <c r="J44" i="37" s="1"/>
  <c r="K44" i="37" s="1"/>
  <c r="L44" i="37" s="1"/>
  <c r="M44" i="37" s="1"/>
  <c r="N44" i="37" s="1"/>
  <c r="O44" i="37" s="1"/>
  <c r="P44" i="37" s="1"/>
  <c r="Q44" i="37" s="1"/>
  <c r="H43" i="37"/>
  <c r="I43" i="37" s="1"/>
  <c r="J43" i="37" s="1"/>
  <c r="K43" i="37" s="1"/>
  <c r="L43" i="37" s="1"/>
  <c r="M43" i="37" s="1"/>
  <c r="N43" i="37" s="1"/>
  <c r="O43" i="37" s="1"/>
  <c r="P43" i="37" s="1"/>
  <c r="Q43" i="37" s="1"/>
  <c r="H42" i="37"/>
  <c r="I42" i="37" s="1"/>
  <c r="J42" i="37" s="1"/>
  <c r="K42" i="37" s="1"/>
  <c r="L42" i="37" s="1"/>
  <c r="M42" i="37" s="1"/>
  <c r="N42" i="37" s="1"/>
  <c r="O42" i="37" s="1"/>
  <c r="P42" i="37" s="1"/>
  <c r="Q42" i="37" s="1"/>
  <c r="H41" i="37"/>
  <c r="I41" i="37" s="1"/>
  <c r="J41" i="37" s="1"/>
  <c r="K41" i="37" s="1"/>
  <c r="L41" i="37" s="1"/>
  <c r="M41" i="37" s="1"/>
  <c r="N41" i="37" s="1"/>
  <c r="O41" i="37" s="1"/>
  <c r="P41" i="37" s="1"/>
  <c r="Q41" i="37" s="1"/>
  <c r="H40" i="37"/>
  <c r="I40" i="37" s="1"/>
  <c r="J40" i="37" s="1"/>
  <c r="K40" i="37" s="1"/>
  <c r="L40" i="37" s="1"/>
  <c r="M40" i="37" s="1"/>
  <c r="N40" i="37" s="1"/>
  <c r="O40" i="37" s="1"/>
  <c r="P40" i="37" s="1"/>
  <c r="Q40" i="37" s="1"/>
  <c r="H39" i="37"/>
  <c r="I39" i="37" s="1"/>
  <c r="J39" i="37" s="1"/>
  <c r="K39" i="37" s="1"/>
  <c r="L39" i="37" s="1"/>
  <c r="M39" i="37" s="1"/>
  <c r="N39" i="37" s="1"/>
  <c r="O39" i="37" s="1"/>
  <c r="P39" i="37" s="1"/>
  <c r="Q39" i="37" s="1"/>
  <c r="H38" i="37"/>
  <c r="I38" i="37" s="1"/>
  <c r="J38" i="37" s="1"/>
  <c r="K38" i="37" s="1"/>
  <c r="L38" i="37" s="1"/>
  <c r="M38" i="37" s="1"/>
  <c r="N38" i="37" s="1"/>
  <c r="O38" i="37" s="1"/>
  <c r="P38" i="37" s="1"/>
  <c r="Q38" i="37" s="1"/>
  <c r="H37" i="37"/>
  <c r="I37" i="37" s="1"/>
  <c r="J37" i="37" s="1"/>
  <c r="K37" i="37" s="1"/>
  <c r="L37" i="37" s="1"/>
  <c r="M37" i="37" s="1"/>
  <c r="N37" i="37" s="1"/>
  <c r="O37" i="37" s="1"/>
  <c r="P37" i="37" s="1"/>
  <c r="Q37" i="37" s="1"/>
  <c r="H36" i="37"/>
  <c r="I36" i="37" s="1"/>
  <c r="J36" i="37" s="1"/>
  <c r="K36" i="37" s="1"/>
  <c r="L36" i="37" s="1"/>
  <c r="M36" i="37" s="1"/>
  <c r="N36" i="37" s="1"/>
  <c r="O36" i="37" s="1"/>
  <c r="P36" i="37" s="1"/>
  <c r="Q36" i="37" s="1"/>
  <c r="H35" i="37"/>
  <c r="I35" i="37" s="1"/>
  <c r="J35" i="37" s="1"/>
  <c r="K35" i="37" s="1"/>
  <c r="L35" i="37" s="1"/>
  <c r="M35" i="37" s="1"/>
  <c r="N35" i="37" s="1"/>
  <c r="O35" i="37" s="1"/>
  <c r="P35" i="37" s="1"/>
  <c r="Q35" i="37" s="1"/>
  <c r="H34" i="37"/>
  <c r="I34" i="37" s="1"/>
  <c r="J34" i="37" s="1"/>
  <c r="K34" i="37" s="1"/>
  <c r="L34" i="37" s="1"/>
  <c r="M34" i="37" s="1"/>
  <c r="N34" i="37" s="1"/>
  <c r="O34" i="37" s="1"/>
  <c r="P34" i="37" s="1"/>
  <c r="Q34" i="37" s="1"/>
  <c r="H33" i="37"/>
  <c r="I33" i="37" s="1"/>
  <c r="J33" i="37" s="1"/>
  <c r="K33" i="37" s="1"/>
  <c r="L33" i="37" s="1"/>
  <c r="M33" i="37" s="1"/>
  <c r="N33" i="37" s="1"/>
  <c r="O33" i="37" s="1"/>
  <c r="P33" i="37" s="1"/>
  <c r="Q33" i="37" s="1"/>
  <c r="H32" i="37"/>
  <c r="I32" i="37" s="1"/>
  <c r="J32" i="37" s="1"/>
  <c r="K32" i="37" s="1"/>
  <c r="L32" i="37" s="1"/>
  <c r="M32" i="37" s="1"/>
  <c r="N32" i="37" s="1"/>
  <c r="O32" i="37" s="1"/>
  <c r="P32" i="37" s="1"/>
  <c r="Q32" i="37" s="1"/>
  <c r="H31" i="37"/>
  <c r="I31" i="37" s="1"/>
  <c r="J31" i="37" s="1"/>
  <c r="K31" i="37" s="1"/>
  <c r="L31" i="37" s="1"/>
  <c r="M31" i="37" s="1"/>
  <c r="N31" i="37" s="1"/>
  <c r="O31" i="37" s="1"/>
  <c r="P31" i="37" s="1"/>
  <c r="Q31" i="37" s="1"/>
  <c r="H30" i="37"/>
  <c r="I30" i="37" s="1"/>
  <c r="J30" i="37" s="1"/>
  <c r="K30" i="37" s="1"/>
  <c r="L30" i="37" s="1"/>
  <c r="M30" i="37" s="1"/>
  <c r="N30" i="37" s="1"/>
  <c r="O30" i="37" s="1"/>
  <c r="P30" i="37" s="1"/>
  <c r="Q30" i="37" s="1"/>
  <c r="H29" i="37"/>
  <c r="I29" i="37" s="1"/>
  <c r="J29" i="37" s="1"/>
  <c r="K29" i="37" s="1"/>
  <c r="L29" i="37" s="1"/>
  <c r="M29" i="37" s="1"/>
  <c r="N29" i="37" s="1"/>
  <c r="O29" i="37" s="1"/>
  <c r="P29" i="37" s="1"/>
  <c r="Q29" i="37" s="1"/>
  <c r="H28" i="37"/>
  <c r="I28" i="37" s="1"/>
  <c r="J28" i="37" s="1"/>
  <c r="K28" i="37" s="1"/>
  <c r="L28" i="37" s="1"/>
  <c r="M28" i="37" s="1"/>
  <c r="N28" i="37" s="1"/>
  <c r="O28" i="37" s="1"/>
  <c r="P28" i="37" s="1"/>
  <c r="Q28" i="37" s="1"/>
  <c r="H27" i="37"/>
  <c r="I27" i="37" s="1"/>
  <c r="J27" i="37" s="1"/>
  <c r="K27" i="37" s="1"/>
  <c r="L27" i="37" s="1"/>
  <c r="M27" i="37" s="1"/>
  <c r="N27" i="37" s="1"/>
  <c r="O27" i="37" s="1"/>
  <c r="P27" i="37" s="1"/>
  <c r="Q27" i="37" s="1"/>
  <c r="H26" i="37"/>
  <c r="I26" i="37" s="1"/>
  <c r="J26" i="37" s="1"/>
  <c r="K26" i="37" s="1"/>
  <c r="L26" i="37" s="1"/>
  <c r="M26" i="37" s="1"/>
  <c r="N26" i="37" s="1"/>
  <c r="O26" i="37" s="1"/>
  <c r="P26" i="37" s="1"/>
  <c r="Q26" i="37" s="1"/>
  <c r="H25" i="37"/>
  <c r="I25" i="37" s="1"/>
  <c r="J25" i="37" s="1"/>
  <c r="K25" i="37" s="1"/>
  <c r="L25" i="37" s="1"/>
  <c r="M25" i="37" s="1"/>
  <c r="N25" i="37" s="1"/>
  <c r="O25" i="37" s="1"/>
  <c r="P25" i="37" s="1"/>
  <c r="Q25" i="37" s="1"/>
  <c r="H24" i="37"/>
  <c r="I24" i="37" s="1"/>
  <c r="J24" i="37" s="1"/>
  <c r="K24" i="37" s="1"/>
  <c r="L24" i="37" s="1"/>
  <c r="M24" i="37" s="1"/>
  <c r="N24" i="37" s="1"/>
  <c r="O24" i="37" s="1"/>
  <c r="P24" i="37" s="1"/>
  <c r="Q24" i="37" s="1"/>
  <c r="H23" i="37"/>
  <c r="I23" i="37" s="1"/>
  <c r="J23" i="37" s="1"/>
  <c r="K23" i="37" s="1"/>
  <c r="L23" i="37" s="1"/>
  <c r="M23" i="37" s="1"/>
  <c r="N23" i="37" s="1"/>
  <c r="O23" i="37" s="1"/>
  <c r="P23" i="37" s="1"/>
  <c r="Q23" i="37" s="1"/>
  <c r="H22" i="37"/>
  <c r="I22" i="37" s="1"/>
  <c r="J22" i="37" s="1"/>
  <c r="K22" i="37" s="1"/>
  <c r="L22" i="37" s="1"/>
  <c r="M22" i="37" s="1"/>
  <c r="N22" i="37" s="1"/>
  <c r="O22" i="37" s="1"/>
  <c r="P22" i="37" s="1"/>
  <c r="Q22" i="37" s="1"/>
  <c r="H21" i="37"/>
  <c r="I21" i="37" s="1"/>
  <c r="J21" i="37" s="1"/>
  <c r="K21" i="37" s="1"/>
  <c r="L21" i="37" s="1"/>
  <c r="M21" i="37" s="1"/>
  <c r="N21" i="37" s="1"/>
  <c r="O21" i="37" s="1"/>
  <c r="P21" i="37" s="1"/>
  <c r="Q21" i="37" s="1"/>
  <c r="H20" i="37"/>
  <c r="I20" i="37" s="1"/>
  <c r="J20" i="37" s="1"/>
  <c r="K20" i="37" s="1"/>
  <c r="L20" i="37" s="1"/>
  <c r="M20" i="37" s="1"/>
  <c r="N20" i="37" s="1"/>
  <c r="O20" i="37" s="1"/>
  <c r="P20" i="37" s="1"/>
  <c r="Q20" i="37" s="1"/>
  <c r="H19" i="37"/>
  <c r="I19" i="37" s="1"/>
  <c r="J19" i="37" s="1"/>
  <c r="K19" i="37" s="1"/>
  <c r="L19" i="37" s="1"/>
  <c r="M19" i="37" s="1"/>
  <c r="N19" i="37" s="1"/>
  <c r="O19" i="37" s="1"/>
  <c r="P19" i="37" s="1"/>
  <c r="Q19" i="37" s="1"/>
  <c r="H18" i="37"/>
  <c r="I18" i="37" s="1"/>
  <c r="J18" i="37" s="1"/>
  <c r="K18" i="37" s="1"/>
  <c r="L18" i="37" s="1"/>
  <c r="M18" i="37" s="1"/>
  <c r="N18" i="37" s="1"/>
  <c r="O18" i="37" s="1"/>
  <c r="P18" i="37" s="1"/>
  <c r="Q18" i="37" s="1"/>
  <c r="H17" i="37"/>
  <c r="I17" i="37" s="1"/>
  <c r="J17" i="37" s="1"/>
  <c r="K17" i="37" s="1"/>
  <c r="L17" i="37" s="1"/>
  <c r="M17" i="37" s="1"/>
  <c r="N17" i="37" s="1"/>
  <c r="O17" i="37" s="1"/>
  <c r="P17" i="37" s="1"/>
  <c r="Q17" i="37" s="1"/>
  <c r="H16" i="37"/>
  <c r="I16" i="37" s="1"/>
  <c r="J16" i="37" s="1"/>
  <c r="K16" i="37" s="1"/>
  <c r="L16" i="37" s="1"/>
  <c r="M16" i="37" s="1"/>
  <c r="N16" i="37" s="1"/>
  <c r="O16" i="37" s="1"/>
  <c r="P16" i="37" s="1"/>
  <c r="Q16" i="37" s="1"/>
  <c r="H15" i="37"/>
  <c r="I15" i="37" s="1"/>
  <c r="J15" i="37" s="1"/>
  <c r="K15" i="37" s="1"/>
  <c r="L15" i="37" s="1"/>
  <c r="M15" i="37" s="1"/>
  <c r="N15" i="37" s="1"/>
  <c r="O15" i="37" s="1"/>
  <c r="P15" i="37" s="1"/>
  <c r="Q15" i="37" s="1"/>
  <c r="H14" i="37"/>
  <c r="I14" i="37" s="1"/>
  <c r="J14" i="37" s="1"/>
  <c r="K14" i="37" s="1"/>
  <c r="L14" i="37" s="1"/>
  <c r="M14" i="37" s="1"/>
  <c r="N14" i="37" s="1"/>
  <c r="O14" i="37" s="1"/>
  <c r="P14" i="37" s="1"/>
  <c r="Q14" i="37" s="1"/>
  <c r="H13" i="37"/>
  <c r="I13" i="37" s="1"/>
  <c r="J13" i="37" s="1"/>
  <c r="K13" i="37" s="1"/>
  <c r="L13" i="37" s="1"/>
  <c r="M13" i="37" s="1"/>
  <c r="N13" i="37" s="1"/>
  <c r="O13" i="37" s="1"/>
  <c r="P13" i="37" s="1"/>
  <c r="Q13" i="37" s="1"/>
  <c r="D3" i="37"/>
  <c r="I50" i="32" l="1"/>
  <c r="J50" i="32" s="1"/>
  <c r="K50" i="32" s="1"/>
  <c r="L50" i="32" s="1"/>
  <c r="M50" i="32" s="1"/>
  <c r="N50" i="32" s="1"/>
  <c r="O50" i="32" s="1"/>
  <c r="P50" i="32" s="1"/>
  <c r="Q50" i="32" s="1"/>
  <c r="R50" i="32" s="1"/>
  <c r="I49" i="32"/>
  <c r="J49" i="32" s="1"/>
  <c r="K49" i="32" s="1"/>
  <c r="L49" i="32" s="1"/>
  <c r="M49" i="32" s="1"/>
  <c r="N49" i="32" s="1"/>
  <c r="O49" i="32" s="1"/>
  <c r="P49" i="32" s="1"/>
  <c r="Q49" i="32" s="1"/>
  <c r="R49" i="32" s="1"/>
  <c r="I48" i="32"/>
  <c r="J48" i="32" s="1"/>
  <c r="K48" i="32" s="1"/>
  <c r="L48" i="32" s="1"/>
  <c r="M48" i="32" s="1"/>
  <c r="N48" i="32" s="1"/>
  <c r="O48" i="32" s="1"/>
  <c r="P48" i="32" s="1"/>
  <c r="Q48" i="32" s="1"/>
  <c r="R48" i="32" s="1"/>
  <c r="I47" i="32"/>
  <c r="J47" i="32" s="1"/>
  <c r="K47" i="32" s="1"/>
  <c r="L47" i="32" s="1"/>
  <c r="M47" i="32" s="1"/>
  <c r="N47" i="32" s="1"/>
  <c r="O47" i="32" s="1"/>
  <c r="P47" i="32" s="1"/>
  <c r="Q47" i="32" s="1"/>
  <c r="R47" i="32" s="1"/>
  <c r="I46" i="32"/>
  <c r="J46" i="32" s="1"/>
  <c r="K46" i="32" s="1"/>
  <c r="L46" i="32" s="1"/>
  <c r="M46" i="32" s="1"/>
  <c r="N46" i="32" s="1"/>
  <c r="O46" i="32" s="1"/>
  <c r="P46" i="32" s="1"/>
  <c r="Q46" i="32" s="1"/>
  <c r="R46" i="32" s="1"/>
  <c r="I45" i="32"/>
  <c r="J45" i="32" s="1"/>
  <c r="K45" i="32" s="1"/>
  <c r="L45" i="32" s="1"/>
  <c r="M45" i="32" s="1"/>
  <c r="N45" i="32" s="1"/>
  <c r="O45" i="32" s="1"/>
  <c r="P45" i="32" s="1"/>
  <c r="Q45" i="32" s="1"/>
  <c r="R45" i="32" s="1"/>
  <c r="I44" i="32"/>
  <c r="J44" i="32" s="1"/>
  <c r="K44" i="32" s="1"/>
  <c r="L44" i="32" s="1"/>
  <c r="M44" i="32" s="1"/>
  <c r="N44" i="32" s="1"/>
  <c r="O44" i="32" s="1"/>
  <c r="P44" i="32" s="1"/>
  <c r="Q44" i="32" s="1"/>
  <c r="R44" i="32" s="1"/>
  <c r="I43" i="32"/>
  <c r="J43" i="32" s="1"/>
  <c r="K43" i="32" s="1"/>
  <c r="L43" i="32" s="1"/>
  <c r="M43" i="32" s="1"/>
  <c r="N43" i="32" s="1"/>
  <c r="O43" i="32" s="1"/>
  <c r="P43" i="32" s="1"/>
  <c r="Q43" i="32" s="1"/>
  <c r="R43" i="32" s="1"/>
  <c r="I42" i="32"/>
  <c r="J42" i="32" s="1"/>
  <c r="K42" i="32" s="1"/>
  <c r="L42" i="32" s="1"/>
  <c r="M42" i="32" s="1"/>
  <c r="N42" i="32" s="1"/>
  <c r="O42" i="32" s="1"/>
  <c r="P42" i="32" s="1"/>
  <c r="Q42" i="32" s="1"/>
  <c r="R42" i="32" s="1"/>
  <c r="I41" i="32"/>
  <c r="J41" i="32" s="1"/>
  <c r="K41" i="32" s="1"/>
  <c r="L41" i="32" s="1"/>
  <c r="M41" i="32" s="1"/>
  <c r="N41" i="32" s="1"/>
  <c r="O41" i="32" s="1"/>
  <c r="P41" i="32" s="1"/>
  <c r="Q41" i="32" s="1"/>
  <c r="R41" i="32" s="1"/>
  <c r="I40" i="32"/>
  <c r="J40" i="32" s="1"/>
  <c r="K40" i="32" s="1"/>
  <c r="L40" i="32" s="1"/>
  <c r="M40" i="32" s="1"/>
  <c r="N40" i="32" s="1"/>
  <c r="O40" i="32" s="1"/>
  <c r="P40" i="32" s="1"/>
  <c r="Q40" i="32" s="1"/>
  <c r="R40" i="32" s="1"/>
  <c r="I39" i="32"/>
  <c r="J39" i="32" s="1"/>
  <c r="K39" i="32" s="1"/>
  <c r="L39" i="32" s="1"/>
  <c r="M39" i="32" s="1"/>
  <c r="N39" i="32" s="1"/>
  <c r="O39" i="32" s="1"/>
  <c r="P39" i="32" s="1"/>
  <c r="Q39" i="32" s="1"/>
  <c r="R39" i="32" s="1"/>
  <c r="I38" i="32"/>
  <c r="J38" i="32" s="1"/>
  <c r="K38" i="32" s="1"/>
  <c r="L38" i="32" s="1"/>
  <c r="M38" i="32" s="1"/>
  <c r="N38" i="32" s="1"/>
  <c r="O38" i="32" s="1"/>
  <c r="P38" i="32" s="1"/>
  <c r="Q38" i="32" s="1"/>
  <c r="R38" i="32" s="1"/>
  <c r="I37" i="32"/>
  <c r="J37" i="32" s="1"/>
  <c r="K37" i="32" s="1"/>
  <c r="L37" i="32" s="1"/>
  <c r="M37" i="32" s="1"/>
  <c r="N37" i="32" s="1"/>
  <c r="O37" i="32" s="1"/>
  <c r="P37" i="32" s="1"/>
  <c r="Q37" i="32" s="1"/>
  <c r="R37" i="32" s="1"/>
  <c r="I36" i="32"/>
  <c r="J36" i="32" s="1"/>
  <c r="K36" i="32" s="1"/>
  <c r="L36" i="32" s="1"/>
  <c r="M36" i="32" s="1"/>
  <c r="N36" i="32" s="1"/>
  <c r="O36" i="32" s="1"/>
  <c r="P36" i="32" s="1"/>
  <c r="Q36" i="32" s="1"/>
  <c r="R36" i="32" s="1"/>
  <c r="I35" i="32"/>
  <c r="J35" i="32" s="1"/>
  <c r="K35" i="32" s="1"/>
  <c r="L35" i="32" s="1"/>
  <c r="M35" i="32" s="1"/>
  <c r="N35" i="32" s="1"/>
  <c r="O35" i="32" s="1"/>
  <c r="P35" i="32" s="1"/>
  <c r="Q35" i="32" s="1"/>
  <c r="R35" i="32" s="1"/>
  <c r="I34" i="32"/>
  <c r="J34" i="32" s="1"/>
  <c r="K34" i="32" s="1"/>
  <c r="L34" i="32" s="1"/>
  <c r="M34" i="32" s="1"/>
  <c r="N34" i="32" s="1"/>
  <c r="O34" i="32" s="1"/>
  <c r="P34" i="32" s="1"/>
  <c r="Q34" i="32" s="1"/>
  <c r="R34" i="32" s="1"/>
  <c r="I33" i="32"/>
  <c r="J33" i="32" s="1"/>
  <c r="K33" i="32" s="1"/>
  <c r="L33" i="32" s="1"/>
  <c r="M33" i="32" s="1"/>
  <c r="N33" i="32" s="1"/>
  <c r="O33" i="32" s="1"/>
  <c r="P33" i="32" s="1"/>
  <c r="Q33" i="32" s="1"/>
  <c r="R33" i="32" s="1"/>
  <c r="I32" i="32"/>
  <c r="J32" i="32" s="1"/>
  <c r="K32" i="32" s="1"/>
  <c r="L32" i="32" s="1"/>
  <c r="M32" i="32" s="1"/>
  <c r="N32" i="32" s="1"/>
  <c r="O32" i="32" s="1"/>
  <c r="P32" i="32" s="1"/>
  <c r="Q32" i="32" s="1"/>
  <c r="R32" i="32" s="1"/>
  <c r="I31" i="32"/>
  <c r="J31" i="32" s="1"/>
  <c r="K31" i="32" s="1"/>
  <c r="L31" i="32" s="1"/>
  <c r="M31" i="32" s="1"/>
  <c r="N31" i="32" s="1"/>
  <c r="O31" i="32" s="1"/>
  <c r="P31" i="32" s="1"/>
  <c r="Q31" i="32" s="1"/>
  <c r="R31" i="32" s="1"/>
  <c r="I30" i="32"/>
  <c r="J30" i="32" s="1"/>
  <c r="K30" i="32" s="1"/>
  <c r="L30" i="32" s="1"/>
  <c r="M30" i="32" s="1"/>
  <c r="N30" i="32" s="1"/>
  <c r="O30" i="32" s="1"/>
  <c r="P30" i="32" s="1"/>
  <c r="Q30" i="32" s="1"/>
  <c r="R30" i="32" s="1"/>
  <c r="T9" i="32"/>
  <c r="I50" i="31"/>
  <c r="J50" i="31" s="1"/>
  <c r="K50" i="31" s="1"/>
  <c r="L50" i="31" s="1"/>
  <c r="M50" i="31" s="1"/>
  <c r="N50" i="31" s="1"/>
  <c r="O50" i="31" s="1"/>
  <c r="P50" i="31" s="1"/>
  <c r="Q50" i="31" s="1"/>
  <c r="R50" i="31" s="1"/>
  <c r="I49" i="31"/>
  <c r="J49" i="31" s="1"/>
  <c r="K49" i="31" s="1"/>
  <c r="L49" i="31" s="1"/>
  <c r="M49" i="31" s="1"/>
  <c r="N49" i="31" s="1"/>
  <c r="O49" i="31" s="1"/>
  <c r="P49" i="31" s="1"/>
  <c r="Q49" i="31" s="1"/>
  <c r="R49" i="31" s="1"/>
  <c r="I48" i="31"/>
  <c r="J48" i="31" s="1"/>
  <c r="K48" i="31" s="1"/>
  <c r="L48" i="31" s="1"/>
  <c r="M48" i="31" s="1"/>
  <c r="N48" i="31" s="1"/>
  <c r="O48" i="31" s="1"/>
  <c r="P48" i="31" s="1"/>
  <c r="Q48" i="31" s="1"/>
  <c r="R48" i="31" s="1"/>
  <c r="I47" i="31"/>
  <c r="J47" i="31" s="1"/>
  <c r="K47" i="31" s="1"/>
  <c r="L47" i="31" s="1"/>
  <c r="M47" i="31" s="1"/>
  <c r="N47" i="31" s="1"/>
  <c r="O47" i="31" s="1"/>
  <c r="P47" i="31" s="1"/>
  <c r="Q47" i="31" s="1"/>
  <c r="R47" i="31" s="1"/>
  <c r="I46" i="31"/>
  <c r="J46" i="31" s="1"/>
  <c r="K46" i="31" s="1"/>
  <c r="L46" i="31" s="1"/>
  <c r="M46" i="31" s="1"/>
  <c r="N46" i="31" s="1"/>
  <c r="O46" i="31" s="1"/>
  <c r="P46" i="31" s="1"/>
  <c r="Q46" i="31" s="1"/>
  <c r="R46" i="31" s="1"/>
  <c r="I45" i="31"/>
  <c r="J45" i="31" s="1"/>
  <c r="K45" i="31" s="1"/>
  <c r="L45" i="31" s="1"/>
  <c r="M45" i="31" s="1"/>
  <c r="N45" i="31" s="1"/>
  <c r="O45" i="31" s="1"/>
  <c r="P45" i="31" s="1"/>
  <c r="Q45" i="31" s="1"/>
  <c r="R45" i="31" s="1"/>
  <c r="I44" i="31"/>
  <c r="J44" i="31" s="1"/>
  <c r="K44" i="31" s="1"/>
  <c r="L44" i="31" s="1"/>
  <c r="M44" i="31" s="1"/>
  <c r="N44" i="31" s="1"/>
  <c r="O44" i="31" s="1"/>
  <c r="P44" i="31" s="1"/>
  <c r="Q44" i="31" s="1"/>
  <c r="R44" i="31" s="1"/>
  <c r="I43" i="31"/>
  <c r="J43" i="31" s="1"/>
  <c r="K43" i="31" s="1"/>
  <c r="L43" i="31" s="1"/>
  <c r="M43" i="31" s="1"/>
  <c r="N43" i="31" s="1"/>
  <c r="O43" i="31" s="1"/>
  <c r="P43" i="31" s="1"/>
  <c r="Q43" i="31" s="1"/>
  <c r="R43" i="31" s="1"/>
  <c r="I42" i="31"/>
  <c r="J42" i="31" s="1"/>
  <c r="K42" i="31" s="1"/>
  <c r="L42" i="31" s="1"/>
  <c r="M42" i="31" s="1"/>
  <c r="N42" i="31" s="1"/>
  <c r="O42" i="31" s="1"/>
  <c r="P42" i="31" s="1"/>
  <c r="Q42" i="31" s="1"/>
  <c r="R42" i="31" s="1"/>
  <c r="I41" i="31"/>
  <c r="J41" i="31" s="1"/>
  <c r="K41" i="31" s="1"/>
  <c r="L41" i="31" s="1"/>
  <c r="M41" i="31" s="1"/>
  <c r="N41" i="31" s="1"/>
  <c r="O41" i="31" s="1"/>
  <c r="P41" i="31" s="1"/>
  <c r="Q41" i="31" s="1"/>
  <c r="R41" i="31" s="1"/>
  <c r="I40" i="31"/>
  <c r="J40" i="31" s="1"/>
  <c r="K40" i="31" s="1"/>
  <c r="L40" i="31" s="1"/>
  <c r="M40" i="31" s="1"/>
  <c r="N40" i="31" s="1"/>
  <c r="O40" i="31" s="1"/>
  <c r="P40" i="31" s="1"/>
  <c r="Q40" i="31" s="1"/>
  <c r="R40" i="31" s="1"/>
  <c r="I39" i="31"/>
  <c r="J39" i="31" s="1"/>
  <c r="K39" i="31" s="1"/>
  <c r="L39" i="31" s="1"/>
  <c r="M39" i="31" s="1"/>
  <c r="N39" i="31" s="1"/>
  <c r="O39" i="31" s="1"/>
  <c r="P39" i="31" s="1"/>
  <c r="Q39" i="31" s="1"/>
  <c r="R39" i="31" s="1"/>
  <c r="I38" i="31"/>
  <c r="J38" i="31" s="1"/>
  <c r="K38" i="31" s="1"/>
  <c r="L38" i="31" s="1"/>
  <c r="M38" i="31" s="1"/>
  <c r="N38" i="31" s="1"/>
  <c r="O38" i="31" s="1"/>
  <c r="P38" i="31" s="1"/>
  <c r="Q38" i="31" s="1"/>
  <c r="R38" i="31" s="1"/>
  <c r="I37" i="31"/>
  <c r="J37" i="31" s="1"/>
  <c r="K37" i="31" s="1"/>
  <c r="L37" i="31" s="1"/>
  <c r="M37" i="31" s="1"/>
  <c r="N37" i="31" s="1"/>
  <c r="O37" i="31" s="1"/>
  <c r="P37" i="31" s="1"/>
  <c r="Q37" i="31" s="1"/>
  <c r="R37" i="31" s="1"/>
  <c r="I36" i="31"/>
  <c r="J36" i="31" s="1"/>
  <c r="K36" i="31" s="1"/>
  <c r="L36" i="31" s="1"/>
  <c r="M36" i="31" s="1"/>
  <c r="N36" i="31" s="1"/>
  <c r="O36" i="31" s="1"/>
  <c r="P36" i="31" s="1"/>
  <c r="Q36" i="31" s="1"/>
  <c r="R36" i="31" s="1"/>
  <c r="I35" i="31"/>
  <c r="J35" i="31" s="1"/>
  <c r="K35" i="31" s="1"/>
  <c r="L35" i="31" s="1"/>
  <c r="M35" i="31" s="1"/>
  <c r="N35" i="31" s="1"/>
  <c r="O35" i="31" s="1"/>
  <c r="P35" i="31" s="1"/>
  <c r="Q35" i="31" s="1"/>
  <c r="R35" i="31" s="1"/>
  <c r="I34" i="31"/>
  <c r="J34" i="31" s="1"/>
  <c r="K34" i="31" s="1"/>
  <c r="L34" i="31" s="1"/>
  <c r="M34" i="31" s="1"/>
  <c r="N34" i="31" s="1"/>
  <c r="O34" i="31" s="1"/>
  <c r="P34" i="31" s="1"/>
  <c r="Q34" i="31" s="1"/>
  <c r="R34" i="31" s="1"/>
  <c r="I33" i="31"/>
  <c r="J33" i="31" s="1"/>
  <c r="K33" i="31" s="1"/>
  <c r="L33" i="31" s="1"/>
  <c r="M33" i="31" s="1"/>
  <c r="N33" i="31" s="1"/>
  <c r="O33" i="31" s="1"/>
  <c r="P33" i="31" s="1"/>
  <c r="Q33" i="31" s="1"/>
  <c r="R33" i="31" s="1"/>
  <c r="I32" i="31"/>
  <c r="J32" i="31" s="1"/>
  <c r="K32" i="31" s="1"/>
  <c r="L32" i="31" s="1"/>
  <c r="M32" i="31" s="1"/>
  <c r="N32" i="31" s="1"/>
  <c r="O32" i="31" s="1"/>
  <c r="P32" i="31" s="1"/>
  <c r="Q32" i="31" s="1"/>
  <c r="R32" i="31" s="1"/>
  <c r="I31" i="31"/>
  <c r="J31" i="31" s="1"/>
  <c r="K31" i="31" s="1"/>
  <c r="L31" i="31" s="1"/>
  <c r="M31" i="31" s="1"/>
  <c r="N31" i="31" s="1"/>
  <c r="O31" i="31" s="1"/>
  <c r="P31" i="31" s="1"/>
  <c r="Q31" i="31" s="1"/>
  <c r="R31" i="31" s="1"/>
  <c r="I30" i="31"/>
  <c r="J30" i="31" s="1"/>
  <c r="K30" i="31" s="1"/>
  <c r="L30" i="31" s="1"/>
  <c r="M30" i="31" s="1"/>
  <c r="N30" i="31" s="1"/>
  <c r="O30" i="31" s="1"/>
  <c r="P30" i="31" s="1"/>
  <c r="Q30" i="31" s="1"/>
  <c r="R30" i="31" s="1"/>
  <c r="I29" i="31"/>
  <c r="J29" i="31" s="1"/>
  <c r="K29" i="31" s="1"/>
  <c r="L29" i="31" s="1"/>
  <c r="M29" i="31" s="1"/>
  <c r="N29" i="31" s="1"/>
  <c r="O29" i="31" s="1"/>
  <c r="P29" i="31" s="1"/>
  <c r="Q29" i="31" s="1"/>
  <c r="R29" i="31" s="1"/>
  <c r="I28" i="31"/>
  <c r="J28" i="31" s="1"/>
  <c r="K28" i="31" s="1"/>
  <c r="L28" i="31" s="1"/>
  <c r="M28" i="31" s="1"/>
  <c r="N28" i="31" s="1"/>
  <c r="O28" i="31" s="1"/>
  <c r="P28" i="31" s="1"/>
  <c r="Q28" i="31" s="1"/>
  <c r="R28" i="31" s="1"/>
  <c r="I27" i="31"/>
  <c r="J27" i="31" s="1"/>
  <c r="K27" i="31" s="1"/>
  <c r="L27" i="31" s="1"/>
  <c r="M27" i="31" s="1"/>
  <c r="N27" i="31" s="1"/>
  <c r="O27" i="31" s="1"/>
  <c r="P27" i="31" s="1"/>
  <c r="Q27" i="31" s="1"/>
  <c r="R27" i="31" s="1"/>
  <c r="I26" i="31"/>
  <c r="J26" i="31" s="1"/>
  <c r="K26" i="31" s="1"/>
  <c r="L26" i="31" s="1"/>
  <c r="M26" i="31" s="1"/>
  <c r="N26" i="31" s="1"/>
  <c r="O26" i="31" s="1"/>
  <c r="P26" i="31" s="1"/>
  <c r="Q26" i="31" s="1"/>
  <c r="R26" i="31" s="1"/>
  <c r="I25" i="31"/>
  <c r="J25" i="31" s="1"/>
  <c r="K25" i="31" s="1"/>
  <c r="L25" i="31" s="1"/>
  <c r="M25" i="31" s="1"/>
  <c r="N25" i="31" s="1"/>
  <c r="O25" i="31" s="1"/>
  <c r="P25" i="31" s="1"/>
  <c r="Q25" i="31" s="1"/>
  <c r="R25" i="31" s="1"/>
  <c r="I24" i="31"/>
  <c r="J24" i="31" s="1"/>
  <c r="K24" i="31" s="1"/>
  <c r="L24" i="31" s="1"/>
  <c r="M24" i="31" s="1"/>
  <c r="N24" i="31" s="1"/>
  <c r="O24" i="31" s="1"/>
  <c r="P24" i="31" s="1"/>
  <c r="Q24" i="31" s="1"/>
  <c r="R24" i="31" s="1"/>
  <c r="I23" i="31"/>
  <c r="J23" i="31" s="1"/>
  <c r="K23" i="31" s="1"/>
  <c r="L23" i="31" s="1"/>
  <c r="M23" i="31" s="1"/>
  <c r="N23" i="31" s="1"/>
  <c r="O23" i="31" s="1"/>
  <c r="P23" i="31" s="1"/>
  <c r="Q23" i="31" s="1"/>
  <c r="R23" i="31" s="1"/>
  <c r="I22" i="31"/>
  <c r="J22" i="31" s="1"/>
  <c r="K22" i="31" s="1"/>
  <c r="L22" i="31" s="1"/>
  <c r="M22" i="31" s="1"/>
  <c r="N22" i="31" s="1"/>
  <c r="O22" i="31" s="1"/>
  <c r="P22" i="31" s="1"/>
  <c r="Q22" i="31" s="1"/>
  <c r="R22" i="31" s="1"/>
  <c r="I21" i="31"/>
  <c r="J21" i="31" s="1"/>
  <c r="K21" i="31" s="1"/>
  <c r="L21" i="31" s="1"/>
  <c r="M21" i="31" s="1"/>
  <c r="N21" i="31" s="1"/>
  <c r="O21" i="31" s="1"/>
  <c r="P21" i="31" s="1"/>
  <c r="Q21" i="31" s="1"/>
  <c r="R21" i="31" s="1"/>
  <c r="I20" i="31"/>
  <c r="J20" i="31" s="1"/>
  <c r="K20" i="31" s="1"/>
  <c r="L20" i="31" s="1"/>
  <c r="M20" i="31" s="1"/>
  <c r="N20" i="31" s="1"/>
  <c r="O20" i="31" s="1"/>
  <c r="P20" i="31" s="1"/>
  <c r="Q20" i="31" s="1"/>
  <c r="R20" i="31" s="1"/>
  <c r="I19" i="31"/>
  <c r="J19" i="31" s="1"/>
  <c r="K19" i="31" s="1"/>
  <c r="L19" i="31" s="1"/>
  <c r="M19" i="31" s="1"/>
  <c r="N19" i="31" s="1"/>
  <c r="O19" i="31" s="1"/>
  <c r="P19" i="31" s="1"/>
  <c r="Q19" i="31" s="1"/>
  <c r="R19" i="31" s="1"/>
  <c r="I18" i="31"/>
  <c r="J18" i="31" s="1"/>
  <c r="K18" i="31" s="1"/>
  <c r="L18" i="31" s="1"/>
  <c r="M18" i="31" s="1"/>
  <c r="N18" i="31" s="1"/>
  <c r="O18" i="31" s="1"/>
  <c r="P18" i="31" s="1"/>
  <c r="Q18" i="31" s="1"/>
  <c r="R18" i="31" s="1"/>
  <c r="I17" i="31"/>
  <c r="J17" i="31" s="1"/>
  <c r="K17" i="31" s="1"/>
  <c r="L17" i="31" s="1"/>
  <c r="M17" i="31" s="1"/>
  <c r="N17" i="31" s="1"/>
  <c r="O17" i="31" s="1"/>
  <c r="P17" i="31" s="1"/>
  <c r="Q17" i="31" s="1"/>
  <c r="R17" i="31" s="1"/>
  <c r="I50" i="5" l="1"/>
  <c r="J50" i="5" s="1"/>
  <c r="K50" i="5" s="1"/>
  <c r="L50" i="5" s="1"/>
  <c r="M50" i="5" s="1"/>
  <c r="N50" i="5" s="1"/>
  <c r="O50" i="5" s="1"/>
  <c r="P50" i="5" s="1"/>
  <c r="Q50" i="5" s="1"/>
  <c r="R50" i="5" s="1"/>
  <c r="I49" i="5"/>
  <c r="J49" i="5" s="1"/>
  <c r="K49" i="5" s="1"/>
  <c r="L49" i="5" s="1"/>
  <c r="M49" i="5" s="1"/>
  <c r="N49" i="5" s="1"/>
  <c r="O49" i="5" s="1"/>
  <c r="P49" i="5" s="1"/>
  <c r="Q49" i="5" s="1"/>
  <c r="R49" i="5" s="1"/>
  <c r="I48" i="5"/>
  <c r="J48" i="5" s="1"/>
  <c r="K48" i="5" s="1"/>
  <c r="L48" i="5" s="1"/>
  <c r="M48" i="5" s="1"/>
  <c r="N48" i="5" s="1"/>
  <c r="O48" i="5" s="1"/>
  <c r="P48" i="5" s="1"/>
  <c r="Q48" i="5" s="1"/>
  <c r="R48" i="5" s="1"/>
  <c r="I47" i="5"/>
  <c r="J47" i="5" s="1"/>
  <c r="K47" i="5" s="1"/>
  <c r="L47" i="5" s="1"/>
  <c r="M47" i="5" s="1"/>
  <c r="N47" i="5" s="1"/>
  <c r="O47" i="5" s="1"/>
  <c r="P47" i="5" s="1"/>
  <c r="Q47" i="5" s="1"/>
  <c r="R47" i="5" s="1"/>
  <c r="I46" i="5"/>
  <c r="J46" i="5" s="1"/>
  <c r="K46" i="5" s="1"/>
  <c r="L46" i="5" s="1"/>
  <c r="M46" i="5" s="1"/>
  <c r="N46" i="5" s="1"/>
  <c r="O46" i="5" s="1"/>
  <c r="P46" i="5" s="1"/>
  <c r="Q46" i="5" s="1"/>
  <c r="R46" i="5" s="1"/>
  <c r="I45" i="5"/>
  <c r="J45" i="5" s="1"/>
  <c r="K45" i="5" s="1"/>
  <c r="L45" i="5" s="1"/>
  <c r="M45" i="5" s="1"/>
  <c r="N45" i="5" s="1"/>
  <c r="O45" i="5" s="1"/>
  <c r="P45" i="5" s="1"/>
  <c r="Q45" i="5" s="1"/>
  <c r="R45" i="5" s="1"/>
  <c r="I44" i="5"/>
  <c r="J44" i="5" s="1"/>
  <c r="K44" i="5" s="1"/>
  <c r="L44" i="5" s="1"/>
  <c r="M44" i="5" s="1"/>
  <c r="N44" i="5" s="1"/>
  <c r="O44" i="5" s="1"/>
  <c r="P44" i="5" s="1"/>
  <c r="Q44" i="5" s="1"/>
  <c r="R44" i="5" s="1"/>
  <c r="I43" i="5"/>
  <c r="J43" i="5" s="1"/>
  <c r="K43" i="5" s="1"/>
  <c r="L43" i="5" s="1"/>
  <c r="M43" i="5" s="1"/>
  <c r="N43" i="5" s="1"/>
  <c r="O43" i="5" s="1"/>
  <c r="P43" i="5" s="1"/>
  <c r="Q43" i="5" s="1"/>
  <c r="R43" i="5" s="1"/>
  <c r="I42" i="5"/>
  <c r="J42" i="5" s="1"/>
  <c r="K42" i="5" s="1"/>
  <c r="L42" i="5" s="1"/>
  <c r="M42" i="5" s="1"/>
  <c r="N42" i="5" s="1"/>
  <c r="O42" i="5" s="1"/>
  <c r="P42" i="5" s="1"/>
  <c r="Q42" i="5" s="1"/>
  <c r="R42" i="5" s="1"/>
  <c r="I41" i="5"/>
  <c r="J41" i="5" s="1"/>
  <c r="K41" i="5" s="1"/>
  <c r="L41" i="5" s="1"/>
  <c r="M41" i="5" s="1"/>
  <c r="N41" i="5" s="1"/>
  <c r="O41" i="5" s="1"/>
  <c r="P41" i="5" s="1"/>
  <c r="Q41" i="5" s="1"/>
  <c r="R41" i="5" s="1"/>
  <c r="I6" i="5"/>
  <c r="J6" i="5" s="1"/>
  <c r="K6" i="5" s="1"/>
  <c r="L6" i="5" s="1"/>
  <c r="M6" i="5" s="1"/>
  <c r="N6" i="5" s="1"/>
  <c r="O6" i="5" s="1"/>
  <c r="P6" i="5" s="1"/>
  <c r="Q6" i="5" s="1"/>
  <c r="R6" i="5" s="1"/>
  <c r="J31" i="4"/>
  <c r="K31" i="4" s="1"/>
  <c r="L31" i="4" s="1"/>
  <c r="M31" i="4" s="1"/>
  <c r="N31" i="4" s="1"/>
  <c r="O31" i="4" s="1"/>
  <c r="P31" i="4" s="1"/>
  <c r="Q31" i="4" s="1"/>
  <c r="R31" i="4" s="1"/>
  <c r="S31" i="4" s="1"/>
  <c r="J32" i="4"/>
  <c r="K32" i="4" s="1"/>
  <c r="L32" i="4" s="1"/>
  <c r="M32" i="4" s="1"/>
  <c r="N32" i="4" s="1"/>
  <c r="O32" i="4" s="1"/>
  <c r="P32" i="4" s="1"/>
  <c r="Q32" i="4" s="1"/>
  <c r="R32" i="4" s="1"/>
  <c r="S32" i="4" s="1"/>
  <c r="J39" i="4"/>
  <c r="K39" i="4" s="1"/>
  <c r="L39" i="4" s="1"/>
  <c r="M39" i="4" s="1"/>
  <c r="N39" i="4" s="1"/>
  <c r="O39" i="4" s="1"/>
  <c r="P39" i="4" s="1"/>
  <c r="Q39" i="4" s="1"/>
  <c r="R39" i="4" s="1"/>
  <c r="S39" i="4" s="1"/>
  <c r="J40" i="4"/>
  <c r="K40" i="4" s="1"/>
  <c r="L40" i="4" s="1"/>
  <c r="M40" i="4" s="1"/>
  <c r="N40" i="4" s="1"/>
  <c r="O40" i="4" s="1"/>
  <c r="P40" i="4" s="1"/>
  <c r="Q40" i="4" s="1"/>
  <c r="R40" i="4" s="1"/>
  <c r="S40" i="4" s="1"/>
  <c r="J41" i="4"/>
  <c r="K41" i="4" s="1"/>
  <c r="L41" i="4" s="1"/>
  <c r="M41" i="4" s="1"/>
  <c r="N41" i="4" s="1"/>
  <c r="O41" i="4" s="1"/>
  <c r="P41" i="4" s="1"/>
  <c r="Q41" i="4" s="1"/>
  <c r="R41" i="4" s="1"/>
  <c r="S41" i="4" s="1"/>
  <c r="J42" i="4"/>
  <c r="K42" i="4" s="1"/>
  <c r="L42" i="4" s="1"/>
  <c r="M42" i="4" s="1"/>
  <c r="N42" i="4" s="1"/>
  <c r="O42" i="4" s="1"/>
  <c r="P42" i="4" s="1"/>
  <c r="Q42" i="4" s="1"/>
  <c r="R42" i="4" s="1"/>
  <c r="S42" i="4" s="1"/>
  <c r="J43" i="4"/>
  <c r="K43" i="4" s="1"/>
  <c r="L43" i="4" s="1"/>
  <c r="M43" i="4" s="1"/>
  <c r="N43" i="4" s="1"/>
  <c r="O43" i="4" s="1"/>
  <c r="P43" i="4" s="1"/>
  <c r="Q43" i="4" s="1"/>
  <c r="R43" i="4" s="1"/>
  <c r="S43" i="4" s="1"/>
  <c r="J44" i="4"/>
  <c r="K44" i="4" s="1"/>
  <c r="L44" i="4" s="1"/>
  <c r="M44" i="4" s="1"/>
  <c r="N44" i="4" s="1"/>
  <c r="O44" i="4" s="1"/>
  <c r="P44" i="4" s="1"/>
  <c r="Q44" i="4" s="1"/>
  <c r="R44" i="4" s="1"/>
  <c r="S44" i="4" s="1"/>
  <c r="J45" i="4"/>
  <c r="K45" i="4" s="1"/>
  <c r="L45" i="4" s="1"/>
  <c r="M45" i="4" s="1"/>
  <c r="N45" i="4" s="1"/>
  <c r="O45" i="4" s="1"/>
  <c r="P45" i="4" s="1"/>
  <c r="Q45" i="4" s="1"/>
  <c r="R45" i="4" s="1"/>
  <c r="S45" i="4" s="1"/>
  <c r="J46" i="4"/>
  <c r="K46" i="4" s="1"/>
  <c r="L46" i="4" s="1"/>
  <c r="M46" i="4" s="1"/>
  <c r="N46" i="4" s="1"/>
  <c r="O46" i="4" s="1"/>
  <c r="P46" i="4" s="1"/>
  <c r="Q46" i="4" s="1"/>
  <c r="R46" i="4" s="1"/>
  <c r="S46" i="4" s="1"/>
  <c r="J47" i="4"/>
  <c r="K47" i="4" s="1"/>
  <c r="L47" i="4" s="1"/>
  <c r="M47" i="4" s="1"/>
  <c r="N47" i="4" s="1"/>
  <c r="O47" i="4" s="1"/>
  <c r="P47" i="4" s="1"/>
  <c r="Q47" i="4" s="1"/>
  <c r="R47" i="4" s="1"/>
  <c r="S47" i="4" s="1"/>
  <c r="J48" i="4"/>
  <c r="K48" i="4" s="1"/>
  <c r="L48" i="4" s="1"/>
  <c r="M48" i="4" s="1"/>
  <c r="N48" i="4" s="1"/>
  <c r="O48" i="4" s="1"/>
  <c r="P48" i="4" s="1"/>
  <c r="Q48" i="4" s="1"/>
  <c r="R48" i="4" s="1"/>
  <c r="S48" i="4" s="1"/>
  <c r="J49" i="4"/>
  <c r="K49" i="4" s="1"/>
  <c r="L49" i="4" s="1"/>
  <c r="M49" i="4" s="1"/>
  <c r="N49" i="4" s="1"/>
  <c r="O49" i="4" s="1"/>
  <c r="P49" i="4" s="1"/>
  <c r="Q49" i="4" s="1"/>
  <c r="R49" i="4" s="1"/>
  <c r="S49" i="4" s="1"/>
  <c r="J50" i="4"/>
  <c r="K50" i="4" s="1"/>
  <c r="L50" i="4" s="1"/>
  <c r="M50" i="4" s="1"/>
  <c r="N50" i="4" s="1"/>
  <c r="O50" i="4" s="1"/>
  <c r="P50" i="4" s="1"/>
  <c r="Q50" i="4" s="1"/>
  <c r="R50" i="4" s="1"/>
  <c r="S50" i="4" s="1"/>
  <c r="D3" i="5"/>
  <c r="D3" i="4"/>
</calcChain>
</file>

<file path=xl/comments1.xml><?xml version="1.0" encoding="utf-8"?>
<comments xmlns="http://schemas.openxmlformats.org/spreadsheetml/2006/main">
  <authors>
    <author>Lhammoumi, Meryem</author>
  </authors>
  <commentList>
    <comment ref="K10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Avec PG wet stack</t>
        </r>
      </text>
    </comment>
    <comment ref="K14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hors PG 
à ajouter le PG</t>
        </r>
      </text>
    </comment>
  </commentList>
</comments>
</file>

<file path=xl/comments2.xml><?xml version="1.0" encoding="utf-8"?>
<comments xmlns="http://schemas.openxmlformats.org/spreadsheetml/2006/main">
  <authors>
    <author>Yassine WAJIH</author>
  </authors>
  <commentList>
    <comment ref="M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3.xml><?xml version="1.0" encoding="utf-8"?>
<comments xmlns="http://schemas.openxmlformats.org/spreadsheetml/2006/main">
  <authors>
    <author>Yassine WAJIH</author>
  </authors>
  <commentList>
    <comment ref="N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O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sharedStrings.xml><?xml version="1.0" encoding="utf-8"?>
<sst xmlns="http://schemas.openxmlformats.org/spreadsheetml/2006/main" count="4705" uniqueCount="473">
  <si>
    <t>Benguerir Nord</t>
  </si>
  <si>
    <t>Benguerir Sud</t>
  </si>
  <si>
    <t>Bouchane</t>
  </si>
  <si>
    <t>Mzinda</t>
  </si>
  <si>
    <t>Tassaout</t>
  </si>
  <si>
    <t>Meskala</t>
  </si>
  <si>
    <t>Louta</t>
  </si>
  <si>
    <t>MINING dictionary</t>
  </si>
  <si>
    <t>Location</t>
  </si>
  <si>
    <t>Benguerir</t>
  </si>
  <si>
    <t>Nzalat</t>
  </si>
  <si>
    <t>MINING options</t>
  </si>
  <si>
    <t>Item</t>
  </si>
  <si>
    <t>Raw water</t>
  </si>
  <si>
    <t>Sea water</t>
  </si>
  <si>
    <t>Electricity</t>
  </si>
  <si>
    <t>Fuel</t>
  </si>
  <si>
    <t>Unit</t>
  </si>
  <si>
    <t>MT</t>
  </si>
  <si>
    <t>BT</t>
  </si>
  <si>
    <t>TBT</t>
  </si>
  <si>
    <t>MINING capex</t>
  </si>
  <si>
    <t>Total</t>
  </si>
  <si>
    <t>OPEX</t>
  </si>
  <si>
    <t>Product</t>
  </si>
  <si>
    <t>Process</t>
  </si>
  <si>
    <t>Safi</t>
  </si>
  <si>
    <t>SPH</t>
  </si>
  <si>
    <t>Essouira</t>
  </si>
  <si>
    <t>ACS</t>
  </si>
  <si>
    <t>Name</t>
  </si>
  <si>
    <t>Steam MP</t>
  </si>
  <si>
    <t>Steam BP</t>
  </si>
  <si>
    <t>Steam HP</t>
  </si>
  <si>
    <t>Sulfur</t>
  </si>
  <si>
    <t>K09</t>
  </si>
  <si>
    <t>Existing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</si>
  <si>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</si>
  <si>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</si>
  <si>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</si>
  <si>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</si>
  <si>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</si>
  <si>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</si>
  <si>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</si>
  <si>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</si>
  <si>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</si>
  <si>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</si>
  <si>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</si>
  <si>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Quality</t>
  </si>
  <si>
    <t>Extraction</t>
  </si>
  <si>
    <t>Mt/y</t>
  </si>
  <si>
    <t>MtSM/y</t>
  </si>
  <si>
    <t>Common dictionary</t>
  </si>
  <si>
    <t>Jorf</t>
  </si>
  <si>
    <t>Casablanca</t>
  </si>
  <si>
    <t>t/tP2O5</t>
  </si>
  <si>
    <t>t/tSM</t>
  </si>
  <si>
    <t>t/tProduced</t>
  </si>
  <si>
    <t>t/kwh</t>
  </si>
  <si>
    <t>m3/tP2O5</t>
  </si>
  <si>
    <t>m3/tSM</t>
  </si>
  <si>
    <t>m3/tProduced</t>
  </si>
  <si>
    <t>m3/kwh</t>
  </si>
  <si>
    <t>kwh/tP2O5</t>
  </si>
  <si>
    <t>kwh/tSM</t>
  </si>
  <si>
    <t>kwh/tProduced</t>
  </si>
  <si>
    <t>kt/y</t>
  </si>
  <si>
    <t>ktP2O5/y</t>
  </si>
  <si>
    <t>Currency</t>
  </si>
  <si>
    <t>m$</t>
  </si>
  <si>
    <t>Status</t>
  </si>
  <si>
    <t>-5</t>
  </si>
  <si>
    <t>-4</t>
  </si>
  <si>
    <t>-3</t>
  </si>
  <si>
    <t>-2</t>
  </si>
  <si>
    <t>-1</t>
  </si>
  <si>
    <t>1</t>
  </si>
  <si>
    <t>2</t>
  </si>
  <si>
    <t>3</t>
  </si>
  <si>
    <t>4</t>
  </si>
  <si>
    <t>mDH</t>
  </si>
  <si>
    <t>MAP</t>
  </si>
  <si>
    <t>DAP</t>
  </si>
  <si>
    <t>NPK</t>
  </si>
  <si>
    <t>TSP</t>
  </si>
  <si>
    <t>MCP</t>
  </si>
  <si>
    <t>Mm3/y</t>
  </si>
  <si>
    <t>Mw</t>
  </si>
  <si>
    <t>t/m3</t>
  </si>
  <si>
    <t>kwh/m3</t>
  </si>
  <si>
    <t>Youssoufia</t>
  </si>
  <si>
    <t>Mine to farm inputs template</t>
  </si>
  <si>
    <t>#NA</t>
  </si>
  <si>
    <t>Mine/Name</t>
  </si>
  <si>
    <t>Mine/Extraction</t>
  </si>
  <si>
    <t>Mine/Quality</t>
  </si>
  <si>
    <t>Mine/CAPEX</t>
  </si>
  <si>
    <t>Output</t>
  </si>
  <si>
    <t>ByProduct</t>
  </si>
  <si>
    <t>Waste</t>
  </si>
  <si>
    <t>$/m3</t>
  </si>
  <si>
    <t>Names</t>
  </si>
  <si>
    <t>Laverie Youssoufia</t>
  </si>
  <si>
    <t>Laverie BG</t>
  </si>
  <si>
    <t>Laverie BG ext</t>
  </si>
  <si>
    <t>Laverie MP2</t>
  </si>
  <si>
    <t>MPH1</t>
  </si>
  <si>
    <t>MPH2</t>
  </si>
  <si>
    <t>MPH3</t>
  </si>
  <si>
    <t>MPH4</t>
  </si>
  <si>
    <t>MPH5</t>
  </si>
  <si>
    <t>SPH1</t>
  </si>
  <si>
    <t>SPH2</t>
  </si>
  <si>
    <t>SPH3</t>
  </si>
  <si>
    <t>SPH4</t>
  </si>
  <si>
    <t>SPH5</t>
  </si>
  <si>
    <t>SPH6</t>
  </si>
  <si>
    <t>SPH7</t>
  </si>
  <si>
    <t>SPH8</t>
  </si>
  <si>
    <t>GRANUL1</t>
  </si>
  <si>
    <t>GRANUL2</t>
  </si>
  <si>
    <t>GRANUL3</t>
  </si>
  <si>
    <t>GRANUL4</t>
  </si>
  <si>
    <t>GRANUL5</t>
  </si>
  <si>
    <t>SAP1</t>
  </si>
  <si>
    <t>SAP2</t>
  </si>
  <si>
    <t>SAP3</t>
  </si>
  <si>
    <t>SAP4</t>
  </si>
  <si>
    <t>SAP5</t>
  </si>
  <si>
    <t>$/tP2O5</t>
  </si>
  <si>
    <t>$/tSM</t>
  </si>
  <si>
    <t>$/kwh</t>
  </si>
  <si>
    <t>%</t>
  </si>
  <si>
    <t>$/tProduced</t>
  </si>
  <si>
    <t>MINING opex &amp; specific consumptions</t>
  </si>
  <si>
    <t>MINING specific production</t>
  </si>
  <si>
    <t>tP2O5/tP2O5</t>
  </si>
  <si>
    <t>G10</t>
  </si>
  <si>
    <t>ACP 54</t>
  </si>
  <si>
    <t>Mt</t>
  </si>
  <si>
    <t>Products</t>
  </si>
  <si>
    <t>K10</t>
  </si>
  <si>
    <t>MSP</t>
  </si>
  <si>
    <t>ktP2O5</t>
  </si>
  <si>
    <t>StartingDate</t>
  </si>
  <si>
    <t>CAPEX</t>
  </si>
  <si>
    <t>New</t>
  </si>
  <si>
    <t>tSM/t</t>
  </si>
  <si>
    <t>ClosingDate</t>
  </si>
  <si>
    <t>Moniker</t>
  </si>
  <si>
    <t>Nbre Mangers</t>
  </si>
  <si>
    <t>Nbre Supervisors</t>
  </si>
  <si>
    <t>Nbre Operators</t>
  </si>
  <si>
    <t>O2</t>
  </si>
  <si>
    <t>Mwh/tProduced</t>
  </si>
  <si>
    <t>Nbre</t>
  </si>
  <si>
    <t>Co-product</t>
  </si>
  <si>
    <t>SAP &amp; Power plant dictionary</t>
  </si>
  <si>
    <t>SAP/Name</t>
  </si>
  <si>
    <t>SAP/Process</t>
  </si>
  <si>
    <t>Type</t>
  </si>
  <si>
    <t>SAP/CAPEX</t>
  </si>
  <si>
    <t>SAP/Capacity[kt]</t>
  </si>
  <si>
    <t>SAP EXISTING SITE</t>
  </si>
  <si>
    <t>DA-HRS</t>
  </si>
  <si>
    <t>Core SO2</t>
  </si>
  <si>
    <t>OSBL</t>
  </si>
  <si>
    <t>SAFI EXISTING SITE</t>
  </si>
  <si>
    <t>SO2</t>
  </si>
  <si>
    <t>ISBL</t>
  </si>
  <si>
    <t>SAP6</t>
  </si>
  <si>
    <t>SAP7</t>
  </si>
  <si>
    <t>SAP8</t>
  </si>
  <si>
    <t>SAP9</t>
  </si>
  <si>
    <t>SAP10</t>
  </si>
  <si>
    <t>SAP11</t>
  </si>
  <si>
    <t>SAP &amp; Power plant options</t>
  </si>
  <si>
    <t>SAP &amp; Power plant production</t>
  </si>
  <si>
    <t>SAP &amp; Power plant opex &amp; specific consumptions</t>
  </si>
  <si>
    <t>SAP &amp; Power plant capex</t>
  </si>
  <si>
    <t>Décomposition du capex de la 5ème année avant le démarrage à la 5ème après le démarrage</t>
  </si>
  <si>
    <t>Sales plan</t>
  </si>
  <si>
    <t>MtSM</t>
  </si>
  <si>
    <t>Raw materials</t>
  </si>
  <si>
    <t>HNO3</t>
  </si>
  <si>
    <t>HCl</t>
  </si>
  <si>
    <t>Rock</t>
  </si>
  <si>
    <t>TSM/TP2O5</t>
  </si>
  <si>
    <t>tSM/tP2O5</t>
  </si>
  <si>
    <t>PAP dictionary</t>
  </si>
  <si>
    <t>PAP/Name</t>
  </si>
  <si>
    <t>PAP/Process</t>
  </si>
  <si>
    <t>PAP/CAPEX</t>
  </si>
  <si>
    <t>PAP/Size[ktP2O5]</t>
  </si>
  <si>
    <t>PAP/Input</t>
  </si>
  <si>
    <t>PAP1</t>
  </si>
  <si>
    <t>DH</t>
  </si>
  <si>
    <t>PAP2</t>
  </si>
  <si>
    <t>DH-HH</t>
  </si>
  <si>
    <t>Grinding</t>
  </si>
  <si>
    <t>PAP3</t>
  </si>
  <si>
    <t>PROCESS SAFI EXISTANT</t>
  </si>
  <si>
    <t>Gypsum</t>
  </si>
  <si>
    <t>Concentration</t>
  </si>
  <si>
    <t>PAP4</t>
  </si>
  <si>
    <t>Fluor (FSA)</t>
  </si>
  <si>
    <t>Uranium Unit</t>
  </si>
  <si>
    <t>PAP5</t>
  </si>
  <si>
    <t xml:space="preserve">Cadmium </t>
  </si>
  <si>
    <t>Decadmiation</t>
  </si>
  <si>
    <t>PAP6</t>
  </si>
  <si>
    <t>Uranium</t>
  </si>
  <si>
    <t>Defluorination</t>
  </si>
  <si>
    <t>PAP7</t>
  </si>
  <si>
    <t>Sulfate Removal</t>
  </si>
  <si>
    <t>PAP8</t>
  </si>
  <si>
    <t>Dearsenation</t>
  </si>
  <si>
    <t>PAP9</t>
  </si>
  <si>
    <t>Purification</t>
  </si>
  <si>
    <t>PAP10</t>
  </si>
  <si>
    <t xml:space="preserve">Super polyphosphate </t>
  </si>
  <si>
    <t>PAP11</t>
  </si>
  <si>
    <t>PAP12</t>
  </si>
  <si>
    <t>PAP13</t>
  </si>
  <si>
    <t>PAP14</t>
  </si>
  <si>
    <t>PAP15</t>
  </si>
  <si>
    <t>PAP16</t>
  </si>
  <si>
    <t xml:space="preserve">PAP SAFI EXISTING </t>
  </si>
  <si>
    <t>PAP options</t>
  </si>
  <si>
    <t>PAP production</t>
  </si>
  <si>
    <t>Input</t>
  </si>
  <si>
    <t>PAP opex &amp; specific consumptions</t>
  </si>
  <si>
    <t>PAP capex</t>
  </si>
  <si>
    <t>Acid</t>
  </si>
  <si>
    <t>Fertilizer</t>
  </si>
  <si>
    <t>Granulation dictionary</t>
  </si>
  <si>
    <t>Granulation/Name</t>
  </si>
  <si>
    <t>Granulation/Process</t>
  </si>
  <si>
    <t>Granulation/Product</t>
  </si>
  <si>
    <t>Granulation/CAPEX</t>
  </si>
  <si>
    <t>Granulation/Input</t>
  </si>
  <si>
    <t>Infrastructure</t>
  </si>
  <si>
    <t>NPS</t>
  </si>
  <si>
    <t>ASP</t>
  </si>
  <si>
    <t>DCP</t>
  </si>
  <si>
    <t>Granulation options</t>
  </si>
  <si>
    <t>Granulation production</t>
  </si>
  <si>
    <t>Granulation opex</t>
  </si>
  <si>
    <t>Granulation capex</t>
  </si>
  <si>
    <t>Logistics dictionary</t>
  </si>
  <si>
    <t>Logistics/Process</t>
  </si>
  <si>
    <t>Logistics/Product</t>
  </si>
  <si>
    <t>Logistics/CAPEX</t>
  </si>
  <si>
    <t>Logistics/Name</t>
  </si>
  <si>
    <t>Train</t>
  </si>
  <si>
    <t>Pipe BG-SPH</t>
  </si>
  <si>
    <t>Pipeline</t>
  </si>
  <si>
    <t>ACP</t>
  </si>
  <si>
    <t>Conv BG-LavBG</t>
  </si>
  <si>
    <t>Belt conveyor</t>
  </si>
  <si>
    <t>Electrical equipments</t>
  </si>
  <si>
    <t>Truck</t>
  </si>
  <si>
    <t>Water</t>
  </si>
  <si>
    <t>Mechanical equipments</t>
  </si>
  <si>
    <t>Logistics options</t>
  </si>
  <si>
    <t>Upstream</t>
  </si>
  <si>
    <t>Downstream</t>
  </si>
  <si>
    <t>Method</t>
  </si>
  <si>
    <t>Capacity</t>
  </si>
  <si>
    <t>Logistics opex</t>
  </si>
  <si>
    <t>Logistics capex</t>
  </si>
  <si>
    <t xml:space="preserve"> </t>
  </si>
  <si>
    <t>$/t</t>
  </si>
  <si>
    <t>Beneficiation dictionary</t>
  </si>
  <si>
    <t>Beneficiation/Name</t>
  </si>
  <si>
    <t>Beneficiation/Process</t>
  </si>
  <si>
    <t>Beneficiation/Quality</t>
  </si>
  <si>
    <t>Beneficiation/CAPEX</t>
  </si>
  <si>
    <t>YCC</t>
  </si>
  <si>
    <t>Beneficiation options</t>
  </si>
  <si>
    <t>Beneficiation production</t>
  </si>
  <si>
    <t>InputQuality</t>
  </si>
  <si>
    <t>OutputQuality</t>
  </si>
  <si>
    <t>Beneficiation opex &amp; specific consumptions</t>
  </si>
  <si>
    <t>Beneficiation capex</t>
  </si>
  <si>
    <t>BG WP</t>
  </si>
  <si>
    <t>LF</t>
  </si>
  <si>
    <t>Calcination</t>
  </si>
  <si>
    <t>Nzalat WP</t>
  </si>
  <si>
    <t>Youssoufia Calciné</t>
  </si>
  <si>
    <t>Chimie</t>
  </si>
  <si>
    <t>Tassaout WP</t>
  </si>
  <si>
    <t>Youssoufia LF</t>
  </si>
  <si>
    <t>Louta WP</t>
  </si>
  <si>
    <t>Youssoufia LF &amp; Séché</t>
  </si>
  <si>
    <t>Youssoufia LF &amp; Calciné</t>
  </si>
  <si>
    <t>Youssoufia WP</t>
  </si>
  <si>
    <t>Humidity</t>
  </si>
  <si>
    <t>Wet</t>
  </si>
  <si>
    <t/>
  </si>
  <si>
    <t>mMAD</t>
  </si>
  <si>
    <t>Granulation/Capacities[kt]</t>
  </si>
  <si>
    <t>Definie</t>
  </si>
  <si>
    <t>HT</t>
  </si>
  <si>
    <t>Export</t>
  </si>
  <si>
    <t>Youssoufia Calcination</t>
  </si>
  <si>
    <t>Granul1</t>
  </si>
  <si>
    <t>Granul2</t>
  </si>
  <si>
    <t>Granul3</t>
  </si>
  <si>
    <t>Granul4</t>
  </si>
  <si>
    <t>Granul5</t>
  </si>
  <si>
    <t>Granul6</t>
  </si>
  <si>
    <t>Granul7</t>
  </si>
  <si>
    <t>Granul8</t>
  </si>
  <si>
    <t>TSP1</t>
  </si>
  <si>
    <t>TSP2</t>
  </si>
  <si>
    <t>TSP3</t>
  </si>
  <si>
    <t>MCP1</t>
  </si>
  <si>
    <t>DCP1</t>
  </si>
  <si>
    <t>MCP2</t>
  </si>
  <si>
    <t>DCP2</t>
  </si>
  <si>
    <t>BULKBLEND1</t>
  </si>
  <si>
    <t>BULKBLEND2</t>
  </si>
  <si>
    <t>BULKBLEND3</t>
  </si>
  <si>
    <t>BULKBLEND4</t>
  </si>
  <si>
    <t>STEAMBLEND1</t>
  </si>
  <si>
    <t>STEAMBLEND2</t>
  </si>
  <si>
    <t>STEAMBLEND3</t>
  </si>
  <si>
    <t>STEAMBLEND4</t>
  </si>
  <si>
    <t>UREE</t>
  </si>
  <si>
    <t>MOP</t>
  </si>
  <si>
    <t>SOP</t>
  </si>
  <si>
    <t>SAN</t>
  </si>
  <si>
    <t>Cu2O</t>
  </si>
  <si>
    <t>ZnO</t>
  </si>
  <si>
    <t>S</t>
  </si>
  <si>
    <t>B2O3</t>
  </si>
  <si>
    <t>kt</t>
  </si>
  <si>
    <t>Defoamer</t>
  </si>
  <si>
    <t>Kg/tProduced</t>
  </si>
  <si>
    <t>Coating Oil</t>
  </si>
  <si>
    <t>Maintenance</t>
  </si>
  <si>
    <t>Man power</t>
  </si>
  <si>
    <t>Number</t>
  </si>
  <si>
    <t>CaCO3</t>
  </si>
  <si>
    <t>NH3</t>
  </si>
  <si>
    <t>Filler</t>
  </si>
  <si>
    <t>Monoproduit</t>
  </si>
  <si>
    <t>ProductionSite</t>
  </si>
  <si>
    <t>Morocco</t>
  </si>
  <si>
    <t>Multiproduits</t>
  </si>
  <si>
    <t>Market</t>
  </si>
  <si>
    <t>Benguerir 1</t>
  </si>
  <si>
    <t>Benguerir 2</t>
  </si>
  <si>
    <t>Tassaout 1</t>
  </si>
  <si>
    <t>Tassaout 2</t>
  </si>
  <si>
    <t>Tassaout 3</t>
  </si>
  <si>
    <t>DH/tProduced</t>
  </si>
  <si>
    <t>Connection matrix Mine to Beneficiation</t>
  </si>
  <si>
    <t>Mine/Benef</t>
  </si>
  <si>
    <t>Associated_pap</t>
  </si>
  <si>
    <t>/PAP/Safi/PAP SAFI EXISTING /PROCESS SAFI EXISTANT/1500/Existing/2019/2100</t>
  </si>
  <si>
    <t>0</t>
  </si>
  <si>
    <t>DAP/MAP/NPK/NPS/ASP</t>
  </si>
  <si>
    <t>DAP/MAP/NPK/NPS/ASP/TSP</t>
  </si>
  <si>
    <t>Conversion Matrix</t>
  </si>
  <si>
    <t>Uniform Unit</t>
  </si>
  <si>
    <t>Conversion Rate</t>
  </si>
  <si>
    <t>t/y</t>
  </si>
  <si>
    <t>tSM/y</t>
  </si>
  <si>
    <t>tP2O5/y</t>
  </si>
  <si>
    <t>m3/y</t>
  </si>
  <si>
    <t>t</t>
  </si>
  <si>
    <t>tP2O5</t>
  </si>
  <si>
    <t>tSM</t>
  </si>
  <si>
    <t>$</t>
  </si>
  <si>
    <t>Checking if all conversion units and rates are filled</t>
  </si>
  <si>
    <t>PriorityMines</t>
  </si>
  <si>
    <t>MCP/DCP</t>
  </si>
  <si>
    <t>ChemicalGranulation</t>
  </si>
  <si>
    <t>SteamGranulation</t>
  </si>
  <si>
    <t>BulkBlending</t>
  </si>
  <si>
    <t>ProcessSiteExistant</t>
  </si>
  <si>
    <t>PipeT2BG1</t>
  </si>
  <si>
    <t>WP2WP</t>
  </si>
  <si>
    <t>PipeT2BG2</t>
  </si>
  <si>
    <t>PipeT2BG3</t>
  </si>
  <si>
    <t>PipeT2BG4</t>
  </si>
  <si>
    <t>PipeT2BG5</t>
  </si>
  <si>
    <t>PipeT2BG6</t>
  </si>
  <si>
    <t>PipeT2BG7</t>
  </si>
  <si>
    <t>PipeT2BG8</t>
  </si>
  <si>
    <t>PipeNz2BG1</t>
  </si>
  <si>
    <t>PipeNz2BG2</t>
  </si>
  <si>
    <t>PipeNz2BG3</t>
  </si>
  <si>
    <t>PipeYfia2Mz1</t>
  </si>
  <si>
    <t>WP2PAP</t>
  </si>
  <si>
    <t>PipeYfia2Mz2</t>
  </si>
  <si>
    <t>PipeYfia2Mz3</t>
  </si>
  <si>
    <t>PipeYfia2Mz4</t>
  </si>
  <si>
    <t>PipeYfia2Mz5</t>
  </si>
  <si>
    <t>PipeBG2Yfia1</t>
  </si>
  <si>
    <t>PipeBG2Yfia2</t>
  </si>
  <si>
    <t>PipeBG2Yfia3</t>
  </si>
  <si>
    <t>PipeBG2Yfia4</t>
  </si>
  <si>
    <t>PipeBG2Yfia5</t>
  </si>
  <si>
    <t>PipeBG2Yfia6</t>
  </si>
  <si>
    <t>PipeBG2Yfia7</t>
  </si>
  <si>
    <t>PipeBG2Mz1</t>
  </si>
  <si>
    <t>PipeBG2Mz2</t>
  </si>
  <si>
    <t>PipeBG2Mz3</t>
  </si>
  <si>
    <t>PipeBG2Mz4</t>
  </si>
  <si>
    <t>PipeBG2Mz5</t>
  </si>
  <si>
    <t>PipeBG2Mz6</t>
  </si>
  <si>
    <t>PipeBG2Mz7</t>
  </si>
  <si>
    <t>PipeYfia2Safi1</t>
  </si>
  <si>
    <t>PipeYfia2Safi2</t>
  </si>
  <si>
    <t>PipeYfia2Safi3</t>
  </si>
  <si>
    <t>PipeYfia2Safi4</t>
  </si>
  <si>
    <t>PipeYfia2Safi5</t>
  </si>
  <si>
    <t>ConvT2BG1</t>
  </si>
  <si>
    <t>ConvT2BG2</t>
  </si>
  <si>
    <t>ConvT2BG3</t>
  </si>
  <si>
    <t>ConvT2BG4</t>
  </si>
  <si>
    <t>ConvT2BG5</t>
  </si>
  <si>
    <t>ConvT2BG6</t>
  </si>
  <si>
    <t>ConvT2BG7</t>
  </si>
  <si>
    <t>ConvT2BG8</t>
  </si>
  <si>
    <t>ConvNz2BG1</t>
  </si>
  <si>
    <t>ConvNz2BG2</t>
  </si>
  <si>
    <t>ConvNz2BG3</t>
  </si>
  <si>
    <t>ConvYfia2Mz1</t>
  </si>
  <si>
    <t>ConvYfia2Mz2</t>
  </si>
  <si>
    <t>ConvYfia2Mz3</t>
  </si>
  <si>
    <t>ConvYfia2Mz4</t>
  </si>
  <si>
    <t>ConvYfia2Mz5</t>
  </si>
  <si>
    <t>ConvBG2Yfia1</t>
  </si>
  <si>
    <t>ConvBG2Yfia2</t>
  </si>
  <si>
    <t>ConvBG2Yfia3</t>
  </si>
  <si>
    <t>ConvBG2Yfia4</t>
  </si>
  <si>
    <t>ConvBG2Yfia5</t>
  </si>
  <si>
    <t>ConvBG2Yfia6</t>
  </si>
  <si>
    <t>ConvBG2Yfia7</t>
  </si>
  <si>
    <t>ConvBG2Mz1</t>
  </si>
  <si>
    <t>ConvBG2Mz2</t>
  </si>
  <si>
    <t>ConvBG2Mz3</t>
  </si>
  <si>
    <t>ConvBG2Mz4</t>
  </si>
  <si>
    <t>ConvBG2Mz5</t>
  </si>
  <si>
    <t>ConvBG2Mz6</t>
  </si>
  <si>
    <t>ConvBG2Mz7</t>
  </si>
  <si>
    <t>ConvYfia2Safi1</t>
  </si>
  <si>
    <t>ConvYfia2Safi2</t>
  </si>
  <si>
    <t>ConvYfia2Safi3</t>
  </si>
  <si>
    <t>ConvYfia2Safi4</t>
  </si>
  <si>
    <t>ConvYfia2Safi5</t>
  </si>
  <si>
    <t>LayerToLayer</t>
  </si>
  <si>
    <t>/PAP/Safi/PAP SAFI EXISTING /PROCESS SAFI EXISTANT/1500/Existing/2018/2024</t>
  </si>
  <si>
    <t>/PAP/Safi/PAP SAFI EXISTING /PROCESS SAFI EXISTANT/1500/Existing/2018/2030</t>
  </si>
  <si>
    <t>ACP 29</t>
  </si>
  <si>
    <t>PAPLocation</t>
  </si>
  <si>
    <t>NA</t>
  </si>
  <si>
    <t>TrainBG2Yfia1</t>
  </si>
  <si>
    <t>TrainYfia2Safi1</t>
  </si>
  <si>
    <t>TrainBG2Safi1</t>
  </si>
  <si>
    <t>WP2Port</t>
  </si>
  <si>
    <t>Exist</t>
  </si>
  <si>
    <t>Conveyor</t>
  </si>
  <si>
    <t>basecase</t>
  </si>
  <si>
    <t>127.0.0.1</t>
  </si>
  <si>
    <t>DS HOST</t>
  </si>
  <si>
    <t>DS PORT</t>
  </si>
  <si>
    <t>DB NAME</t>
  </si>
  <si>
    <t>Extension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</si>
</sst>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#,##0.0"/>
    <numFmt numFmtId="165" formatCode="0.0"/>
    <numFmt numFmtId="166" formatCode="_-* #,##0_-;\-* #,##0_-;_-* &quot;-&quot;??_-;_-@_-"/>
  </numFmts>
  <fonts count="12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154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3" borderId="0" xfId="0" applyFill="1"/>
    <xf numFmtId="0" fontId="2" fillId="3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2" fontId="0" fillId="4" borderId="5" xfId="0" applyNumberForma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1" fontId="0" fillId="4" borderId="6" xfId="0" applyNumberFormat="1" applyFill="1" applyBorder="1" applyAlignment="1">
      <alignment horizontal="center" vertical="center"/>
    </xf>
    <xf numFmtId="4" fontId="0" fillId="4" borderId="4" xfId="0" applyNumberFormat="1" applyFill="1" applyBorder="1" applyAlignment="1">
      <alignment horizontal="center" vertical="center"/>
    </xf>
    <xf numFmtId="4" fontId="0" fillId="4" borderId="5" xfId="0" applyNumberFormat="1" applyFill="1" applyBorder="1" applyAlignment="1">
      <alignment horizontal="center" vertical="center"/>
    </xf>
    <xf numFmtId="164" fontId="0" fillId="4" borderId="4" xfId="0" applyNumberFormat="1" applyFill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0" fontId="2" fillId="3" borderId="2" xfId="0" quotePrefix="1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left" vertical="center"/>
    </xf>
    <xf numFmtId="0" fontId="0" fillId="5" borderId="0" xfId="0" applyFill="1"/>
    <xf numFmtId="0" fontId="1" fillId="6" borderId="0" xfId="0" applyFont="1" applyFill="1" applyAlignment="1">
      <alignment horizontal="left" vertical="center"/>
    </xf>
    <xf numFmtId="0" fontId="0" fillId="6" borderId="0" xfId="0" applyFill="1"/>
    <xf numFmtId="9" fontId="0" fillId="4" borderId="4" xfId="1" applyFont="1" applyFill="1" applyBorder="1" applyAlignment="1">
      <alignment horizontal="center" vertical="center"/>
    </xf>
    <xf numFmtId="9" fontId="0" fillId="4" borderId="5" xfId="1" applyFont="1" applyFill="1" applyBorder="1" applyAlignment="1">
      <alignment horizontal="center" vertical="center"/>
    </xf>
    <xf numFmtId="164" fontId="0" fillId="4" borderId="6" xfId="0" applyNumberFormat="1" applyFill="1" applyBorder="1" applyAlignment="1">
      <alignment horizontal="center" vertical="center"/>
    </xf>
    <xf numFmtId="0" fontId="0" fillId="4" borderId="4" xfId="0" applyFill="1" applyBorder="1" applyProtection="1">
      <protection locked="0"/>
    </xf>
    <xf numFmtId="0" fontId="0" fillId="4" borderId="4" xfId="0" applyFill="1" applyBorder="1" applyProtection="1"/>
    <xf numFmtId="0" fontId="0" fillId="2" borderId="0" xfId="0" applyFill="1" applyProtection="1">
      <protection locked="0"/>
    </xf>
    <xf numFmtId="0" fontId="2" fillId="5" borderId="2" xfId="0" applyFont="1" applyFill="1" applyBorder="1" applyAlignment="1" applyProtection="1">
      <alignment horizontal="center" vertical="center" wrapText="1"/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3" borderId="0" xfId="0" applyFont="1" applyFill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2" fillId="3" borderId="2" xfId="0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>
      <alignment horizontal="left" vertical="center"/>
    </xf>
    <xf numFmtId="3" fontId="0" fillId="4" borderId="5" xfId="1" applyNumberFormat="1" applyFont="1" applyFill="1" applyBorder="1" applyAlignment="1">
      <alignment horizontal="center" vertical="center"/>
    </xf>
    <xf numFmtId="4" fontId="0" fillId="7" borderId="4" xfId="0" applyNumberFormat="1" applyFill="1" applyBorder="1" applyAlignment="1">
      <alignment horizontal="center" vertical="center"/>
    </xf>
    <xf numFmtId="4" fontId="0" fillId="7" borderId="5" xfId="0" applyNumberFormat="1" applyFill="1" applyBorder="1" applyAlignment="1">
      <alignment horizontal="center" vertical="center"/>
    </xf>
    <xf numFmtId="4" fontId="0" fillId="7" borderId="6" xfId="0" applyNumberForma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9" fontId="0" fillId="4" borderId="6" xfId="1" applyFont="1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4" fontId="0" fillId="4" borderId="6" xfId="0" applyNumberFormat="1" applyFill="1" applyBorder="1" applyAlignment="1">
      <alignment horizontal="center" vertical="center"/>
    </xf>
    <xf numFmtId="3" fontId="0" fillId="4" borderId="6" xfId="1" applyNumberFormat="1" applyFont="1" applyFill="1" applyBorder="1" applyAlignment="1">
      <alignment horizontal="center" vertical="center"/>
    </xf>
    <xf numFmtId="0" fontId="1" fillId="8" borderId="0" xfId="0" applyFont="1" applyFill="1" applyAlignment="1" applyProtection="1">
      <alignment horizontal="left" vertical="center"/>
      <protection locked="0"/>
    </xf>
    <xf numFmtId="0" fontId="3" fillId="8" borderId="0" xfId="0" applyFont="1" applyFill="1" applyProtection="1">
      <protection locked="0"/>
    </xf>
    <xf numFmtId="0" fontId="0" fillId="8" borderId="0" xfId="0" applyFill="1" applyProtection="1">
      <protection locked="0"/>
    </xf>
    <xf numFmtId="0" fontId="2" fillId="8" borderId="2" xfId="0" applyFont="1" applyFill="1" applyBorder="1" applyAlignment="1" applyProtection="1">
      <alignment horizontal="center" vertical="center" wrapText="1"/>
      <protection locked="0"/>
    </xf>
    <xf numFmtId="0" fontId="3" fillId="8" borderId="0" xfId="0" applyFont="1" applyFill="1"/>
    <xf numFmtId="0" fontId="0" fillId="8" borderId="0" xfId="0" applyFill="1"/>
    <xf numFmtId="0" fontId="2" fillId="8" borderId="1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8" borderId="2" xfId="0" quotePrefix="1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 wrapText="1"/>
    </xf>
    <xf numFmtId="0" fontId="1" fillId="9" borderId="0" xfId="0" applyFont="1" applyFill="1" applyAlignment="1">
      <alignment horizontal="left" vertical="center"/>
    </xf>
    <xf numFmtId="0" fontId="0" fillId="9" borderId="0" xfId="0" applyFill="1"/>
    <xf numFmtId="0" fontId="2" fillId="9" borderId="1" xfId="0" applyFont="1" applyFill="1" applyBorder="1" applyAlignment="1">
      <alignment horizontal="center" vertical="center" wrapText="1"/>
    </xf>
    <xf numFmtId="0" fontId="2" fillId="9" borderId="2" xfId="0" quotePrefix="1" applyFont="1" applyFill="1" applyBorder="1" applyAlignment="1">
      <alignment horizontal="center" vertical="center" wrapText="1"/>
    </xf>
    <xf numFmtId="0" fontId="1" fillId="10" borderId="0" xfId="0" applyFont="1" applyFill="1" applyAlignment="1" applyProtection="1">
      <alignment horizontal="left" vertical="center"/>
      <protection locked="0"/>
    </xf>
    <xf numFmtId="0" fontId="0" fillId="10" borderId="0" xfId="0" applyFill="1" applyProtection="1">
      <protection locked="0"/>
    </xf>
    <xf numFmtId="0" fontId="2" fillId="10" borderId="2" xfId="0" applyFont="1" applyFill="1" applyBorder="1" applyAlignment="1" applyProtection="1">
      <alignment horizontal="center" vertical="center" wrapText="1"/>
      <protection locked="0"/>
    </xf>
    <xf numFmtId="0" fontId="7" fillId="4" borderId="5" xfId="0" applyFont="1" applyFill="1" applyBorder="1" applyProtection="1">
      <protection locked="0"/>
    </xf>
    <xf numFmtId="0" fontId="1" fillId="10" borderId="0" xfId="0" applyFont="1" applyFill="1" applyAlignment="1">
      <alignment horizontal="left" vertical="center"/>
    </xf>
    <xf numFmtId="0" fontId="0" fillId="10" borderId="0" xfId="0" applyFill="1"/>
    <xf numFmtId="0" fontId="2" fillId="10" borderId="1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/>
    </xf>
    <xf numFmtId="0" fontId="2" fillId="10" borderId="2" xfId="0" quotePrefix="1" applyFont="1" applyFill="1" applyBorder="1" applyAlignment="1">
      <alignment horizontal="center" vertical="center" wrapText="1"/>
    </xf>
    <xf numFmtId="4" fontId="0" fillId="7" borderId="9" xfId="0" applyNumberFormat="1" applyFill="1" applyBorder="1" applyAlignment="1">
      <alignment horizontal="center" vertical="center"/>
    </xf>
    <xf numFmtId="0" fontId="2" fillId="6" borderId="1" xfId="0" quotePrefix="1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left" vertical="center"/>
    </xf>
    <xf numFmtId="0" fontId="0" fillId="11" borderId="0" xfId="0" applyFill="1"/>
    <xf numFmtId="0" fontId="2" fillId="11" borderId="2" xfId="0" applyFont="1" applyFill="1" applyBorder="1" applyAlignment="1">
      <alignment horizontal="center" vertical="center" wrapText="1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2" fillId="11" borderId="1" xfId="0" applyFont="1" applyFill="1" applyBorder="1" applyAlignment="1">
      <alignment horizontal="center" vertical="center" wrapText="1"/>
    </xf>
    <xf numFmtId="0" fontId="2" fillId="11" borderId="3" xfId="0" applyFont="1" applyFill="1" applyBorder="1" applyAlignment="1">
      <alignment horizontal="center" vertical="center" wrapText="1"/>
    </xf>
    <xf numFmtId="0" fontId="2" fillId="11" borderId="2" xfId="0" quotePrefix="1" applyFont="1" applyFill="1" applyBorder="1" applyAlignment="1">
      <alignment horizontal="center" vertical="center" wrapText="1"/>
    </xf>
    <xf numFmtId="0" fontId="1" fillId="12" borderId="0" xfId="0" applyFont="1" applyFill="1" applyAlignment="1">
      <alignment horizontal="left" vertical="center"/>
    </xf>
    <xf numFmtId="0" fontId="0" fillId="12" borderId="0" xfId="0" applyFill="1"/>
    <xf numFmtId="0" fontId="2" fillId="13" borderId="2" xfId="0" applyFont="1" applyFill="1" applyBorder="1" applyAlignment="1">
      <alignment horizontal="center" vertical="center" wrapText="1"/>
    </xf>
    <xf numFmtId="0" fontId="1" fillId="13" borderId="0" xfId="0" applyFont="1" applyFill="1" applyAlignment="1">
      <alignment horizontal="left" vertical="center"/>
    </xf>
    <xf numFmtId="0" fontId="0" fillId="13" borderId="0" xfId="0" applyFill="1"/>
    <xf numFmtId="0" fontId="2" fillId="13" borderId="1" xfId="0" applyFont="1" applyFill="1" applyBorder="1" applyAlignment="1">
      <alignment horizontal="center" vertical="center" wrapText="1"/>
    </xf>
    <xf numFmtId="0" fontId="2" fillId="13" borderId="1" xfId="0" quotePrefix="1" applyFont="1" applyFill="1" applyBorder="1" applyAlignment="1">
      <alignment horizontal="center" vertical="center" wrapText="1"/>
    </xf>
    <xf numFmtId="0" fontId="1" fillId="14" borderId="0" xfId="0" applyFont="1" applyFill="1" applyAlignment="1" applyProtection="1">
      <alignment horizontal="left" vertical="center"/>
      <protection locked="0"/>
    </xf>
    <xf numFmtId="0" fontId="3" fillId="14" borderId="0" xfId="0" applyFont="1" applyFill="1"/>
    <xf numFmtId="0" fontId="2" fillId="14" borderId="2" xfId="0" applyFont="1" applyFill="1" applyBorder="1" applyAlignment="1" applyProtection="1">
      <alignment horizontal="center" vertical="center" wrapText="1"/>
      <protection locked="0"/>
    </xf>
    <xf numFmtId="0" fontId="1" fillId="14" borderId="0" xfId="0" applyFont="1" applyFill="1" applyAlignment="1">
      <alignment horizontal="left" vertical="center"/>
    </xf>
    <xf numFmtId="0" fontId="0" fillId="14" borderId="0" xfId="0" applyFill="1"/>
    <xf numFmtId="0" fontId="2" fillId="14" borderId="1" xfId="0" applyFont="1" applyFill="1" applyBorder="1" applyAlignment="1">
      <alignment horizontal="center" vertical="center" wrapText="1"/>
    </xf>
    <xf numFmtId="0" fontId="2" fillId="14" borderId="3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/>
    </xf>
    <xf numFmtId="0" fontId="7" fillId="2" borderId="0" xfId="0" applyFont="1" applyFill="1" applyAlignment="1">
      <alignment horizontal="center" vertical="center"/>
    </xf>
    <xf numFmtId="1" fontId="3" fillId="14" borderId="0" xfId="0" applyNumberFormat="1" applyFont="1" applyFill="1"/>
    <xf numFmtId="1" fontId="0" fillId="2" borderId="0" xfId="0" applyNumberFormat="1" applyFill="1" applyAlignment="1">
      <alignment horizontal="center" vertical="center"/>
    </xf>
    <xf numFmtId="0" fontId="2" fillId="11" borderId="2" xfId="0" applyFont="1" applyFill="1" applyBorder="1" applyAlignment="1" applyProtection="1">
      <alignment horizontal="center" vertical="center" wrapText="1"/>
      <protection locked="0"/>
    </xf>
    <xf numFmtId="0" fontId="0" fillId="11" borderId="0" xfId="0" applyFill="1" applyProtection="1">
      <protection locked="0"/>
    </xf>
    <xf numFmtId="3" fontId="0" fillId="4" borderId="4" xfId="0" applyNumberFormat="1" applyFill="1" applyBorder="1" applyAlignment="1">
      <alignment horizontal="center" vertical="center"/>
    </xf>
    <xf numFmtId="3" fontId="0" fillId="4" borderId="5" xfId="0" applyNumberFormat="1" applyFill="1" applyBorder="1" applyAlignment="1">
      <alignment horizontal="center" vertical="center"/>
    </xf>
    <xf numFmtId="0" fontId="0" fillId="4" borderId="5" xfId="0" applyFill="1" applyBorder="1" applyAlignment="1" applyProtection="1">
      <alignment horizontal="center" vertical="center"/>
      <protection locked="0"/>
    </xf>
    <xf numFmtId="4" fontId="0" fillId="4" borderId="5" xfId="1" applyNumberFormat="1" applyFont="1" applyFill="1" applyBorder="1" applyAlignment="1">
      <alignment horizontal="center" vertical="center"/>
    </xf>
    <xf numFmtId="0" fontId="2" fillId="14" borderId="1" xfId="0" quotePrefix="1" applyFont="1" applyFill="1" applyBorder="1" applyAlignment="1">
      <alignment horizontal="center" vertical="center" wrapText="1"/>
    </xf>
    <xf numFmtId="4" fontId="0" fillId="4" borderId="4" xfId="1" applyNumberFormat="1" applyFont="1" applyFill="1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 wrapText="1"/>
    </xf>
    <xf numFmtId="3" fontId="0" fillId="4" borderId="6" xfId="0" applyNumberForma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 wrapText="1"/>
    </xf>
    <xf numFmtId="0" fontId="0" fillId="15" borderId="0" xfId="0" applyFill="1"/>
    <xf numFmtId="0" fontId="0" fillId="4" borderId="5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3" fontId="0" fillId="4" borderId="4" xfId="0" applyNumberFormat="1" applyFill="1" applyBorder="1" applyProtection="1">
      <protection locked="0"/>
    </xf>
    <xf numFmtId="3" fontId="0" fillId="4" borderId="5" xfId="0" applyNumberFormat="1" applyFill="1" applyBorder="1" applyProtection="1">
      <protection locked="0"/>
    </xf>
    <xf numFmtId="3" fontId="0" fillId="4" borderId="6" xfId="0" applyNumberFormat="1" applyFill="1" applyBorder="1" applyProtection="1">
      <protection locked="0"/>
    </xf>
    <xf numFmtId="0" fontId="8" fillId="3" borderId="1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2" xfId="0" quotePrefix="1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/>
    </xf>
    <xf numFmtId="1" fontId="9" fillId="4" borderId="4" xfId="0" applyNumberFormat="1" applyFont="1" applyFill="1" applyBorder="1" applyAlignment="1">
      <alignment horizontal="center" vertical="center"/>
    </xf>
    <xf numFmtId="1" fontId="9" fillId="4" borderId="4" xfId="1" applyNumberFormat="1" applyFont="1" applyFill="1" applyBorder="1" applyAlignment="1">
      <alignment horizontal="center" vertical="center"/>
    </xf>
    <xf numFmtId="1" fontId="9" fillId="4" borderId="5" xfId="0" applyNumberFormat="1" applyFont="1" applyFill="1" applyBorder="1" applyAlignment="1">
      <alignment horizontal="center" vertical="center"/>
    </xf>
    <xf numFmtId="1" fontId="9" fillId="4" borderId="5" xfId="1" applyNumberFormat="1" applyFont="1" applyFill="1" applyBorder="1" applyAlignment="1">
      <alignment horizontal="center" vertical="center"/>
    </xf>
    <xf numFmtId="1" fontId="9" fillId="4" borderId="6" xfId="0" applyNumberFormat="1" applyFont="1" applyFill="1" applyBorder="1" applyAlignment="1">
      <alignment horizontal="center" vertical="center"/>
    </xf>
    <xf numFmtId="1" fontId="9" fillId="4" borderId="6" xfId="1" applyNumberFormat="1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43" fontId="0" fillId="2" borderId="0" xfId="2" applyFont="1" applyFill="1" applyAlignment="1">
      <alignment horizontal="center" vertical="center"/>
    </xf>
    <xf numFmtId="166" fontId="0" fillId="2" borderId="0" xfId="2" applyNumberFormat="1" applyFont="1" applyFill="1" applyAlignment="1">
      <alignment horizontal="center" vertical="center"/>
    </xf>
    <xf numFmtId="0" fontId="0" fillId="4" borderId="5" xfId="0" applyNumberFormat="1" applyFill="1" applyBorder="1"/>
    <xf numFmtId="0" fontId="0" fillId="4" borderId="5" xfId="0" applyNumberFormat="1" applyFill="1" applyBorder="1" applyProtection="1">
      <protection locked="0"/>
    </xf>
    <xf numFmtId="43" fontId="0" fillId="4" borderId="4" xfId="2" applyFont="1" applyFill="1" applyBorder="1" applyAlignment="1">
      <alignment horizontal="center" vertical="center"/>
    </xf>
    <xf numFmtId="43" fontId="0" fillId="4" borderId="5" xfId="2" applyFont="1" applyFill="1" applyBorder="1" applyAlignment="1">
      <alignment horizontal="center" vertical="center"/>
    </xf>
    <xf numFmtId="164" fontId="0" fillId="4" borderId="7" xfId="0" applyNumberFormat="1" applyFill="1" applyBorder="1" applyAlignment="1">
      <alignment horizontal="center" vertical="center"/>
    </xf>
    <xf numFmtId="164" fontId="0" fillId="4" borderId="9" xfId="0" applyNumberFormat="1" applyFill="1" applyBorder="1" applyAlignment="1">
      <alignment horizontal="center" vertical="center"/>
    </xf>
    <xf numFmtId="4" fontId="0" fillId="4" borderId="7" xfId="0" applyNumberFormat="1" applyFill="1" applyBorder="1" applyAlignment="1">
      <alignment horizontal="center" vertical="center"/>
    </xf>
    <xf numFmtId="0" fontId="0" fillId="16" borderId="0" xfId="0" applyFill="1"/>
    <xf numFmtId="0" fontId="0" fillId="2" borderId="14" xfId="0" applyFill="1" applyBorder="1" applyAlignment="1">
      <alignment horizontal="center"/>
    </xf>
    <xf numFmtId="0" fontId="0" fillId="7" borderId="5" xfId="0" applyFill="1" applyBorder="1" applyAlignment="1">
      <alignment horizontal="center" vertical="center"/>
    </xf>
    <xf numFmtId="1" fontId="0" fillId="7" borderId="5" xfId="0" applyNumberFormat="1" applyFill="1" applyBorder="1" applyAlignment="1">
      <alignment horizontal="center" vertical="center"/>
    </xf>
    <xf numFmtId="2" fontId="0" fillId="7" borderId="5" xfId="0" applyNumberForma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4" fontId="0" fillId="2" borderId="0" xfId="0" applyNumberFormat="1" applyFill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 wrapText="1"/>
    </xf>
  </cellXfs>
  <cellStyles count="3">
    <cellStyle name="Milliers" xfId="2" builtinId="3"/>
    <cellStyle name="Normal" xfId="0" builtinId="0"/>
    <cellStyle name="Pourcentage" xfId="1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48235"/>
      <color rgb="FFCC9900"/>
      <color rgb="FFFF3300"/>
      <color rgb="FFA5A5A5"/>
      <color rgb="FFCCCC00"/>
      <color rgb="FF996633"/>
      <color rgb="FF7F6000"/>
      <color rgb="FF000000"/>
      <color rgb="FF5B9BD5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2.xml"/><Relationship Id="rId40" Type="http://schemas.openxmlformats.org/officeDocument/2006/relationships/externalLink" Target="externalLinks/externalLink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201930</xdr:colOff>
      <xdr:row>1</xdr:row>
      <xdr:rowOff>2744</xdr:rowOff>
    </xdr:from>
    <xdr:to>
      <xdr:col>4</xdr:col>
      <xdr:colOff>72210</xdr:colOff>
      <xdr:row>15</xdr:row>
      <xdr:rowOff>30002</xdr:rowOff>
    </xdr:to>
    <xdr:grpSp>
      <xdr:nvGrpSpPr>
        <xdr:cNvPr id="2" name="Groupe 1"/>
        <xdr:cNvGrpSpPr/>
      </xdr:nvGrpSpPr>
      <xdr:grpSpPr>
        <a:xfrm>
          <a:off x="201930" y="316509"/>
          <a:ext cx="1416692" cy="2694258"/>
          <a:chOff x="255270" y="153239"/>
          <a:chExt cx="1440000" cy="2587578"/>
        </a:xfrm>
      </xdr:grpSpPr>
      <xdr:sp macro="[0]!Mining" textlink="">
        <xdr:nvSpPr>
          <xdr:cNvPr id="3" name="Rectangle 2"/>
          <xdr:cNvSpPr/>
        </xdr:nvSpPr>
        <xdr:spPr>
          <a:xfrm>
            <a:off x="255270" y="220817"/>
            <a:ext cx="1440000" cy="2520000"/>
          </a:xfrm>
          <a:prstGeom prst="rect">
            <a:avLst/>
          </a:prstGeom>
          <a:solidFill>
            <a:srgbClr val="CC9900">
              <a:alpha val="69804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ctr"/>
            <a:endParaRPr lang="fr-FR" sz="1600" b="1"/>
          </a:p>
          <a:p>
            <a:pPr algn="ctr"/>
            <a:endParaRPr lang="fr-FR" sz="1600" b="1"/>
          </a:p>
          <a:p>
            <a:pPr algn="ctr"/>
            <a:r>
              <a:rPr lang="fr-FR" sz="1800" b="1"/>
              <a:t>Mining</a:t>
            </a:r>
          </a:p>
        </xdr:txBody>
      </xdr:sp>
      <xdr:pic macro="[0]!Mining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5270" y="153239"/>
            <a:ext cx="720000" cy="720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26670</xdr:colOff>
      <xdr:row>5</xdr:row>
      <xdr:rowOff>131283</xdr:rowOff>
    </xdr:from>
    <xdr:to>
      <xdr:col>3</xdr:col>
      <xdr:colOff>768510</xdr:colOff>
      <xdr:row>7</xdr:row>
      <xdr:rowOff>125523</xdr:rowOff>
    </xdr:to>
    <xdr:sp macro="[0]!MiningOptions" textlink="">
      <xdr:nvSpPr>
        <xdr:cNvPr id="5" name="Rectangle 4"/>
        <xdr:cNvSpPr/>
      </xdr:nvSpPr>
      <xdr:spPr>
        <a:xfrm>
          <a:off x="285750" y="117522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Options</a:t>
          </a:r>
        </a:p>
      </xdr:txBody>
    </xdr:sp>
    <xdr:clientData/>
  </xdr:twoCellAnchor>
  <xdr:twoCellAnchor>
    <xdr:from>
      <xdr:col>1</xdr:col>
      <xdr:colOff>26670</xdr:colOff>
      <xdr:row>8</xdr:row>
      <xdr:rowOff>16983</xdr:rowOff>
    </xdr:from>
    <xdr:to>
      <xdr:col>3</xdr:col>
      <xdr:colOff>768510</xdr:colOff>
      <xdr:row>10</xdr:row>
      <xdr:rowOff>11223</xdr:rowOff>
    </xdr:to>
    <xdr:sp macro="[0]!MiningProduction" textlink="">
      <xdr:nvSpPr>
        <xdr:cNvPr id="6" name="Rectangle 5"/>
        <xdr:cNvSpPr/>
      </xdr:nvSpPr>
      <xdr:spPr>
        <a:xfrm>
          <a:off x="285750" y="160956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Production</a:t>
          </a:r>
        </a:p>
      </xdr:txBody>
    </xdr:sp>
    <xdr:clientData/>
  </xdr:twoCellAnchor>
  <xdr:twoCellAnchor>
    <xdr:from>
      <xdr:col>1</xdr:col>
      <xdr:colOff>26670</xdr:colOff>
      <xdr:row>10</xdr:row>
      <xdr:rowOff>85563</xdr:rowOff>
    </xdr:from>
    <xdr:to>
      <xdr:col>3</xdr:col>
      <xdr:colOff>768510</xdr:colOff>
      <xdr:row>12</xdr:row>
      <xdr:rowOff>79803</xdr:rowOff>
    </xdr:to>
    <xdr:sp macro="[0]!MiningOpex" textlink="">
      <xdr:nvSpPr>
        <xdr:cNvPr id="7" name="Rectangle 6"/>
        <xdr:cNvSpPr/>
      </xdr:nvSpPr>
      <xdr:spPr>
        <a:xfrm>
          <a:off x="285750" y="204390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Opex</a:t>
          </a:r>
        </a:p>
      </xdr:txBody>
    </xdr:sp>
    <xdr:clientData/>
  </xdr:twoCellAnchor>
  <xdr:twoCellAnchor>
    <xdr:from>
      <xdr:col>1</xdr:col>
      <xdr:colOff>26670</xdr:colOff>
      <xdr:row>12</xdr:row>
      <xdr:rowOff>154143</xdr:rowOff>
    </xdr:from>
    <xdr:to>
      <xdr:col>3</xdr:col>
      <xdr:colOff>768510</xdr:colOff>
      <xdr:row>14</xdr:row>
      <xdr:rowOff>148383</xdr:rowOff>
    </xdr:to>
    <xdr:sp macro="[0]!MiningCapex" textlink="">
      <xdr:nvSpPr>
        <xdr:cNvPr id="8" name="Rectangle 7"/>
        <xdr:cNvSpPr/>
      </xdr:nvSpPr>
      <xdr:spPr>
        <a:xfrm>
          <a:off x="285750" y="247824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Capex</a:t>
          </a:r>
        </a:p>
      </xdr:txBody>
    </xdr:sp>
    <xdr:clientData/>
  </xdr:twoCellAnchor>
  <xdr:twoCellAnchor>
    <xdr:from>
      <xdr:col>4</xdr:col>
      <xdr:colOff>166370</xdr:colOff>
      <xdr:row>1</xdr:row>
      <xdr:rowOff>70323</xdr:rowOff>
    </xdr:from>
    <xdr:to>
      <xdr:col>6</xdr:col>
      <xdr:colOff>21410</xdr:colOff>
      <xdr:row>15</xdr:row>
      <xdr:rowOff>30003</xdr:rowOff>
    </xdr:to>
    <xdr:grpSp>
      <xdr:nvGrpSpPr>
        <xdr:cNvPr id="9" name="Groupe 8"/>
        <xdr:cNvGrpSpPr/>
      </xdr:nvGrpSpPr>
      <xdr:grpSpPr>
        <a:xfrm>
          <a:off x="1712782" y="384088"/>
          <a:ext cx="1401452" cy="2626680"/>
          <a:chOff x="1751330" y="382743"/>
          <a:chExt cx="1440000" cy="2520000"/>
        </a:xfrm>
      </xdr:grpSpPr>
      <xdr:grpSp>
        <xdr:nvGrpSpPr>
          <xdr:cNvPr id="10" name="Groupe 9"/>
          <xdr:cNvGrpSpPr/>
        </xdr:nvGrpSpPr>
        <xdr:grpSpPr>
          <a:xfrm>
            <a:off x="1751330" y="382743"/>
            <a:ext cx="1440000" cy="2520000"/>
            <a:chOff x="2205990" y="220818"/>
            <a:chExt cx="1440000" cy="2520000"/>
          </a:xfrm>
        </xdr:grpSpPr>
        <xdr:sp macro="[0]!Beneficiation" textlink="">
          <xdr:nvSpPr>
            <xdr:cNvPr id="15" name="Rectangle 14"/>
            <xdr:cNvSpPr/>
          </xdr:nvSpPr>
          <xdr:spPr>
            <a:xfrm>
              <a:off x="2205990" y="220818"/>
              <a:ext cx="1440000" cy="2520000"/>
            </a:xfrm>
            <a:prstGeom prst="rect">
              <a:avLst/>
            </a:prstGeom>
            <a:solidFill>
              <a:srgbClr val="996633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Beneficiation</a:t>
              </a: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</xdr:txBody>
        </xdr:sp>
        <xdr:pic>
          <xdr:nvPicPr>
            <xdr:cNvPr id="16" name="Image 15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72670" y="231420"/>
              <a:ext cx="504000" cy="504000"/>
            </a:xfrm>
            <a:prstGeom prst="rect">
              <a:avLst/>
            </a:prstGeom>
          </xdr:spPr>
        </xdr:pic>
      </xdr:grpSp>
      <xdr:sp macro="[0]!BeneficiationOptions" textlink="">
        <xdr:nvSpPr>
          <xdr:cNvPr id="11" name="Rectangle 10"/>
          <xdr:cNvSpPr/>
        </xdr:nvSpPr>
        <xdr:spPr>
          <a:xfrm>
            <a:off x="1840230" y="117522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BeneficiationProduction" textlink="">
        <xdr:nvSpPr>
          <xdr:cNvPr id="12" name="Rectangle 11"/>
          <xdr:cNvSpPr/>
        </xdr:nvSpPr>
        <xdr:spPr>
          <a:xfrm>
            <a:off x="1840230" y="160956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BeneficiationOpex" textlink="">
        <xdr:nvSpPr>
          <xdr:cNvPr id="13" name="Rectangle 12"/>
          <xdr:cNvSpPr/>
        </xdr:nvSpPr>
        <xdr:spPr>
          <a:xfrm>
            <a:off x="1840230" y="204390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BeneficiationCapex" textlink="">
        <xdr:nvSpPr>
          <xdr:cNvPr id="14" name="Rectangle 13"/>
          <xdr:cNvSpPr/>
        </xdr:nvSpPr>
        <xdr:spPr>
          <a:xfrm>
            <a:off x="1840230" y="247824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6</xdr:col>
      <xdr:colOff>130810</xdr:colOff>
      <xdr:row>1</xdr:row>
      <xdr:rowOff>60464</xdr:rowOff>
    </xdr:from>
    <xdr:to>
      <xdr:col>7</xdr:col>
      <xdr:colOff>778330</xdr:colOff>
      <xdr:row>15</xdr:row>
      <xdr:rowOff>30003</xdr:rowOff>
    </xdr:to>
    <xdr:grpSp>
      <xdr:nvGrpSpPr>
        <xdr:cNvPr id="17" name="Groupe 16"/>
        <xdr:cNvGrpSpPr/>
      </xdr:nvGrpSpPr>
      <xdr:grpSpPr>
        <a:xfrm>
          <a:off x="3223634" y="374229"/>
          <a:ext cx="1411200" cy="2636539"/>
          <a:chOff x="3300730" y="372884"/>
          <a:chExt cx="1440000" cy="2529859"/>
        </a:xfrm>
      </xdr:grpSpPr>
      <xdr:grpSp>
        <xdr:nvGrpSpPr>
          <xdr:cNvPr id="18" name="Groupe 17"/>
          <xdr:cNvGrpSpPr/>
        </xdr:nvGrpSpPr>
        <xdr:grpSpPr>
          <a:xfrm>
            <a:off x="3300730" y="372884"/>
            <a:ext cx="1440000" cy="2529859"/>
            <a:chOff x="4141470" y="210959"/>
            <a:chExt cx="1440000" cy="2529859"/>
          </a:xfrm>
        </xdr:grpSpPr>
        <xdr:sp macro="[0]!SAP" textlink="">
          <xdr:nvSpPr>
            <xdr:cNvPr id="23" name="Rectangle 22"/>
            <xdr:cNvSpPr/>
          </xdr:nvSpPr>
          <xdr:spPr>
            <a:xfrm>
              <a:off x="4141470" y="220818"/>
              <a:ext cx="1440000" cy="2520000"/>
            </a:xfrm>
            <a:prstGeom prst="rect">
              <a:avLst/>
            </a:prstGeom>
            <a:solidFill>
              <a:srgbClr val="CCCC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SAP</a:t>
              </a:r>
            </a:p>
          </xdr:txBody>
        </xdr:sp>
        <xdr:pic>
          <xdr:nvPicPr>
            <xdr:cNvPr id="24" name="Image 23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615770" y="210959"/>
              <a:ext cx="540000" cy="540000"/>
            </a:xfrm>
            <a:prstGeom prst="rect">
              <a:avLst/>
            </a:prstGeom>
          </xdr:spPr>
        </xdr:pic>
      </xdr:grpSp>
      <xdr:sp macro="[0]!SAPOptions" textlink="">
        <xdr:nvSpPr>
          <xdr:cNvPr id="19" name="Rectangle 18"/>
          <xdr:cNvSpPr/>
        </xdr:nvSpPr>
        <xdr:spPr>
          <a:xfrm>
            <a:off x="3387090" y="117522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SAPProduction" textlink="">
        <xdr:nvSpPr>
          <xdr:cNvPr id="20" name="Rectangle 19"/>
          <xdr:cNvSpPr/>
        </xdr:nvSpPr>
        <xdr:spPr>
          <a:xfrm>
            <a:off x="3387090" y="160956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SAPOPEX" textlink="">
        <xdr:nvSpPr>
          <xdr:cNvPr id="21" name="Rectangle 20"/>
          <xdr:cNvSpPr/>
        </xdr:nvSpPr>
        <xdr:spPr>
          <a:xfrm>
            <a:off x="3387090" y="204390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SAPCapex" textlink="">
        <xdr:nvSpPr>
          <xdr:cNvPr id="22" name="Rectangle 21"/>
          <xdr:cNvSpPr/>
        </xdr:nvSpPr>
        <xdr:spPr>
          <a:xfrm>
            <a:off x="3387090" y="247824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8</xdr:col>
      <xdr:colOff>87630</xdr:colOff>
      <xdr:row>1</xdr:row>
      <xdr:rowOff>55244</xdr:rowOff>
    </xdr:from>
    <xdr:to>
      <xdr:col>9</xdr:col>
      <xdr:colOff>735150</xdr:colOff>
      <xdr:row>15</xdr:row>
      <xdr:rowOff>30003</xdr:rowOff>
    </xdr:to>
    <xdr:grpSp>
      <xdr:nvGrpSpPr>
        <xdr:cNvPr id="25" name="Groupe 24"/>
        <xdr:cNvGrpSpPr/>
      </xdr:nvGrpSpPr>
      <xdr:grpSpPr>
        <a:xfrm>
          <a:off x="4726865" y="369009"/>
          <a:ext cx="1420726" cy="2641759"/>
          <a:chOff x="4842510" y="367664"/>
          <a:chExt cx="1440000" cy="2535079"/>
        </a:xfrm>
      </xdr:grpSpPr>
      <xdr:grpSp>
        <xdr:nvGrpSpPr>
          <xdr:cNvPr id="26" name="Groupe 25"/>
          <xdr:cNvGrpSpPr/>
        </xdr:nvGrpSpPr>
        <xdr:grpSpPr>
          <a:xfrm>
            <a:off x="4842510" y="367664"/>
            <a:ext cx="1440000" cy="2535079"/>
            <a:chOff x="6084570" y="205739"/>
            <a:chExt cx="1440000" cy="2535079"/>
          </a:xfrm>
        </xdr:grpSpPr>
        <xdr:sp macro="[0]!PAP" textlink="">
          <xdr:nvSpPr>
            <xdr:cNvPr id="31" name="Rectangle 30"/>
            <xdr:cNvSpPr/>
          </xdr:nvSpPr>
          <xdr:spPr>
            <a:xfrm>
              <a:off x="6084570" y="220818"/>
              <a:ext cx="1440000" cy="2520000"/>
            </a:xfrm>
            <a:prstGeom prst="rect">
              <a:avLst/>
            </a:prstGeom>
            <a:solidFill>
              <a:srgbClr val="54823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PAP</a:t>
              </a:r>
            </a:p>
          </xdr:txBody>
        </xdr:sp>
        <xdr:pic>
          <xdr:nvPicPr>
            <xdr:cNvPr id="32" name="Image 31"/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13150" y="205739"/>
              <a:ext cx="576000" cy="576000"/>
            </a:xfrm>
            <a:prstGeom prst="rect">
              <a:avLst/>
            </a:prstGeom>
          </xdr:spPr>
        </xdr:pic>
      </xdr:grpSp>
      <xdr:sp macro="[0]!PAPOptions" textlink="">
        <xdr:nvSpPr>
          <xdr:cNvPr id="27" name="Rectangle 26"/>
          <xdr:cNvSpPr/>
        </xdr:nvSpPr>
        <xdr:spPr>
          <a:xfrm>
            <a:off x="4926330" y="117522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PAPProduction" textlink="">
        <xdr:nvSpPr>
          <xdr:cNvPr id="28" name="Rectangle 27"/>
          <xdr:cNvSpPr/>
        </xdr:nvSpPr>
        <xdr:spPr>
          <a:xfrm>
            <a:off x="4926330" y="160956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PAPOpex" textlink="">
        <xdr:nvSpPr>
          <xdr:cNvPr id="29" name="Rectangle 28"/>
          <xdr:cNvSpPr/>
        </xdr:nvSpPr>
        <xdr:spPr>
          <a:xfrm>
            <a:off x="4926330" y="204390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PAPCapex" textlink="">
        <xdr:nvSpPr>
          <xdr:cNvPr id="30" name="Rectangle 29"/>
          <xdr:cNvSpPr/>
        </xdr:nvSpPr>
        <xdr:spPr>
          <a:xfrm>
            <a:off x="4926330" y="247824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10</xdr:col>
      <xdr:colOff>36830</xdr:colOff>
      <xdr:row>1</xdr:row>
      <xdr:rowOff>70323</xdr:rowOff>
    </xdr:from>
    <xdr:to>
      <xdr:col>11</xdr:col>
      <xdr:colOff>684350</xdr:colOff>
      <xdr:row>15</xdr:row>
      <xdr:rowOff>30003</xdr:rowOff>
    </xdr:to>
    <xdr:grpSp>
      <xdr:nvGrpSpPr>
        <xdr:cNvPr id="33" name="Groupe 32"/>
        <xdr:cNvGrpSpPr/>
      </xdr:nvGrpSpPr>
      <xdr:grpSpPr>
        <a:xfrm>
          <a:off x="6222477" y="384088"/>
          <a:ext cx="1420726" cy="2626680"/>
          <a:chOff x="6376670" y="382743"/>
          <a:chExt cx="1440000" cy="2520000"/>
        </a:xfrm>
      </xdr:grpSpPr>
      <xdr:grpSp>
        <xdr:nvGrpSpPr>
          <xdr:cNvPr id="34" name="Groupe 33"/>
          <xdr:cNvGrpSpPr/>
        </xdr:nvGrpSpPr>
        <xdr:grpSpPr>
          <a:xfrm>
            <a:off x="6376670" y="382743"/>
            <a:ext cx="1440000" cy="2520000"/>
            <a:chOff x="8042910" y="228438"/>
            <a:chExt cx="1440000" cy="2520000"/>
          </a:xfrm>
        </xdr:grpSpPr>
        <xdr:sp macro="[0]!Granulation" textlink="">
          <xdr:nvSpPr>
            <xdr:cNvPr id="39" name="Rectangle 38"/>
            <xdr:cNvSpPr/>
          </xdr:nvSpPr>
          <xdr:spPr>
            <a:xfrm>
              <a:off x="8042910" y="228438"/>
              <a:ext cx="1440000" cy="2520000"/>
            </a:xfrm>
            <a:prstGeom prst="rect">
              <a:avLst/>
            </a:prstGeom>
            <a:solidFill>
              <a:srgbClr val="A5A5A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Granulation</a:t>
              </a:r>
            </a:p>
          </xdr:txBody>
        </xdr:sp>
        <xdr:pic>
          <xdr:nvPicPr>
            <xdr:cNvPr id="40" name="Image 39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494350" y="251880"/>
              <a:ext cx="540000" cy="540000"/>
            </a:xfrm>
            <a:prstGeom prst="rect">
              <a:avLst/>
            </a:prstGeom>
          </xdr:spPr>
        </xdr:pic>
      </xdr:grpSp>
      <xdr:sp macro="[0]!GranulationOptions" textlink="">
        <xdr:nvSpPr>
          <xdr:cNvPr id="35" name="Rectangle 34"/>
          <xdr:cNvSpPr/>
        </xdr:nvSpPr>
        <xdr:spPr>
          <a:xfrm>
            <a:off x="6457950" y="117522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GranulationProduction" textlink="">
        <xdr:nvSpPr>
          <xdr:cNvPr id="36" name="Rectangle 35"/>
          <xdr:cNvSpPr/>
        </xdr:nvSpPr>
        <xdr:spPr>
          <a:xfrm>
            <a:off x="6457950" y="160956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GranulationOpex" textlink="">
        <xdr:nvSpPr>
          <xdr:cNvPr id="37" name="Rectangle 36"/>
          <xdr:cNvSpPr/>
        </xdr:nvSpPr>
        <xdr:spPr>
          <a:xfrm>
            <a:off x="6457950" y="204390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GranulationCapex" textlink="">
        <xdr:nvSpPr>
          <xdr:cNvPr id="38" name="Rectangle 37"/>
          <xdr:cNvSpPr/>
        </xdr:nvSpPr>
        <xdr:spPr>
          <a:xfrm>
            <a:off x="6457950" y="247824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11</xdr:col>
      <xdr:colOff>753110</xdr:colOff>
      <xdr:row>1</xdr:row>
      <xdr:rowOff>74133</xdr:rowOff>
    </xdr:from>
    <xdr:to>
      <xdr:col>13</xdr:col>
      <xdr:colOff>617040</xdr:colOff>
      <xdr:row>15</xdr:row>
      <xdr:rowOff>32543</xdr:rowOff>
    </xdr:to>
    <xdr:grpSp>
      <xdr:nvGrpSpPr>
        <xdr:cNvPr id="41" name="Groupe 40"/>
        <xdr:cNvGrpSpPr/>
      </xdr:nvGrpSpPr>
      <xdr:grpSpPr>
        <a:xfrm>
          <a:off x="7711963" y="387898"/>
          <a:ext cx="1410342" cy="2625410"/>
          <a:chOff x="207010" y="3438363"/>
          <a:chExt cx="1440000" cy="2520000"/>
        </a:xfrm>
      </xdr:grpSpPr>
      <xdr:grpSp>
        <xdr:nvGrpSpPr>
          <xdr:cNvPr id="42" name="Groupe 41"/>
          <xdr:cNvGrpSpPr/>
        </xdr:nvGrpSpPr>
        <xdr:grpSpPr>
          <a:xfrm>
            <a:off x="207010" y="3438363"/>
            <a:ext cx="1440000" cy="2520000"/>
            <a:chOff x="11410950" y="415128"/>
            <a:chExt cx="1440000" cy="2520000"/>
          </a:xfrm>
        </xdr:grpSpPr>
        <xdr:sp macro="[0]!Logitics" textlink="">
          <xdr:nvSpPr>
            <xdr:cNvPr id="47" name="Rectangle 46"/>
            <xdr:cNvSpPr/>
          </xdr:nvSpPr>
          <xdr:spPr>
            <a:xfrm>
              <a:off x="11410950" y="415128"/>
              <a:ext cx="1440000" cy="2520000"/>
            </a:xfrm>
            <a:prstGeom prst="rect">
              <a:avLst/>
            </a:prstGeom>
            <a:solidFill>
              <a:srgbClr val="FF33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Logistics</a:t>
              </a:r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</xdr:txBody>
        </xdr:sp>
        <xdr:pic macro="[0]!Logitics">
          <xdr:nvPicPr>
            <xdr:cNvPr id="48" name="Image 47"/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30" y="448020"/>
              <a:ext cx="504000" cy="504000"/>
            </a:xfrm>
            <a:prstGeom prst="rect">
              <a:avLst/>
            </a:prstGeom>
          </xdr:spPr>
        </xdr:pic>
      </xdr:grpSp>
      <xdr:sp macro="[0]!LogisticsOptions" textlink="">
        <xdr:nvSpPr>
          <xdr:cNvPr id="43" name="Rectangle 42"/>
          <xdr:cNvSpPr/>
        </xdr:nvSpPr>
        <xdr:spPr>
          <a:xfrm>
            <a:off x="285750" y="432228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LogisticsOpex" textlink="">
        <xdr:nvSpPr>
          <xdr:cNvPr id="45" name="Rectangle 44"/>
          <xdr:cNvSpPr/>
        </xdr:nvSpPr>
        <xdr:spPr>
          <a:xfrm>
            <a:off x="285750" y="488616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LogisticsCapex" textlink="">
        <xdr:nvSpPr>
          <xdr:cNvPr id="46" name="Rectangle 45"/>
          <xdr:cNvSpPr/>
        </xdr:nvSpPr>
        <xdr:spPr>
          <a:xfrm>
            <a:off x="285750" y="545004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8</xdr:col>
      <xdr:colOff>113030</xdr:colOff>
      <xdr:row>15</xdr:row>
      <xdr:rowOff>141443</xdr:rowOff>
    </xdr:from>
    <xdr:to>
      <xdr:col>10</xdr:col>
      <xdr:colOff>342040</xdr:colOff>
      <xdr:row>22</xdr:row>
      <xdr:rowOff>121283</xdr:rowOff>
    </xdr:to>
    <xdr:grpSp>
      <xdr:nvGrpSpPr>
        <xdr:cNvPr id="57" name="Groupe 56"/>
        <xdr:cNvGrpSpPr/>
      </xdr:nvGrpSpPr>
      <xdr:grpSpPr>
        <a:xfrm>
          <a:off x="4752265" y="3122208"/>
          <a:ext cx="1775422" cy="1313340"/>
          <a:chOff x="3257550" y="3453603"/>
          <a:chExt cx="1800000" cy="1260000"/>
        </a:xfrm>
      </xdr:grpSpPr>
      <xdr:sp macro="[0]!RawMaterials" textlink="">
        <xdr:nvSpPr>
          <xdr:cNvPr id="58" name="Rectangle 57"/>
          <xdr:cNvSpPr/>
        </xdr:nvSpPr>
        <xdr:spPr>
          <a:xfrm>
            <a:off x="3257550" y="3453603"/>
            <a:ext cx="1800000" cy="1260000"/>
          </a:xfrm>
          <a:prstGeom prst="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Raw materials</a:t>
            </a:r>
            <a:r>
              <a:rPr lang="fr-FR" sz="1800" b="1" baseline="0"/>
              <a:t> price table</a:t>
            </a:r>
          </a:p>
        </xdr:txBody>
      </xdr:sp>
      <xdr:pic macro="[0]!RawMaterials">
        <xdr:nvPicPr>
          <xdr:cNvPr id="59" name="Image 58"/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48100" y="3505200"/>
            <a:ext cx="576000" cy="57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506730</xdr:colOff>
      <xdr:row>15</xdr:row>
      <xdr:rowOff>141443</xdr:rowOff>
    </xdr:from>
    <xdr:to>
      <xdr:col>7</xdr:col>
      <xdr:colOff>730660</xdr:colOff>
      <xdr:row>22</xdr:row>
      <xdr:rowOff>121283</xdr:rowOff>
    </xdr:to>
    <xdr:grpSp>
      <xdr:nvGrpSpPr>
        <xdr:cNvPr id="67" name="Groupe 66"/>
        <xdr:cNvGrpSpPr/>
      </xdr:nvGrpSpPr>
      <xdr:grpSpPr>
        <a:xfrm>
          <a:off x="2826348" y="3122208"/>
          <a:ext cx="1770341" cy="1313340"/>
          <a:chOff x="514350" y="5731983"/>
          <a:chExt cx="1800000" cy="1260000"/>
        </a:xfrm>
      </xdr:grpSpPr>
      <xdr:sp macro="[0]!SalesPlan" textlink="">
        <xdr:nvSpPr>
          <xdr:cNvPr id="68" name="Rectangle 67"/>
          <xdr:cNvSpPr/>
        </xdr:nvSpPr>
        <xdr:spPr>
          <a:xfrm>
            <a:off x="514350" y="5731983"/>
            <a:ext cx="1800000" cy="1260000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Sales plan</a:t>
            </a:r>
            <a:endParaRPr lang="fr-FR" sz="1800" b="1" baseline="0"/>
          </a:p>
        </xdr:txBody>
      </xdr:sp>
      <xdr:pic macro="[0]!SalesPlan">
        <xdr:nvPicPr>
          <xdr:cNvPr id="69" name="Image 68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6350" y="5814060"/>
            <a:ext cx="576000" cy="576000"/>
          </a:xfrm>
          <a:prstGeom prst="rect">
            <a:avLst/>
          </a:prstGeom>
        </xdr:spPr>
      </xdr:pic>
    </xdr:grpSp>
    <xdr:clientData/>
  </xdr:twoCellAnchor>
  <xdr:twoCellAnchor editAs="oneCell">
    <xdr:from>
      <xdr:col>11</xdr:col>
      <xdr:colOff>690283</xdr:colOff>
      <xdr:row>16</xdr:row>
      <xdr:rowOff>127745</xdr:rowOff>
    </xdr:from>
    <xdr:to>
      <xdr:col>13</xdr:col>
      <xdr:colOff>89647</xdr:colOff>
      <xdr:row>22</xdr:row>
      <xdr:rowOff>14344</xdr:rowOff>
    </xdr:to>
    <xdr:pic>
      <xdr:nvPicPr>
        <xdr:cNvPr id="54" name="Image 53" descr="Résultat de recherche d'images pour &quot;data base png&quot;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08259" y="3130921"/>
          <a:ext cx="977153" cy="962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6</xdr:row>
          <xdr:rowOff>180975</xdr:rowOff>
        </xdr:from>
        <xdr:to>
          <xdr:col>10</xdr:col>
          <xdr:colOff>161925</xdr:colOff>
          <xdr:row>9</xdr:row>
          <xdr:rowOff>76200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Uniform and Rate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0</xdr:row>
      <xdr:rowOff>28575</xdr:rowOff>
    </xdr:from>
    <xdr:to>
      <xdr:col>1</xdr:col>
      <xdr:colOff>20955</xdr:colOff>
      <xdr:row>0</xdr:row>
      <xdr:rowOff>280035</xdr:rowOff>
    </xdr:to>
    <xdr:grpSp>
      <xdr:nvGrpSpPr>
        <xdr:cNvPr id="6" name="Groupe 5"/>
        <xdr:cNvGrpSpPr/>
      </xdr:nvGrpSpPr>
      <xdr:grpSpPr>
        <a:xfrm>
          <a:off x="28575" y="28575"/>
          <a:ext cx="249555" cy="251460"/>
          <a:chOff x="9723120" y="510540"/>
          <a:chExt cx="830580" cy="830580"/>
        </a:xfrm>
      </xdr:grpSpPr>
      <xdr:sp macro="[0]!Home" textlink="">
        <xdr:nvSpPr>
          <xdr:cNvPr id="7" name="Rectangle 6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8" name="Image 7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955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2286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8" name="Groupe 7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9" name="Rectangle 8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10" name="Image 9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230505</xdr:colOff>
      <xdr:row>0</xdr:row>
      <xdr:rowOff>251460</xdr:rowOff>
    </xdr:to>
    <xdr:grpSp>
      <xdr:nvGrpSpPr>
        <xdr:cNvPr id="5" name="Groupe 4"/>
        <xdr:cNvGrpSpPr/>
      </xdr:nvGrpSpPr>
      <xdr:grpSpPr>
        <a:xfrm>
          <a:off x="0" y="0"/>
          <a:ext cx="23050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15240</xdr:colOff>
      <xdr:row>0</xdr:row>
      <xdr:rowOff>0</xdr:rowOff>
    </xdr:to>
    <xdr:grpSp>
      <xdr:nvGrpSpPr>
        <xdr:cNvPr id="2" name="Groupe 1"/>
        <xdr:cNvGrpSpPr/>
      </xdr:nvGrpSpPr>
      <xdr:grpSpPr>
        <a:xfrm>
          <a:off x="257175" y="0"/>
          <a:ext cx="15240" cy="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2669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lyass.lakhal/Desktop/Copie%20de%20FilledTemplates%202009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mza.allam/Desktop/mine2farm/inputs/FilledTemplates_Mine2Farm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ssine.WAJIH/Documents/Projects/JESA/Framing/FilledTemplates/FilledCanevas%20v1/FilledCanevas_SAP%202908201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lyass.lakhal/Desktop/FilledTemplates%20240919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ledTemplates%20minimized%20291019Y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Raw materials (2)"/>
      <sheetName val="Common dict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Copie de FilledTemplates 200919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D5" t="str">
            <v>Benguerir</v>
          </cell>
          <cell r="F5" t="str">
            <v>Total</v>
          </cell>
          <cell r="H5" t="str">
            <v>t/tP2O5</v>
          </cell>
          <cell r="J5" t="str">
            <v>m$</v>
          </cell>
          <cell r="L5" t="str">
            <v>Product</v>
          </cell>
          <cell r="N5" t="str">
            <v>Benguerir Nord</v>
          </cell>
          <cell r="P5" t="str">
            <v>K09</v>
          </cell>
        </row>
        <row r="6">
          <cell r="D6" t="str">
            <v>Bouchane</v>
          </cell>
          <cell r="F6" t="str">
            <v>Raw water</v>
          </cell>
          <cell r="H6" t="str">
            <v>t/tSM</v>
          </cell>
          <cell r="J6" t="str">
            <v>mDH</v>
          </cell>
          <cell r="L6" t="str">
            <v>ByProduct</v>
          </cell>
          <cell r="N6" t="str">
            <v>Benguerir Sud</v>
          </cell>
          <cell r="P6" t="str">
            <v>K10</v>
          </cell>
        </row>
        <row r="7">
          <cell r="D7" t="str">
            <v>Mzinda</v>
          </cell>
          <cell r="F7" t="str">
            <v>Sea water</v>
          </cell>
          <cell r="H7" t="str">
            <v>t/tProduced</v>
          </cell>
          <cell r="J7"/>
          <cell r="L7" t="str">
            <v>Waste</v>
          </cell>
          <cell r="N7" t="str">
            <v>Mzinda</v>
          </cell>
          <cell r="P7" t="str">
            <v>G10</v>
          </cell>
        </row>
        <row r="8">
          <cell r="D8" t="str">
            <v>Nzalat</v>
          </cell>
          <cell r="F8" t="str">
            <v>Electricity</v>
          </cell>
          <cell r="H8" t="str">
            <v>t/kwh</v>
          </cell>
          <cell r="J8"/>
          <cell r="L8" t="str">
            <v>Co-product</v>
          </cell>
          <cell r="N8" t="str">
            <v>Bouchane</v>
          </cell>
          <cell r="P8" t="str">
            <v>ACP 29</v>
          </cell>
        </row>
        <row r="9">
          <cell r="D9" t="str">
            <v>Tassaout</v>
          </cell>
          <cell r="F9" t="str">
            <v>Fuel</v>
          </cell>
          <cell r="H9" t="str">
            <v>m3/tP2O5</v>
          </cell>
          <cell r="J9"/>
          <cell r="L9"/>
          <cell r="N9" t="str">
            <v>Nzalat</v>
          </cell>
          <cell r="P9" t="str">
            <v>ACP 54</v>
          </cell>
        </row>
        <row r="10">
          <cell r="D10" t="str">
            <v>Louta</v>
          </cell>
          <cell r="F10" t="str">
            <v>ACS</v>
          </cell>
          <cell r="H10" t="str">
            <v>m3/tSM</v>
          </cell>
          <cell r="J10"/>
          <cell r="L10"/>
          <cell r="N10" t="str">
            <v>Tassaout</v>
          </cell>
          <cell r="P10" t="str">
            <v>DAP</v>
          </cell>
        </row>
        <row r="11">
          <cell r="D11" t="str">
            <v>Jorf</v>
          </cell>
          <cell r="F11" t="str">
            <v>Sulfur</v>
          </cell>
          <cell r="H11" t="str">
            <v>m3/tProduced</v>
          </cell>
          <cell r="J11"/>
          <cell r="L11"/>
          <cell r="N11" t="str">
            <v>Louta</v>
          </cell>
          <cell r="P11" t="str">
            <v>MAP</v>
          </cell>
        </row>
        <row r="12">
          <cell r="D12" t="str">
            <v>SPH</v>
          </cell>
          <cell r="F12" t="str">
            <v>Steam BP</v>
          </cell>
          <cell r="H12" t="str">
            <v>m3/kwh</v>
          </cell>
          <cell r="J12"/>
          <cell r="L12"/>
          <cell r="N12" t="str">
            <v>Meskala</v>
          </cell>
          <cell r="P12" t="str">
            <v>TSP</v>
          </cell>
        </row>
        <row r="13">
          <cell r="D13" t="str">
            <v>Safi</v>
          </cell>
          <cell r="F13" t="str">
            <v>Steam MP</v>
          </cell>
          <cell r="H13" t="str">
            <v>kwh/tP2O5</v>
          </cell>
          <cell r="J13"/>
          <cell r="L13"/>
          <cell r="N13" t="str">
            <v>Laverie Youssoufia</v>
          </cell>
          <cell r="P13" t="str">
            <v>MSP</v>
          </cell>
        </row>
        <row r="14">
          <cell r="D14" t="str">
            <v>Essouira</v>
          </cell>
          <cell r="F14" t="str">
            <v>Steam HP</v>
          </cell>
          <cell r="H14" t="str">
            <v>kwh/tSM</v>
          </cell>
          <cell r="J14"/>
          <cell r="L14"/>
          <cell r="N14" t="str">
            <v>Laverie BG</v>
          </cell>
          <cell r="P14" t="str">
            <v>MCP</v>
          </cell>
        </row>
        <row r="15">
          <cell r="D15" t="str">
            <v>Casablanca</v>
          </cell>
          <cell r="F15" t="str">
            <v>Nbre Mangers</v>
          </cell>
          <cell r="H15" t="str">
            <v>kwh/tProduced</v>
          </cell>
          <cell r="J15"/>
          <cell r="L15"/>
          <cell r="N15" t="str">
            <v>Laverie BG ext</v>
          </cell>
          <cell r="P15" t="str">
            <v>NPK</v>
          </cell>
        </row>
        <row r="16">
          <cell r="D16" t="str">
            <v>Youssoufia</v>
          </cell>
          <cell r="F16" t="str">
            <v>Nbre Supervisors</v>
          </cell>
          <cell r="H16" t="str">
            <v>Mt/y</v>
          </cell>
          <cell r="J16"/>
          <cell r="L16"/>
          <cell r="N16" t="str">
            <v>Laverie MP2</v>
          </cell>
          <cell r="P16"/>
        </row>
        <row r="17">
          <cell r="D17"/>
          <cell r="F17" t="str">
            <v>Nbre Operators</v>
          </cell>
          <cell r="H17" t="str">
            <v>MtSM/y</v>
          </cell>
          <cell r="J17"/>
          <cell r="L17"/>
          <cell r="N17" t="str">
            <v>MPH1</v>
          </cell>
          <cell r="P17"/>
        </row>
        <row r="18">
          <cell r="D18"/>
          <cell r="F18" t="str">
            <v>O2</v>
          </cell>
          <cell r="H18" t="str">
            <v>kt/y</v>
          </cell>
          <cell r="J18"/>
          <cell r="L18"/>
          <cell r="N18" t="str">
            <v>MPH2</v>
          </cell>
          <cell r="P18"/>
        </row>
        <row r="19">
          <cell r="D19"/>
          <cell r="F19" t="str">
            <v>ACP 29</v>
          </cell>
          <cell r="H19" t="str">
            <v>ktP2O5/y</v>
          </cell>
          <cell r="J19"/>
          <cell r="L19"/>
          <cell r="N19" t="str">
            <v>MPH3</v>
          </cell>
          <cell r="P19"/>
        </row>
        <row r="20">
          <cell r="D20"/>
          <cell r="F20" t="str">
            <v>ACP 54</v>
          </cell>
          <cell r="H20" t="str">
            <v>Mw</v>
          </cell>
          <cell r="J20"/>
          <cell r="L20"/>
          <cell r="N20" t="str">
            <v>MPH4</v>
          </cell>
          <cell r="P20"/>
        </row>
        <row r="21">
          <cell r="D21"/>
          <cell r="F21" t="str">
            <v>G10</v>
          </cell>
          <cell r="H21" t="str">
            <v>Mm3/y</v>
          </cell>
          <cell r="J21"/>
          <cell r="L21"/>
          <cell r="N21" t="str">
            <v>MPH5</v>
          </cell>
          <cell r="P21"/>
        </row>
        <row r="22">
          <cell r="D22"/>
          <cell r="F22" t="str">
            <v>YCC</v>
          </cell>
          <cell r="H22" t="str">
            <v>t/m3</v>
          </cell>
          <cell r="J22"/>
          <cell r="L22"/>
          <cell r="N22" t="str">
            <v>SPH1</v>
          </cell>
          <cell r="P22"/>
        </row>
        <row r="23">
          <cell r="D23"/>
          <cell r="F23" t="str">
            <v>Chimie</v>
          </cell>
          <cell r="H23" t="str">
            <v>kwh/m3</v>
          </cell>
          <cell r="J23"/>
          <cell r="L23"/>
          <cell r="N23" t="str">
            <v>SPH2</v>
          </cell>
          <cell r="P23"/>
        </row>
        <row r="24">
          <cell r="D24"/>
          <cell r="F24"/>
          <cell r="H24" t="str">
            <v>$/tProduced</v>
          </cell>
          <cell r="J24"/>
          <cell r="L24"/>
          <cell r="N24" t="str">
            <v>SPH3</v>
          </cell>
          <cell r="P24"/>
        </row>
        <row r="25">
          <cell r="D25"/>
          <cell r="F25"/>
          <cell r="H25" t="str">
            <v>$/m3</v>
          </cell>
          <cell r="J25"/>
          <cell r="L25"/>
          <cell r="N25" t="str">
            <v>SPH4</v>
          </cell>
          <cell r="P25"/>
        </row>
        <row r="26">
          <cell r="D26"/>
          <cell r="F26"/>
          <cell r="H26" t="str">
            <v>$/tP2O5</v>
          </cell>
          <cell r="J26"/>
          <cell r="L26"/>
          <cell r="N26" t="str">
            <v>SPH5</v>
          </cell>
          <cell r="P26"/>
        </row>
        <row r="27">
          <cell r="D27"/>
          <cell r="F27"/>
          <cell r="H27" t="str">
            <v>$/tSM</v>
          </cell>
          <cell r="J27"/>
          <cell r="L27"/>
          <cell r="N27" t="str">
            <v>SPH6</v>
          </cell>
          <cell r="P27"/>
        </row>
        <row r="28">
          <cell r="D28"/>
          <cell r="F28"/>
          <cell r="H28" t="str">
            <v>$/kwh</v>
          </cell>
          <cell r="J28"/>
          <cell r="L28"/>
          <cell r="N28" t="str">
            <v>SPH7</v>
          </cell>
          <cell r="P28"/>
        </row>
        <row r="29">
          <cell r="D29"/>
          <cell r="F29"/>
          <cell r="H29" t="str">
            <v>%</v>
          </cell>
          <cell r="J29"/>
          <cell r="L29"/>
          <cell r="N29" t="str">
            <v>SPH8</v>
          </cell>
          <cell r="P29"/>
        </row>
        <row r="30">
          <cell r="D30"/>
          <cell r="F30"/>
          <cell r="H30" t="str">
            <v>tP2O5/tP2O5</v>
          </cell>
          <cell r="J30"/>
          <cell r="L30"/>
          <cell r="N30" t="str">
            <v>GRANUL1</v>
          </cell>
          <cell r="P30"/>
        </row>
        <row r="31">
          <cell r="D31"/>
          <cell r="F31"/>
          <cell r="H31" t="str">
            <v>Mt</v>
          </cell>
          <cell r="J31"/>
          <cell r="L31"/>
          <cell r="N31" t="str">
            <v>GRANUL2</v>
          </cell>
          <cell r="P31"/>
        </row>
        <row r="32">
          <cell r="D32"/>
          <cell r="F32"/>
          <cell r="H32" t="str">
            <v>kt</v>
          </cell>
          <cell r="J32"/>
          <cell r="L32"/>
          <cell r="N32" t="str">
            <v>GRANUL3</v>
          </cell>
          <cell r="P32"/>
        </row>
        <row r="33">
          <cell r="D33"/>
          <cell r="F33"/>
          <cell r="H33" t="str">
            <v>ktP2O5</v>
          </cell>
          <cell r="J33"/>
          <cell r="L33"/>
          <cell r="N33" t="str">
            <v>GRANUL4</v>
          </cell>
          <cell r="P33"/>
        </row>
        <row r="34">
          <cell r="D34"/>
          <cell r="F34"/>
          <cell r="H34" t="str">
            <v>tSM/t</v>
          </cell>
          <cell r="J34"/>
          <cell r="L34"/>
          <cell r="N34" t="str">
            <v>GRANUL5</v>
          </cell>
          <cell r="P34"/>
        </row>
        <row r="35">
          <cell r="D35"/>
          <cell r="F35"/>
          <cell r="H35" t="str">
            <v>Mwh/tProduced</v>
          </cell>
          <cell r="J35"/>
          <cell r="L35"/>
          <cell r="N35" t="str">
            <v>SAP1</v>
          </cell>
          <cell r="P35"/>
        </row>
        <row r="36">
          <cell r="D36"/>
          <cell r="F36"/>
          <cell r="H36" t="str">
            <v>Nbre</v>
          </cell>
          <cell r="J36"/>
          <cell r="L36"/>
          <cell r="N36" t="str">
            <v>SAP2</v>
          </cell>
          <cell r="P36"/>
        </row>
        <row r="37">
          <cell r="D37"/>
          <cell r="F37"/>
          <cell r="H37" t="str">
            <v>tSM/tP2O5</v>
          </cell>
          <cell r="J37"/>
          <cell r="L37"/>
          <cell r="N37" t="str">
            <v>SAP3</v>
          </cell>
          <cell r="P37"/>
        </row>
        <row r="38">
          <cell r="D38"/>
          <cell r="F38"/>
          <cell r="H38"/>
          <cell r="J38"/>
          <cell r="L38"/>
          <cell r="N38" t="str">
            <v>SAP4</v>
          </cell>
          <cell r="P38"/>
        </row>
        <row r="39">
          <cell r="D39"/>
          <cell r="F39"/>
          <cell r="H39"/>
          <cell r="J39"/>
          <cell r="L39"/>
          <cell r="N39" t="str">
            <v>SAP5</v>
          </cell>
          <cell r="P39"/>
        </row>
        <row r="40">
          <cell r="D40" t="str">
            <v>#NA</v>
          </cell>
          <cell r="F40" t="str">
            <v>#NA</v>
          </cell>
          <cell r="H40" t="str">
            <v>#NA</v>
          </cell>
          <cell r="J40" t="str">
            <v>#NA</v>
          </cell>
          <cell r="L40" t="str">
            <v>#NA</v>
          </cell>
          <cell r="N40" t="str">
            <v>#NA</v>
          </cell>
        </row>
      </sheetData>
      <sheetData sheetId="7">
        <row r="5">
          <cell r="D5" t="str">
            <v>Benguerir</v>
          </cell>
          <cell r="F5" t="str">
            <v>Definie</v>
          </cell>
          <cell r="H5" t="str">
            <v>MT</v>
          </cell>
        </row>
        <row r="6">
          <cell r="D6" t="str">
            <v>Bouchane</v>
          </cell>
          <cell r="F6"/>
          <cell r="H6" t="str">
            <v>BT</v>
          </cell>
        </row>
        <row r="7">
          <cell r="D7" t="str">
            <v>Mzinda</v>
          </cell>
          <cell r="F7"/>
          <cell r="H7" t="str">
            <v>TBT</v>
          </cell>
        </row>
        <row r="8">
          <cell r="D8" t="str">
            <v>Tassaout</v>
          </cell>
          <cell r="F8"/>
          <cell r="H8" t="str">
            <v>HT</v>
          </cell>
        </row>
        <row r="9">
          <cell r="D9" t="str">
            <v>Nzalat</v>
          </cell>
          <cell r="F9"/>
          <cell r="H9"/>
        </row>
        <row r="10">
          <cell r="D10" t="str">
            <v>Louta</v>
          </cell>
          <cell r="F10"/>
          <cell r="H10"/>
        </row>
        <row r="11">
          <cell r="D11"/>
          <cell r="F11"/>
          <cell r="H11"/>
        </row>
        <row r="12">
          <cell r="D12"/>
          <cell r="F12"/>
          <cell r="H12"/>
        </row>
        <row r="13">
          <cell r="D13"/>
          <cell r="F13"/>
          <cell r="H13"/>
        </row>
        <row r="14">
          <cell r="D14"/>
          <cell r="F14"/>
          <cell r="H14"/>
        </row>
        <row r="15">
          <cell r="D15"/>
          <cell r="F15"/>
          <cell r="H15"/>
        </row>
        <row r="16">
          <cell r="D16"/>
          <cell r="F16"/>
          <cell r="H16"/>
        </row>
        <row r="17">
          <cell r="D17"/>
          <cell r="F17"/>
          <cell r="H17"/>
        </row>
        <row r="18">
          <cell r="D18"/>
          <cell r="F18"/>
          <cell r="H18"/>
        </row>
        <row r="19">
          <cell r="D19"/>
          <cell r="F19"/>
          <cell r="H19"/>
        </row>
        <row r="20">
          <cell r="D20"/>
          <cell r="F20"/>
          <cell r="H20"/>
        </row>
        <row r="21">
          <cell r="D21"/>
          <cell r="F21"/>
          <cell r="H21"/>
        </row>
        <row r="22">
          <cell r="D22"/>
          <cell r="F22"/>
          <cell r="H22"/>
        </row>
        <row r="23">
          <cell r="D23"/>
          <cell r="F23"/>
          <cell r="H23"/>
        </row>
        <row r="24">
          <cell r="D24"/>
          <cell r="F24"/>
          <cell r="H24"/>
        </row>
        <row r="25">
          <cell r="D25"/>
          <cell r="F25"/>
          <cell r="H25"/>
        </row>
        <row r="26">
          <cell r="D26"/>
          <cell r="F26"/>
          <cell r="H26"/>
        </row>
        <row r="27">
          <cell r="D27"/>
          <cell r="F27"/>
          <cell r="H27"/>
        </row>
        <row r="28">
          <cell r="D28"/>
          <cell r="F28"/>
          <cell r="H28"/>
        </row>
        <row r="29">
          <cell r="D29"/>
          <cell r="F29"/>
          <cell r="H29"/>
        </row>
        <row r="30">
          <cell r="D30"/>
          <cell r="F30"/>
          <cell r="H30"/>
        </row>
        <row r="31">
          <cell r="D31"/>
          <cell r="F31"/>
          <cell r="H31"/>
        </row>
        <row r="32">
          <cell r="D32"/>
          <cell r="F32"/>
          <cell r="H32"/>
        </row>
        <row r="33">
          <cell r="D33"/>
          <cell r="F33"/>
          <cell r="H33"/>
        </row>
        <row r="34">
          <cell r="D34"/>
          <cell r="F34"/>
          <cell r="H34"/>
        </row>
        <row r="35">
          <cell r="D35"/>
          <cell r="F35"/>
          <cell r="H35"/>
        </row>
        <row r="36">
          <cell r="D36"/>
          <cell r="F36"/>
          <cell r="H36"/>
        </row>
        <row r="37">
          <cell r="D37"/>
          <cell r="F37"/>
          <cell r="H37"/>
        </row>
        <row r="38">
          <cell r="D38"/>
          <cell r="F38"/>
          <cell r="H38"/>
        </row>
        <row r="39">
          <cell r="D39"/>
          <cell r="F39"/>
          <cell r="H39"/>
        </row>
        <row r="40">
          <cell r="D40"/>
          <cell r="F40"/>
          <cell r="H40"/>
        </row>
      </sheetData>
      <sheetData sheetId="8"/>
      <sheetData sheetId="9"/>
      <sheetData sheetId="10"/>
      <sheetData sheetId="11"/>
      <sheetData sheetId="12">
        <row r="5">
          <cell r="D5" t="str">
            <v>Youssoufia WP</v>
          </cell>
          <cell r="F5" t="str">
            <v>LF</v>
          </cell>
        </row>
        <row r="6">
          <cell r="D6" t="str">
            <v>BG WP</v>
          </cell>
          <cell r="F6" t="str">
            <v>Calcination</v>
          </cell>
        </row>
        <row r="7">
          <cell r="D7" t="str">
            <v>Nzalat WP</v>
          </cell>
          <cell r="F7" t="str">
            <v>Youssoufia Calciné</v>
          </cell>
        </row>
        <row r="8">
          <cell r="D8" t="str">
            <v>Tassaout WP</v>
          </cell>
          <cell r="F8" t="str">
            <v>Youssoufia LF</v>
          </cell>
        </row>
        <row r="9">
          <cell r="D9" t="str">
            <v>Louta WP</v>
          </cell>
          <cell r="F9" t="str">
            <v>Youssoufia LF &amp; Séché</v>
          </cell>
        </row>
        <row r="10">
          <cell r="D10" t="str">
            <v>Youssoufia Calcination</v>
          </cell>
          <cell r="F10" t="str">
            <v>Youssoufia LF &amp; Calciné</v>
          </cell>
        </row>
        <row r="11">
          <cell r="D11"/>
          <cell r="F11"/>
        </row>
        <row r="12">
          <cell r="D12"/>
          <cell r="F12"/>
        </row>
        <row r="13">
          <cell r="D13"/>
          <cell r="F13"/>
        </row>
        <row r="14">
          <cell r="D14"/>
          <cell r="F14"/>
        </row>
        <row r="15">
          <cell r="D15"/>
          <cell r="F15"/>
        </row>
        <row r="16">
          <cell r="D16"/>
          <cell r="F16"/>
        </row>
        <row r="17">
          <cell r="D17"/>
          <cell r="F17"/>
        </row>
        <row r="18">
          <cell r="D18"/>
          <cell r="F18"/>
        </row>
        <row r="19">
          <cell r="D19"/>
          <cell r="F19"/>
        </row>
        <row r="20">
          <cell r="D20"/>
          <cell r="F20"/>
        </row>
        <row r="21">
          <cell r="D21"/>
          <cell r="F21"/>
        </row>
        <row r="22">
          <cell r="D22"/>
          <cell r="F22"/>
        </row>
        <row r="23">
          <cell r="D23"/>
          <cell r="F23"/>
        </row>
        <row r="24">
          <cell r="D24"/>
          <cell r="F24"/>
        </row>
        <row r="25">
          <cell r="D25"/>
          <cell r="F25"/>
        </row>
        <row r="26">
          <cell r="D26"/>
          <cell r="F26"/>
        </row>
        <row r="27">
          <cell r="D27"/>
          <cell r="F27"/>
        </row>
        <row r="28">
          <cell r="D28"/>
          <cell r="F28"/>
        </row>
        <row r="29">
          <cell r="D29"/>
          <cell r="F29"/>
        </row>
        <row r="30">
          <cell r="D30"/>
          <cell r="F30"/>
        </row>
        <row r="31">
          <cell r="D31"/>
          <cell r="F31"/>
        </row>
        <row r="32">
          <cell r="D32"/>
          <cell r="F32"/>
        </row>
        <row r="33">
          <cell r="D33"/>
          <cell r="F33"/>
        </row>
        <row r="34">
          <cell r="D34"/>
          <cell r="F34"/>
        </row>
        <row r="35">
          <cell r="D35"/>
          <cell r="F35"/>
        </row>
        <row r="36">
          <cell r="D36"/>
          <cell r="F36"/>
        </row>
        <row r="37">
          <cell r="D37"/>
          <cell r="F37"/>
        </row>
        <row r="38">
          <cell r="D38"/>
          <cell r="F38"/>
        </row>
        <row r="39">
          <cell r="D39"/>
          <cell r="F39"/>
        </row>
        <row r="40">
          <cell r="D40"/>
          <cell r="F40"/>
        </row>
      </sheetData>
      <sheetData sheetId="13"/>
      <sheetData sheetId="14"/>
      <sheetData sheetId="15"/>
      <sheetData sheetId="16"/>
      <sheetData sheetId="17"/>
      <sheetData sheetId="18">
        <row r="5">
          <cell r="D5" t="str">
            <v>Mzinda</v>
          </cell>
          <cell r="F5" t="str">
            <v>DA-HRS</v>
          </cell>
          <cell r="G5">
            <v>1600</v>
          </cell>
        </row>
        <row r="6">
          <cell r="D6" t="str">
            <v>Mzinda</v>
          </cell>
          <cell r="F6" t="str">
            <v>DA-HRS</v>
          </cell>
          <cell r="G6">
            <v>1600</v>
          </cell>
        </row>
        <row r="7">
          <cell r="D7" t="str">
            <v>Mzinda</v>
          </cell>
          <cell r="F7" t="str">
            <v>DA-HRS</v>
          </cell>
          <cell r="G7">
            <v>1600</v>
          </cell>
        </row>
        <row r="8">
          <cell r="D8" t="str">
            <v>Mzinda</v>
          </cell>
          <cell r="F8" t="str">
            <v>DA-HRS</v>
          </cell>
          <cell r="G8">
            <v>1600</v>
          </cell>
        </row>
        <row r="9">
          <cell r="D9" t="str">
            <v>Mzinda</v>
          </cell>
          <cell r="F9" t="str">
            <v>DA-HRS</v>
          </cell>
          <cell r="G9">
            <v>1600</v>
          </cell>
        </row>
        <row r="10">
          <cell r="D10" t="str">
            <v>Mzinda</v>
          </cell>
          <cell r="F10" t="str">
            <v>DA-HRS</v>
          </cell>
          <cell r="G10">
            <v>1600</v>
          </cell>
        </row>
        <row r="11">
          <cell r="D11" t="str">
            <v>Mzinda</v>
          </cell>
          <cell r="F11" t="str">
            <v>DA-HRS</v>
          </cell>
          <cell r="G11">
            <v>1600</v>
          </cell>
        </row>
        <row r="12">
          <cell r="D12" t="str">
            <v>Mzinda</v>
          </cell>
          <cell r="F12" t="str">
            <v>DA-HRS</v>
          </cell>
          <cell r="G12">
            <v>1600</v>
          </cell>
        </row>
        <row r="13">
          <cell r="D13" t="str">
            <v>Mzinda</v>
          </cell>
          <cell r="F13" t="str">
            <v>DA-HRS</v>
          </cell>
          <cell r="G13">
            <v>1600</v>
          </cell>
        </row>
        <row r="14">
          <cell r="D14" t="str">
            <v>Mzinda</v>
          </cell>
          <cell r="F14" t="str">
            <v>DA-HRS</v>
          </cell>
          <cell r="G14">
            <v>1600</v>
          </cell>
        </row>
        <row r="15">
          <cell r="D15" t="str">
            <v>Mzinda</v>
          </cell>
          <cell r="F15" t="str">
            <v>DA-HRS</v>
          </cell>
          <cell r="G15">
            <v>1600</v>
          </cell>
        </row>
        <row r="16">
          <cell r="D16" t="str">
            <v>Mzinda</v>
          </cell>
          <cell r="F16" t="str">
            <v>Core SO2</v>
          </cell>
          <cell r="G16">
            <v>3200</v>
          </cell>
        </row>
        <row r="17">
          <cell r="D17" t="str">
            <v>Mzinda</v>
          </cell>
          <cell r="F17" t="str">
            <v>Core SO2</v>
          </cell>
          <cell r="G17">
            <v>3200</v>
          </cell>
        </row>
        <row r="18">
          <cell r="D18" t="str">
            <v>Mzinda</v>
          </cell>
          <cell r="F18" t="str">
            <v>Core SO2</v>
          </cell>
          <cell r="G18">
            <v>3200</v>
          </cell>
        </row>
        <row r="19">
          <cell r="D19" t="str">
            <v>Mzinda</v>
          </cell>
          <cell r="F19" t="str">
            <v>Core SO2</v>
          </cell>
          <cell r="G19">
            <v>3200</v>
          </cell>
        </row>
        <row r="20">
          <cell r="D20" t="str">
            <v>Mzinda</v>
          </cell>
          <cell r="F20" t="str">
            <v>Core SO2</v>
          </cell>
          <cell r="G20">
            <v>1600</v>
          </cell>
        </row>
        <row r="21">
          <cell r="D21" t="str">
            <v>Mzinda</v>
          </cell>
          <cell r="F21" t="str">
            <v>Core SO2</v>
          </cell>
          <cell r="G21">
            <v>1600</v>
          </cell>
        </row>
        <row r="22">
          <cell r="D22" t="str">
            <v>Mzinda</v>
          </cell>
          <cell r="F22" t="str">
            <v>Core SO2</v>
          </cell>
          <cell r="G22">
            <v>1600</v>
          </cell>
        </row>
        <row r="23">
          <cell r="D23" t="str">
            <v>Mzinda</v>
          </cell>
          <cell r="F23" t="str">
            <v>Core SO2</v>
          </cell>
          <cell r="G23">
            <v>1600</v>
          </cell>
        </row>
        <row r="24">
          <cell r="D24" t="str">
            <v>Safi</v>
          </cell>
          <cell r="F24" t="str">
            <v>SAFI EXISTING SITE</v>
          </cell>
          <cell r="G24">
            <v>4500</v>
          </cell>
        </row>
        <row r="25">
          <cell r="D25" t="str">
            <v>Safi</v>
          </cell>
          <cell r="F25" t="str">
            <v>SAFI EXISTING SITE</v>
          </cell>
          <cell r="G25">
            <v>4500</v>
          </cell>
        </row>
        <row r="26">
          <cell r="D26" t="str">
            <v>Safi</v>
          </cell>
          <cell r="F26" t="str">
            <v>SAFI EXISTING SITE</v>
          </cell>
          <cell r="G26">
            <v>4500</v>
          </cell>
        </row>
        <row r="27">
          <cell r="D27" t="str">
            <v>Safi</v>
          </cell>
          <cell r="F27" t="str">
            <v>DA-HRS</v>
          </cell>
          <cell r="G27">
            <v>1600</v>
          </cell>
        </row>
        <row r="28">
          <cell r="D28" t="str">
            <v>Safi</v>
          </cell>
          <cell r="F28" t="str">
            <v>DA-HRS</v>
          </cell>
          <cell r="G28">
            <v>1600</v>
          </cell>
        </row>
        <row r="29">
          <cell r="D29" t="str">
            <v>Safi</v>
          </cell>
          <cell r="F29" t="str">
            <v>DA-HRS</v>
          </cell>
          <cell r="G29">
            <v>1600</v>
          </cell>
        </row>
        <row r="30">
          <cell r="D30" t="str">
            <v>Safi</v>
          </cell>
          <cell r="F30" t="str">
            <v>DA-HRS</v>
          </cell>
          <cell r="G30">
            <v>1600</v>
          </cell>
        </row>
        <row r="31">
          <cell r="D31" t="str">
            <v>Safi</v>
          </cell>
          <cell r="F31" t="str">
            <v>DA-HRS</v>
          </cell>
          <cell r="G31">
            <v>1600</v>
          </cell>
        </row>
        <row r="32">
          <cell r="D32" t="str">
            <v>Safi</v>
          </cell>
          <cell r="F32" t="str">
            <v>DA-HRS</v>
          </cell>
          <cell r="G32">
            <v>1600</v>
          </cell>
        </row>
        <row r="33">
          <cell r="D33" t="str">
            <v>Safi</v>
          </cell>
          <cell r="F33" t="str">
            <v>DA-HRS</v>
          </cell>
          <cell r="G33">
            <v>1600</v>
          </cell>
        </row>
        <row r="34">
          <cell r="D34" t="str">
            <v>Safi</v>
          </cell>
          <cell r="F34" t="str">
            <v>DA-HRS</v>
          </cell>
          <cell r="G34">
            <v>1600</v>
          </cell>
        </row>
        <row r="35">
          <cell r="D35" t="str">
            <v>Safi</v>
          </cell>
          <cell r="F35" t="str">
            <v>Core SO2</v>
          </cell>
          <cell r="G35">
            <v>3200</v>
          </cell>
        </row>
        <row r="36">
          <cell r="D36" t="str">
            <v>Safi</v>
          </cell>
          <cell r="F36" t="str">
            <v>Core SO2</v>
          </cell>
          <cell r="G36">
            <v>3200</v>
          </cell>
        </row>
        <row r="37">
          <cell r="D37" t="str">
            <v>Safi</v>
          </cell>
          <cell r="F37" t="str">
            <v>Core SO2</v>
          </cell>
          <cell r="G37">
            <v>3200</v>
          </cell>
        </row>
        <row r="38">
          <cell r="D38" t="str">
            <v>Safi</v>
          </cell>
          <cell r="F38" t="str">
            <v>Core SO2</v>
          </cell>
          <cell r="G38">
            <v>3200</v>
          </cell>
        </row>
        <row r="39">
          <cell r="D39" t="str">
            <v>Safi</v>
          </cell>
          <cell r="F39" t="str">
            <v>Core SO2</v>
          </cell>
          <cell r="G39">
            <v>1600</v>
          </cell>
        </row>
        <row r="40">
          <cell r="D40" t="str">
            <v>Safi</v>
          </cell>
          <cell r="F40" t="str">
            <v>Core SO2</v>
          </cell>
          <cell r="G40">
            <v>1600</v>
          </cell>
        </row>
        <row r="41">
          <cell r="D41" t="str">
            <v>Safi</v>
          </cell>
          <cell r="F41" t="str">
            <v>Core SO2</v>
          </cell>
          <cell r="G41">
            <v>1600</v>
          </cell>
        </row>
        <row r="42">
          <cell r="D42" t="str">
            <v>Safi</v>
          </cell>
          <cell r="F42" t="str">
            <v>Core SO2</v>
          </cell>
          <cell r="G42">
            <v>1600</v>
          </cell>
        </row>
        <row r="43">
          <cell r="D43"/>
          <cell r="F43"/>
          <cell r="G43"/>
        </row>
        <row r="44">
          <cell r="D44"/>
          <cell r="F44"/>
          <cell r="G44"/>
        </row>
        <row r="45">
          <cell r="D45"/>
          <cell r="F45"/>
          <cell r="G45"/>
        </row>
        <row r="46">
          <cell r="D46"/>
          <cell r="F46"/>
          <cell r="G46"/>
        </row>
        <row r="47">
          <cell r="D47"/>
          <cell r="F47"/>
          <cell r="G47"/>
        </row>
        <row r="48">
          <cell r="D48"/>
          <cell r="F48"/>
          <cell r="G48"/>
        </row>
        <row r="49">
          <cell r="D49"/>
          <cell r="F49"/>
          <cell r="G49"/>
        </row>
        <row r="50">
          <cell r="D50"/>
          <cell r="F50"/>
          <cell r="G50"/>
        </row>
      </sheetData>
      <sheetData sheetId="19"/>
      <sheetData sheetId="20"/>
      <sheetData sheetId="21"/>
      <sheetData sheetId="22">
        <row r="5">
          <cell r="H5" t="str">
            <v>ACP 29</v>
          </cell>
          <cell r="O5" t="str">
            <v>Chimie</v>
          </cell>
        </row>
        <row r="6">
          <cell r="H6" t="str">
            <v>ACP 54</v>
          </cell>
          <cell r="O6"/>
        </row>
        <row r="7">
          <cell r="H7" t="str">
            <v>Gypsum</v>
          </cell>
          <cell r="O7"/>
        </row>
        <row r="8">
          <cell r="H8" t="str">
            <v>Fluor (FSA)</v>
          </cell>
          <cell r="O8"/>
        </row>
        <row r="9">
          <cell r="H9" t="str">
            <v xml:space="preserve">Cadmium </v>
          </cell>
          <cell r="O9"/>
        </row>
        <row r="10">
          <cell r="H10" t="str">
            <v>Uranium</v>
          </cell>
          <cell r="O10"/>
        </row>
        <row r="11">
          <cell r="H11"/>
          <cell r="O11"/>
        </row>
        <row r="12">
          <cell r="H12"/>
          <cell r="O12"/>
        </row>
        <row r="13">
          <cell r="H13"/>
          <cell r="O13"/>
        </row>
        <row r="14">
          <cell r="H14"/>
          <cell r="O14"/>
        </row>
        <row r="15">
          <cell r="H15"/>
          <cell r="O15"/>
        </row>
        <row r="16">
          <cell r="H16"/>
          <cell r="O16"/>
        </row>
        <row r="17">
          <cell r="H17"/>
          <cell r="O17"/>
        </row>
        <row r="18">
          <cell r="H18"/>
          <cell r="O18"/>
        </row>
        <row r="19">
          <cell r="H19"/>
          <cell r="O19"/>
        </row>
        <row r="20">
          <cell r="H20"/>
          <cell r="O20"/>
        </row>
        <row r="21">
          <cell r="H21"/>
          <cell r="O21"/>
        </row>
        <row r="22">
          <cell r="H22"/>
          <cell r="O22"/>
        </row>
        <row r="23">
          <cell r="H23"/>
          <cell r="O23"/>
        </row>
        <row r="24">
          <cell r="H24"/>
          <cell r="O24"/>
        </row>
        <row r="25">
          <cell r="H25"/>
          <cell r="O25"/>
        </row>
        <row r="26">
          <cell r="H26"/>
          <cell r="O26"/>
        </row>
        <row r="27">
          <cell r="H27"/>
          <cell r="O27"/>
        </row>
        <row r="28">
          <cell r="H28"/>
          <cell r="O28"/>
        </row>
        <row r="29">
          <cell r="H29"/>
          <cell r="O29"/>
        </row>
        <row r="30">
          <cell r="H30"/>
          <cell r="O30"/>
        </row>
        <row r="31">
          <cell r="H31"/>
          <cell r="O31"/>
        </row>
        <row r="32">
          <cell r="H32"/>
          <cell r="O32"/>
        </row>
        <row r="33">
          <cell r="H33"/>
          <cell r="O33"/>
        </row>
        <row r="34">
          <cell r="H34"/>
          <cell r="O34"/>
        </row>
        <row r="35">
          <cell r="H35"/>
          <cell r="O35"/>
        </row>
        <row r="36">
          <cell r="H36"/>
          <cell r="O36"/>
        </row>
        <row r="37">
          <cell r="H37"/>
          <cell r="O37"/>
        </row>
        <row r="38">
          <cell r="H38"/>
          <cell r="O38"/>
        </row>
        <row r="39">
          <cell r="H39"/>
          <cell r="O39"/>
        </row>
        <row r="40">
          <cell r="H40"/>
          <cell r="O40"/>
        </row>
      </sheetData>
      <sheetData sheetId="23"/>
      <sheetData sheetId="24"/>
      <sheetData sheetId="25"/>
      <sheetData sheetId="26"/>
      <sheetData sheetId="27">
        <row r="5">
          <cell r="H5" t="str">
            <v>MAP</v>
          </cell>
          <cell r="N5">
            <v>250</v>
          </cell>
        </row>
        <row r="6">
          <cell r="H6" t="str">
            <v>DAP</v>
          </cell>
          <cell r="N6">
            <v>500</v>
          </cell>
        </row>
        <row r="7">
          <cell r="H7" t="str">
            <v>NPK</v>
          </cell>
          <cell r="N7">
            <v>750</v>
          </cell>
        </row>
        <row r="8">
          <cell r="H8" t="str">
            <v>NPS</v>
          </cell>
          <cell r="N8">
            <v>1500</v>
          </cell>
        </row>
        <row r="9">
          <cell r="H9" t="str">
            <v>ASP</v>
          </cell>
          <cell r="N9"/>
        </row>
        <row r="10">
          <cell r="H10" t="str">
            <v>TSP</v>
          </cell>
          <cell r="N10"/>
        </row>
        <row r="11">
          <cell r="H11" t="str">
            <v>MCP</v>
          </cell>
          <cell r="N11"/>
        </row>
        <row r="12">
          <cell r="H12" t="str">
            <v>DCP</v>
          </cell>
          <cell r="N12"/>
        </row>
        <row r="13">
          <cell r="H13"/>
          <cell r="N13"/>
        </row>
        <row r="14">
          <cell r="H14"/>
          <cell r="N14"/>
        </row>
        <row r="15">
          <cell r="H15"/>
          <cell r="N15"/>
        </row>
        <row r="16">
          <cell r="H16"/>
          <cell r="N16"/>
        </row>
        <row r="17">
          <cell r="H17"/>
          <cell r="N17"/>
        </row>
        <row r="18">
          <cell r="H18"/>
          <cell r="N18"/>
        </row>
        <row r="19">
          <cell r="H19"/>
          <cell r="N19"/>
        </row>
        <row r="20">
          <cell r="H20"/>
          <cell r="N20"/>
        </row>
        <row r="21">
          <cell r="H21"/>
          <cell r="N21"/>
        </row>
        <row r="22">
          <cell r="H22"/>
          <cell r="N22"/>
        </row>
        <row r="23">
          <cell r="H23"/>
          <cell r="N23"/>
        </row>
        <row r="24">
          <cell r="H24"/>
          <cell r="N24"/>
        </row>
        <row r="25">
          <cell r="H25"/>
          <cell r="N25"/>
        </row>
        <row r="26">
          <cell r="H26"/>
          <cell r="N26"/>
        </row>
        <row r="27">
          <cell r="H27"/>
          <cell r="N27"/>
        </row>
        <row r="28">
          <cell r="H28"/>
          <cell r="N28"/>
        </row>
        <row r="29">
          <cell r="H29"/>
          <cell r="N29"/>
        </row>
        <row r="30">
          <cell r="H30"/>
          <cell r="N30"/>
        </row>
        <row r="31">
          <cell r="H31"/>
          <cell r="N31"/>
        </row>
        <row r="32">
          <cell r="H32"/>
          <cell r="N32"/>
        </row>
        <row r="33">
          <cell r="H33"/>
          <cell r="N33"/>
        </row>
        <row r="34">
          <cell r="H34"/>
          <cell r="N34"/>
        </row>
        <row r="35">
          <cell r="H35"/>
          <cell r="N35"/>
        </row>
        <row r="36">
          <cell r="H36"/>
          <cell r="N36"/>
        </row>
        <row r="37">
          <cell r="H37"/>
          <cell r="N37"/>
        </row>
        <row r="38">
          <cell r="H38"/>
          <cell r="N38"/>
        </row>
        <row r="39">
          <cell r="H39"/>
          <cell r="N39"/>
        </row>
        <row r="40">
          <cell r="H40"/>
          <cell r="N40"/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mmon dict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Conversion matri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L5" t="str">
            <v>ACP 29</v>
          </cell>
        </row>
        <row r="6">
          <cell r="L6" t="str">
            <v>ACP 54</v>
          </cell>
        </row>
        <row r="7">
          <cell r="L7">
            <v>0</v>
          </cell>
        </row>
        <row r="8">
          <cell r="L8">
            <v>0</v>
          </cell>
        </row>
        <row r="9">
          <cell r="L9">
            <v>0</v>
          </cell>
        </row>
        <row r="10">
          <cell r="L10">
            <v>0</v>
          </cell>
        </row>
        <row r="11">
          <cell r="L11">
            <v>0</v>
          </cell>
        </row>
        <row r="12">
          <cell r="L12">
            <v>0</v>
          </cell>
        </row>
        <row r="13">
          <cell r="L13">
            <v>0</v>
          </cell>
        </row>
        <row r="14">
          <cell r="L14">
            <v>0</v>
          </cell>
        </row>
        <row r="15">
          <cell r="L15">
            <v>0</v>
          </cell>
        </row>
        <row r="16">
          <cell r="L16">
            <v>0</v>
          </cell>
        </row>
        <row r="17">
          <cell r="L17">
            <v>0</v>
          </cell>
        </row>
        <row r="18">
          <cell r="L18">
            <v>0</v>
          </cell>
        </row>
        <row r="19">
          <cell r="L19">
            <v>0</v>
          </cell>
        </row>
        <row r="20">
          <cell r="L20">
            <v>0</v>
          </cell>
        </row>
        <row r="21">
          <cell r="L21">
            <v>0</v>
          </cell>
        </row>
        <row r="22">
          <cell r="L22">
            <v>0</v>
          </cell>
        </row>
        <row r="23">
          <cell r="L23">
            <v>0</v>
          </cell>
        </row>
        <row r="24">
          <cell r="L24">
            <v>0</v>
          </cell>
        </row>
        <row r="25">
          <cell r="L25">
            <v>0</v>
          </cell>
        </row>
        <row r="26">
          <cell r="L26">
            <v>0</v>
          </cell>
        </row>
        <row r="27">
          <cell r="L27">
            <v>0</v>
          </cell>
        </row>
        <row r="28">
          <cell r="L28">
            <v>0</v>
          </cell>
        </row>
        <row r="29">
          <cell r="L29">
            <v>0</v>
          </cell>
        </row>
        <row r="30">
          <cell r="L30">
            <v>0</v>
          </cell>
        </row>
        <row r="31">
          <cell r="L31">
            <v>0</v>
          </cell>
        </row>
        <row r="32">
          <cell r="L32">
            <v>0</v>
          </cell>
        </row>
        <row r="33">
          <cell r="L33">
            <v>0</v>
          </cell>
        </row>
        <row r="34">
          <cell r="L34">
            <v>0</v>
          </cell>
        </row>
        <row r="35">
          <cell r="L35">
            <v>0</v>
          </cell>
        </row>
        <row r="36">
          <cell r="L36">
            <v>0</v>
          </cell>
        </row>
        <row r="37">
          <cell r="L37">
            <v>0</v>
          </cell>
        </row>
        <row r="38">
          <cell r="L38">
            <v>0</v>
          </cell>
        </row>
        <row r="39">
          <cell r="L39">
            <v>0</v>
          </cell>
        </row>
        <row r="40">
          <cell r="L40">
            <v>0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Common dict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FilledCanevas_SAP 2908201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5">
          <cell r="D5" t="str">
            <v>Mzinda</v>
          </cell>
          <cell r="F5" t="str">
            <v>Process 1</v>
          </cell>
          <cell r="G5">
            <v>1500</v>
          </cell>
        </row>
        <row r="6">
          <cell r="D6" t="str">
            <v>Mzinda</v>
          </cell>
          <cell r="F6" t="str">
            <v>Process 1</v>
          </cell>
          <cell r="G6">
            <v>1500</v>
          </cell>
        </row>
        <row r="7">
          <cell r="D7" t="str">
            <v>Mzinda</v>
          </cell>
          <cell r="F7" t="str">
            <v>Process 1</v>
          </cell>
          <cell r="G7">
            <v>1500</v>
          </cell>
        </row>
        <row r="8">
          <cell r="D8" t="str">
            <v>Mzinda</v>
          </cell>
          <cell r="F8" t="str">
            <v>Process 1</v>
          </cell>
          <cell r="G8">
            <v>1500</v>
          </cell>
        </row>
        <row r="9">
          <cell r="D9" t="str">
            <v>Mzinda</v>
          </cell>
          <cell r="F9" t="str">
            <v>Process 1</v>
          </cell>
          <cell r="G9">
            <v>1500</v>
          </cell>
        </row>
        <row r="10">
          <cell r="D10" t="str">
            <v>Mzinda</v>
          </cell>
          <cell r="F10" t="str">
            <v>Process 1</v>
          </cell>
          <cell r="G10">
            <v>1500</v>
          </cell>
        </row>
        <row r="11">
          <cell r="D11" t="str">
            <v>Mzinda</v>
          </cell>
          <cell r="F11" t="str">
            <v>Process 1</v>
          </cell>
          <cell r="G11">
            <v>1500</v>
          </cell>
        </row>
        <row r="12">
          <cell r="D12" t="str">
            <v>Mzinda</v>
          </cell>
          <cell r="F12" t="str">
            <v>Process 1</v>
          </cell>
          <cell r="G12">
            <v>1500</v>
          </cell>
        </row>
        <row r="13">
          <cell r="D13" t="str">
            <v>Mzinda</v>
          </cell>
          <cell r="F13" t="str">
            <v>Process 1</v>
          </cell>
          <cell r="G13">
            <v>2400</v>
          </cell>
        </row>
        <row r="14">
          <cell r="D14" t="str">
            <v>Mzinda</v>
          </cell>
          <cell r="F14" t="str">
            <v>Process 1</v>
          </cell>
          <cell r="G14">
            <v>2400</v>
          </cell>
        </row>
        <row r="15">
          <cell r="D15" t="str">
            <v>Mzinda</v>
          </cell>
          <cell r="F15" t="str">
            <v>Process 1</v>
          </cell>
          <cell r="G15">
            <v>2400</v>
          </cell>
        </row>
        <row r="16">
          <cell r="D16" t="str">
            <v>Mzinda</v>
          </cell>
          <cell r="F16" t="str">
            <v>Process 1</v>
          </cell>
          <cell r="G16">
            <v>2400</v>
          </cell>
        </row>
        <row r="17">
          <cell r="D17" t="str">
            <v>Mzinda</v>
          </cell>
          <cell r="F17" t="str">
            <v>Process 1</v>
          </cell>
          <cell r="G17">
            <v>2400</v>
          </cell>
        </row>
        <row r="18">
          <cell r="D18" t="str">
            <v>Mzinda</v>
          </cell>
          <cell r="F18" t="str">
            <v>Process 4</v>
          </cell>
          <cell r="G18">
            <v>1500</v>
          </cell>
        </row>
        <row r="19">
          <cell r="D19" t="str">
            <v>Mzinda</v>
          </cell>
          <cell r="F19" t="str">
            <v>Process 4</v>
          </cell>
          <cell r="G19">
            <v>1500</v>
          </cell>
        </row>
        <row r="20">
          <cell r="D20" t="str">
            <v>Mzinda</v>
          </cell>
          <cell r="F20" t="str">
            <v>Process 4</v>
          </cell>
          <cell r="G20">
            <v>1500</v>
          </cell>
        </row>
        <row r="21">
          <cell r="D21" t="str">
            <v>Mzinda</v>
          </cell>
          <cell r="F21" t="str">
            <v>Process 4</v>
          </cell>
          <cell r="G21">
            <v>1500</v>
          </cell>
        </row>
        <row r="22">
          <cell r="D22" t="str">
            <v>Mzinda</v>
          </cell>
          <cell r="F22" t="str">
            <v>Process 4</v>
          </cell>
          <cell r="G22">
            <v>1500</v>
          </cell>
        </row>
        <row r="23">
          <cell r="D23" t="str">
            <v>Mzinda</v>
          </cell>
          <cell r="F23" t="str">
            <v>Process 4</v>
          </cell>
          <cell r="G23">
            <v>1500</v>
          </cell>
        </row>
        <row r="24">
          <cell r="D24" t="str">
            <v>Mzinda</v>
          </cell>
          <cell r="F24" t="str">
            <v>Process 4</v>
          </cell>
          <cell r="G24">
            <v>1500</v>
          </cell>
        </row>
        <row r="25">
          <cell r="D25" t="str">
            <v>Mzinda</v>
          </cell>
          <cell r="F25" t="str">
            <v>Process 4</v>
          </cell>
          <cell r="G25">
            <v>1500</v>
          </cell>
        </row>
        <row r="26">
          <cell r="D26" t="str">
            <v>Mzinda</v>
          </cell>
          <cell r="F26" t="str">
            <v>Process 3</v>
          </cell>
          <cell r="G26">
            <v>1500</v>
          </cell>
        </row>
        <row r="27">
          <cell r="D27" t="str">
            <v>Mzinda</v>
          </cell>
          <cell r="F27" t="str">
            <v>Process 3</v>
          </cell>
          <cell r="G27">
            <v>1500</v>
          </cell>
        </row>
        <row r="28">
          <cell r="D28" t="str">
            <v>Mzinda</v>
          </cell>
          <cell r="F28" t="str">
            <v>Process 3</v>
          </cell>
          <cell r="G28">
            <v>1500</v>
          </cell>
        </row>
        <row r="29">
          <cell r="D29" t="str">
            <v>Mzinda</v>
          </cell>
          <cell r="F29" t="str">
            <v>Process 3</v>
          </cell>
          <cell r="G29">
            <v>1500</v>
          </cell>
        </row>
        <row r="30">
          <cell r="D30" t="str">
            <v>Mzinda</v>
          </cell>
          <cell r="F30" t="str">
            <v>Process 3</v>
          </cell>
          <cell r="G30">
            <v>1500</v>
          </cell>
        </row>
        <row r="31">
          <cell r="D31" t="str">
            <v>Mzinda</v>
          </cell>
          <cell r="F31" t="str">
            <v>Process 3</v>
          </cell>
          <cell r="G31">
            <v>1500</v>
          </cell>
        </row>
        <row r="32">
          <cell r="D32" t="str">
            <v>Mzinda</v>
          </cell>
          <cell r="F32" t="str">
            <v>Process 3</v>
          </cell>
          <cell r="G32">
            <v>1500</v>
          </cell>
        </row>
        <row r="33">
          <cell r="D33" t="str">
            <v>Mzinda</v>
          </cell>
          <cell r="F33" t="str">
            <v>Process 3</v>
          </cell>
          <cell r="G33">
            <v>1500</v>
          </cell>
        </row>
        <row r="34">
          <cell r="D34" t="str">
            <v>Mzinda</v>
          </cell>
          <cell r="F34" t="str">
            <v>Process 1</v>
          </cell>
          <cell r="G34">
            <v>1500</v>
          </cell>
        </row>
        <row r="35">
          <cell r="D35" t="str">
            <v>Mzinda</v>
          </cell>
          <cell r="F35" t="str">
            <v>Process 1</v>
          </cell>
          <cell r="G35">
            <v>1500</v>
          </cell>
        </row>
        <row r="36">
          <cell r="D36" t="str">
            <v>Mzinda</v>
          </cell>
          <cell r="F36" t="str">
            <v>Process 1</v>
          </cell>
          <cell r="G36">
            <v>1500</v>
          </cell>
        </row>
        <row r="37">
          <cell r="D37" t="str">
            <v>SPH</v>
          </cell>
          <cell r="F37" t="str">
            <v>Process 1</v>
          </cell>
          <cell r="G37">
            <v>1500</v>
          </cell>
        </row>
        <row r="38">
          <cell r="D38" t="str">
            <v>SPH</v>
          </cell>
          <cell r="F38" t="str">
            <v>Process 1</v>
          </cell>
          <cell r="G38">
            <v>1500</v>
          </cell>
        </row>
        <row r="39">
          <cell r="D39" t="str">
            <v>SPH</v>
          </cell>
          <cell r="F39" t="str">
            <v>Process 1</v>
          </cell>
          <cell r="G39">
            <v>1500</v>
          </cell>
        </row>
        <row r="40">
          <cell r="D40" t="str">
            <v>SPH</v>
          </cell>
          <cell r="F40" t="str">
            <v>Process 1</v>
          </cell>
          <cell r="G40">
            <v>1500</v>
          </cell>
        </row>
        <row r="41">
          <cell r="D41" t="str">
            <v>SPH</v>
          </cell>
          <cell r="F41" t="str">
            <v>Process 1</v>
          </cell>
          <cell r="G41">
            <v>1500</v>
          </cell>
        </row>
        <row r="42">
          <cell r="D42" t="str">
            <v>Mzinda</v>
          </cell>
          <cell r="F42" t="str">
            <v>Process 1</v>
          </cell>
          <cell r="G42">
            <v>2400</v>
          </cell>
        </row>
        <row r="43">
          <cell r="D43" t="str">
            <v>Mzinda</v>
          </cell>
          <cell r="F43" t="str">
            <v>Process 1</v>
          </cell>
          <cell r="G43">
            <v>2400</v>
          </cell>
        </row>
        <row r="44">
          <cell r="D44" t="str">
            <v>SPH</v>
          </cell>
          <cell r="F44" t="str">
            <v>Process 1</v>
          </cell>
          <cell r="G44">
            <v>2400</v>
          </cell>
        </row>
        <row r="45">
          <cell r="D45" t="str">
            <v>SPH</v>
          </cell>
          <cell r="F45" t="str">
            <v>Process 1</v>
          </cell>
          <cell r="G45">
            <v>2400</v>
          </cell>
        </row>
        <row r="46">
          <cell r="D46" t="str">
            <v>SPH</v>
          </cell>
          <cell r="F46" t="str">
            <v>Process 1</v>
          </cell>
          <cell r="G46">
            <v>2400</v>
          </cell>
        </row>
        <row r="47">
          <cell r="D47" t="str">
            <v>Mzinda</v>
          </cell>
          <cell r="F47" t="str">
            <v>Process 4</v>
          </cell>
          <cell r="G47">
            <v>1500</v>
          </cell>
        </row>
        <row r="48">
          <cell r="D48" t="str">
            <v>Mzinda</v>
          </cell>
          <cell r="F48" t="str">
            <v>Process 4</v>
          </cell>
          <cell r="G48">
            <v>1500</v>
          </cell>
        </row>
        <row r="49">
          <cell r="D49" t="str">
            <v>Mzinda</v>
          </cell>
          <cell r="F49" t="str">
            <v>Process 4</v>
          </cell>
          <cell r="G49">
            <v>1500</v>
          </cell>
        </row>
        <row r="50">
          <cell r="D50" t="str">
            <v>SPH</v>
          </cell>
          <cell r="F50" t="str">
            <v>Process 4</v>
          </cell>
          <cell r="G50">
            <v>1500</v>
          </cell>
        </row>
        <row r="51">
          <cell r="D51" t="str">
            <v>SPH</v>
          </cell>
          <cell r="F51" t="str">
            <v>Process 4</v>
          </cell>
          <cell r="G51">
            <v>1500</v>
          </cell>
        </row>
        <row r="52">
          <cell r="D52" t="str">
            <v>SPH</v>
          </cell>
          <cell r="F52" t="str">
            <v>Process 4</v>
          </cell>
          <cell r="G52">
            <v>1500</v>
          </cell>
        </row>
        <row r="53">
          <cell r="D53" t="str">
            <v>SPH</v>
          </cell>
          <cell r="F53" t="str">
            <v>Process 4</v>
          </cell>
          <cell r="G53">
            <v>1500</v>
          </cell>
        </row>
        <row r="54">
          <cell r="D54" t="str">
            <v>SPH</v>
          </cell>
          <cell r="F54" t="str">
            <v>Process 4</v>
          </cell>
          <cell r="G54">
            <v>1500</v>
          </cell>
        </row>
        <row r="55">
          <cell r="D55" t="str">
            <v>Mzinda</v>
          </cell>
          <cell r="F55" t="str">
            <v>Process 3</v>
          </cell>
          <cell r="G55">
            <v>1500</v>
          </cell>
        </row>
        <row r="56">
          <cell r="D56" t="str">
            <v>Mzinda</v>
          </cell>
          <cell r="F56" t="str">
            <v>Process 3</v>
          </cell>
          <cell r="G56">
            <v>1500</v>
          </cell>
        </row>
        <row r="57">
          <cell r="D57" t="str">
            <v>Mzinda</v>
          </cell>
          <cell r="F57" t="str">
            <v>Process 3</v>
          </cell>
          <cell r="G57">
            <v>1500</v>
          </cell>
        </row>
      </sheetData>
      <sheetData sheetId="9"/>
      <sheetData sheetId="10"/>
      <sheetData sheetId="1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nversion matrix"/>
      <sheetName val="Common dict"/>
      <sheetName val="MINING &gt;&gt;&gt;"/>
      <sheetName val="MINING options"/>
      <sheetName val="MINING production"/>
      <sheetName val="MINING opex"/>
      <sheetName val="MINING capex"/>
      <sheetName val="Connection matrix Mine2Benef"/>
      <sheetName val="Beneficiation &gt;&gt;&gt;"/>
      <sheetName val="Beneficiation options"/>
      <sheetName val="Beneficiation production"/>
      <sheetName val="Beneficiation opex"/>
      <sheetName val="Beneficiation capex"/>
      <sheetName val="Connection matrix Benef2PAP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5">
          <cell r="F5" t="str">
            <v>Chemical granulation</v>
          </cell>
        </row>
      </sheetData>
      <sheetData sheetId="30"/>
      <sheetData sheetId="31"/>
      <sheetData sheetId="32"/>
      <sheetData sheetId="33"/>
      <sheetData sheetId="34">
        <row r="5">
          <cell r="D5" t="str">
            <v>Train</v>
          </cell>
        </row>
      </sheetData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nversion matrix"/>
      <sheetName val="Common dict"/>
      <sheetName val="MINING &gt;&gt;&gt;"/>
      <sheetName val="MINING options"/>
      <sheetName val="MINING production"/>
      <sheetName val="MINING opex"/>
      <sheetName val="MINING capex"/>
      <sheetName val="Connection matrix Mine2Benef"/>
      <sheetName val="Beneficiation &gt;&gt;&gt;"/>
      <sheetName val="Beneficiation options"/>
      <sheetName val="Beneficiation production"/>
      <sheetName val="Beneficiation opex"/>
      <sheetName val="Beneficiation capex"/>
      <sheetName val="Connection matrix Benef2PAP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FilledTemplates minimized 29101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D5" t="str">
            <v>Benguerir</v>
          </cell>
        </row>
      </sheetData>
      <sheetData sheetId="7">
        <row r="5">
          <cell r="D5" t="str">
            <v>Benguerir 1</v>
          </cell>
        </row>
      </sheetData>
      <sheetData sheetId="8"/>
      <sheetData sheetId="9"/>
      <sheetData sheetId="10"/>
      <sheetData sheetId="11"/>
      <sheetData sheetId="12"/>
      <sheetData sheetId="13">
        <row r="5">
          <cell r="D5" t="str">
            <v>Youssoufia WP</v>
          </cell>
        </row>
      </sheetData>
      <sheetData sheetId="14"/>
      <sheetData sheetId="15"/>
      <sheetData sheetId="16"/>
      <sheetData sheetId="17"/>
      <sheetData sheetId="18"/>
      <sheetData sheetId="19"/>
      <sheetData sheetId="20">
        <row r="5">
          <cell r="D5" t="str">
            <v>Mzinda</v>
          </cell>
        </row>
      </sheetData>
      <sheetData sheetId="21"/>
      <sheetData sheetId="22"/>
      <sheetData sheetId="23"/>
      <sheetData sheetId="24">
        <row r="5">
          <cell r="H5" t="str">
            <v>ACP 29</v>
          </cell>
        </row>
      </sheetData>
      <sheetData sheetId="25"/>
      <sheetData sheetId="26"/>
      <sheetData sheetId="27"/>
      <sheetData sheetId="28"/>
      <sheetData sheetId="29">
        <row r="5">
          <cell r="F5" t="str">
            <v>Chemical granulation</v>
          </cell>
        </row>
      </sheetData>
      <sheetData sheetId="30"/>
      <sheetData sheetId="31"/>
      <sheetData sheetId="32"/>
      <sheetData sheetId="33"/>
      <sheetData sheetId="34">
        <row r="5">
          <cell r="D5" t="str">
            <v>Train</v>
          </cell>
        </row>
      </sheetData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2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C00000"/>
  </sheetPr>
  <dimension ref="B1:O28"/>
  <sheetViews>
    <sheetView tabSelected="1" zoomScale="85" zoomScaleNormal="85" workbookViewId="0">
      <selection activeCell="M24" sqref="M24"/>
    </sheetView>
  </sheetViews>
  <sheetFormatPr baseColWidth="10" defaultColWidth="11.5703125" defaultRowHeight="15" x14ac:dyDescent="0.25"/>
  <cols>
    <col min="1" max="3" width="3.85546875" style="1" customWidth="1"/>
    <col min="4" max="15" width="11.5703125" style="1"/>
    <col min="16" max="16" width="12.42578125" style="1" bestFit="1" customWidth="1"/>
    <col min="17" max="16384" width="11.5703125" style="1"/>
  </cols>
  <sheetData>
    <row r="1" spans="2:15" s="25" customFormat="1" ht="24.95" customHeight="1" x14ac:dyDescent="0.25">
      <c r="B1" s="24" t="s">
        <v>91</v>
      </c>
    </row>
    <row r="16" spans="2:15" x14ac:dyDescent="0.25">
      <c r="O16"/>
    </row>
    <row r="17" spans="12:14" x14ac:dyDescent="0.25">
      <c r="L17" s="145"/>
      <c r="M17" s="145"/>
      <c r="N17" s="145"/>
    </row>
    <row r="18" spans="12:14" x14ac:dyDescent="0.25">
      <c r="L18" s="145"/>
      <c r="M18" s="145"/>
      <c r="N18" s="145"/>
    </row>
    <row r="19" spans="12:14" x14ac:dyDescent="0.25">
      <c r="L19" s="145"/>
      <c r="M19" s="145"/>
      <c r="N19" s="145"/>
    </row>
    <row r="20" spans="12:14" x14ac:dyDescent="0.25">
      <c r="L20" s="145"/>
      <c r="M20" s="145"/>
      <c r="N20" s="145"/>
    </row>
    <row r="21" spans="12:14" x14ac:dyDescent="0.25">
      <c r="L21" s="145"/>
      <c r="M21" s="145"/>
      <c r="N21" s="145"/>
    </row>
    <row r="22" spans="12:14" x14ac:dyDescent="0.25">
      <c r="L22" s="145"/>
      <c r="M22" s="145"/>
      <c r="N22" s="145"/>
    </row>
    <row r="23" spans="12:14" x14ac:dyDescent="0.25">
      <c r="L23" s="145"/>
      <c r="M23" s="145"/>
      <c r="N23" s="145"/>
    </row>
    <row r="24" spans="12:14" x14ac:dyDescent="0.25">
      <c r="L24" s="145" t="s">
        <v>471</v>
      </c>
      <c r="M24" s="146" t="s">
        <v>467</v>
      </c>
      <c r="N24" s="145"/>
    </row>
    <row r="25" spans="12:14" x14ac:dyDescent="0.25">
      <c r="L25" s="145"/>
      <c r="M25" s="145"/>
      <c r="N25" s="145"/>
    </row>
    <row r="26" spans="12:14" x14ac:dyDescent="0.25">
      <c r="L26" s="145" t="s">
        <v>469</v>
      </c>
      <c r="M26" s="146" t="s">
        <v>468</v>
      </c>
      <c r="N26" s="145"/>
    </row>
    <row r="27" spans="12:14" x14ac:dyDescent="0.25">
      <c r="L27" s="145" t="s">
        <v>470</v>
      </c>
      <c r="M27" s="146">
        <v>5001</v>
      </c>
      <c r="N27" s="145"/>
    </row>
    <row r="28" spans="12:14" x14ac:dyDescent="0.25">
      <c r="L28" s="145"/>
      <c r="M28" s="145"/>
      <c r="N28" s="145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3"/>
  </sheetPr>
  <dimension ref="B1:AB51"/>
  <sheetViews>
    <sheetView zoomScaleNormal="100" workbookViewId="0">
      <selection activeCell="R8" sqref="R8"/>
    </sheetView>
  </sheetViews>
  <sheetFormatPr baseColWidth="10" defaultColWidth="11.5703125" defaultRowHeight="15" x14ac:dyDescent="0.25"/>
  <cols>
    <col min="1" max="3" width="3.85546875" style="5" customWidth="1"/>
    <col min="4" max="5" width="17.140625" style="5" bestFit="1" customWidth="1"/>
    <col min="6" max="6" width="15.85546875" style="5" customWidth="1"/>
    <col min="7" max="17" width="8.85546875" style="5" customWidth="1"/>
    <col min="18" max="16384" width="11.5703125" style="5"/>
  </cols>
  <sheetData>
    <row r="1" spans="2:28" s="25" customFormat="1" ht="24.95" customHeight="1" x14ac:dyDescent="0.25">
      <c r="B1" s="24" t="s">
        <v>181</v>
      </c>
    </row>
    <row r="3" spans="2:28" ht="15.75" thickBot="1" x14ac:dyDescent="0.3">
      <c r="D3" s="38" t="str">
        <f>JESA_UploadTable("sales_plan",D4:Q15,db)</f>
        <v>sales_plan @09:45:19</v>
      </c>
      <c r="E3" s="38"/>
    </row>
    <row r="4" spans="2:28" ht="30" customHeight="1" thickBot="1" x14ac:dyDescent="0.3">
      <c r="D4" s="60" t="s">
        <v>160</v>
      </c>
      <c r="E4" s="60" t="s">
        <v>24</v>
      </c>
      <c r="F4" s="60" t="s">
        <v>17</v>
      </c>
      <c r="G4" s="77" t="s">
        <v>37</v>
      </c>
      <c r="H4" s="77" t="s">
        <v>38</v>
      </c>
      <c r="I4" s="77" t="s">
        <v>39</v>
      </c>
      <c r="J4" s="77" t="s">
        <v>40</v>
      </c>
      <c r="K4" s="77" t="s">
        <v>41</v>
      </c>
      <c r="L4" s="77" t="s">
        <v>42</v>
      </c>
      <c r="M4" s="77" t="s">
        <v>43</v>
      </c>
      <c r="N4" s="77" t="s">
        <v>44</v>
      </c>
      <c r="O4" s="77" t="s">
        <v>45</v>
      </c>
      <c r="P4" s="77" t="s">
        <v>46</v>
      </c>
      <c r="Q4" s="77" t="s">
        <v>47</v>
      </c>
    </row>
    <row r="5" spans="2:28" x14ac:dyDescent="0.25">
      <c r="D5" s="8" t="s">
        <v>186</v>
      </c>
      <c r="E5" s="8" t="s">
        <v>290</v>
      </c>
      <c r="F5" s="8" t="s">
        <v>337</v>
      </c>
      <c r="G5" s="18">
        <v>500</v>
      </c>
      <c r="H5" s="18">
        <v>500</v>
      </c>
      <c r="I5" s="17">
        <v>500</v>
      </c>
      <c r="J5" s="17">
        <f t="shared" ref="J5:Q5" si="0">IF(I5="","",I5)</f>
        <v>500</v>
      </c>
      <c r="K5" s="17">
        <v>2500</v>
      </c>
      <c r="L5" s="17">
        <f t="shared" si="0"/>
        <v>2500</v>
      </c>
      <c r="M5" s="17">
        <f t="shared" si="0"/>
        <v>2500</v>
      </c>
      <c r="N5" s="17">
        <f t="shared" si="0"/>
        <v>2500</v>
      </c>
      <c r="O5" s="17">
        <f t="shared" si="0"/>
        <v>2500</v>
      </c>
      <c r="P5" s="17">
        <f t="shared" si="0"/>
        <v>2500</v>
      </c>
      <c r="Q5" s="17">
        <f t="shared" si="0"/>
        <v>2500</v>
      </c>
    </row>
    <row r="6" spans="2:28" x14ac:dyDescent="0.25">
      <c r="D6" s="9" t="s">
        <v>233</v>
      </c>
      <c r="E6" s="9" t="s">
        <v>458</v>
      </c>
      <c r="F6" s="9" t="s">
        <v>337</v>
      </c>
      <c r="G6" s="18">
        <v>1000</v>
      </c>
      <c r="H6" s="18">
        <v>1000</v>
      </c>
      <c r="I6" s="18">
        <v>1000</v>
      </c>
      <c r="J6" s="18">
        <v>1000</v>
      </c>
      <c r="K6" s="18">
        <v>1423.9288612686755</v>
      </c>
      <c r="L6" s="18">
        <v>2097.8671198550132</v>
      </c>
      <c r="M6" s="18">
        <v>2590.7043609316174</v>
      </c>
      <c r="N6" s="18">
        <v>2783.5644020575896</v>
      </c>
      <c r="O6" s="18">
        <v>2914.3823704929023</v>
      </c>
      <c r="P6" s="18">
        <v>2799.9162595673874</v>
      </c>
      <c r="Q6" s="18">
        <v>2688.0416393595938</v>
      </c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</row>
    <row r="7" spans="2:28" x14ac:dyDescent="0.25">
      <c r="D7" s="9" t="s">
        <v>234</v>
      </c>
      <c r="E7" s="9" t="s">
        <v>81</v>
      </c>
      <c r="F7" s="9" t="s">
        <v>337</v>
      </c>
      <c r="G7" s="18">
        <v>0</v>
      </c>
      <c r="H7" s="18">
        <v>0</v>
      </c>
      <c r="I7" s="18">
        <v>0</v>
      </c>
      <c r="J7" s="18">
        <v>0</v>
      </c>
      <c r="K7" s="18">
        <v>0</v>
      </c>
      <c r="L7" s="18">
        <v>0</v>
      </c>
      <c r="M7" s="18">
        <v>0</v>
      </c>
      <c r="N7" s="18">
        <v>260.78175646749241</v>
      </c>
      <c r="O7" s="18">
        <v>564.956151330186</v>
      </c>
      <c r="P7" s="18">
        <v>1089.8955337265088</v>
      </c>
      <c r="Q7" s="18">
        <v>1612.4452633248056</v>
      </c>
    </row>
    <row r="8" spans="2:28" x14ac:dyDescent="0.25">
      <c r="D8" s="9" t="s">
        <v>234</v>
      </c>
      <c r="E8" s="9" t="s">
        <v>82</v>
      </c>
      <c r="F8" s="9" t="s">
        <v>337</v>
      </c>
      <c r="G8" s="18">
        <v>0</v>
      </c>
      <c r="H8" s="18">
        <v>0</v>
      </c>
      <c r="I8" s="18">
        <v>0</v>
      </c>
      <c r="J8" s="18">
        <v>0</v>
      </c>
      <c r="K8" s="18">
        <v>0</v>
      </c>
      <c r="L8" s="18">
        <v>0</v>
      </c>
      <c r="M8" s="18">
        <v>0</v>
      </c>
      <c r="N8" s="18">
        <v>346.06577134249346</v>
      </c>
      <c r="O8" s="18">
        <v>749.71496830584056</v>
      </c>
      <c r="P8" s="18">
        <v>1446.3263982533254</v>
      </c>
      <c r="Q8" s="18">
        <v>2139.7666821436924</v>
      </c>
    </row>
    <row r="9" spans="2:28" x14ac:dyDescent="0.25">
      <c r="D9" s="9" t="s">
        <v>234</v>
      </c>
      <c r="E9" s="9" t="s">
        <v>244</v>
      </c>
      <c r="F9" s="9" t="s">
        <v>337</v>
      </c>
      <c r="G9" s="18">
        <v>150</v>
      </c>
      <c r="H9" s="18">
        <v>150</v>
      </c>
      <c r="I9" s="18">
        <v>150</v>
      </c>
      <c r="J9" s="18">
        <f t="shared" ref="J9:Q9" si="1">IF(I9="","",I9)</f>
        <v>150</v>
      </c>
      <c r="K9" s="18">
        <f t="shared" si="1"/>
        <v>150</v>
      </c>
      <c r="L9" s="18">
        <f t="shared" si="1"/>
        <v>150</v>
      </c>
      <c r="M9" s="18">
        <f t="shared" si="1"/>
        <v>150</v>
      </c>
      <c r="N9" s="18">
        <f t="shared" si="1"/>
        <v>150</v>
      </c>
      <c r="O9" s="18">
        <f t="shared" si="1"/>
        <v>150</v>
      </c>
      <c r="P9" s="18">
        <f t="shared" si="1"/>
        <v>150</v>
      </c>
      <c r="Q9" s="18">
        <f t="shared" si="1"/>
        <v>150</v>
      </c>
    </row>
    <row r="10" spans="2:28" x14ac:dyDescent="0.25">
      <c r="D10" s="9" t="s">
        <v>234</v>
      </c>
      <c r="E10" s="9" t="s">
        <v>85</v>
      </c>
      <c r="F10" s="9" t="s">
        <v>337</v>
      </c>
      <c r="G10" s="18">
        <v>117</v>
      </c>
      <c r="H10" s="18">
        <v>117</v>
      </c>
      <c r="I10" s="18">
        <v>117</v>
      </c>
      <c r="J10" s="18">
        <v>117</v>
      </c>
      <c r="K10" s="18">
        <v>117</v>
      </c>
      <c r="L10" s="18">
        <v>117</v>
      </c>
      <c r="M10" s="18">
        <v>117</v>
      </c>
      <c r="N10" s="18">
        <v>117</v>
      </c>
      <c r="O10" s="18">
        <v>117</v>
      </c>
      <c r="P10" s="18">
        <v>117</v>
      </c>
      <c r="Q10" s="18">
        <v>117</v>
      </c>
    </row>
    <row r="11" spans="2:28" x14ac:dyDescent="0.25">
      <c r="D11" s="9" t="s">
        <v>234</v>
      </c>
      <c r="E11" s="9" t="s">
        <v>83</v>
      </c>
      <c r="F11" s="9" t="s">
        <v>337</v>
      </c>
      <c r="G11" s="18">
        <v>0</v>
      </c>
      <c r="H11" s="18">
        <v>0</v>
      </c>
      <c r="I11" s="18">
        <v>0</v>
      </c>
      <c r="J11" s="18">
        <v>0</v>
      </c>
      <c r="K11" s="18">
        <v>0</v>
      </c>
      <c r="L11" s="18">
        <v>0</v>
      </c>
      <c r="M11" s="18">
        <v>0</v>
      </c>
      <c r="N11" s="18">
        <v>0</v>
      </c>
      <c r="O11" s="18">
        <v>0</v>
      </c>
      <c r="P11" s="18">
        <v>0</v>
      </c>
      <c r="Q11" s="18">
        <v>0</v>
      </c>
    </row>
    <row r="12" spans="2:28" x14ac:dyDescent="0.25">
      <c r="D12" s="9" t="s">
        <v>234</v>
      </c>
      <c r="E12" s="9" t="s">
        <v>84</v>
      </c>
      <c r="F12" s="9" t="s">
        <v>337</v>
      </c>
      <c r="G12" s="18">
        <v>830</v>
      </c>
      <c r="H12" s="18">
        <v>830</v>
      </c>
      <c r="I12" s="18">
        <v>830</v>
      </c>
      <c r="J12" s="18">
        <f>I12</f>
        <v>830</v>
      </c>
      <c r="K12" s="18">
        <f t="shared" ref="K12:Q12" si="2">J12</f>
        <v>830</v>
      </c>
      <c r="L12" s="18">
        <f t="shared" si="2"/>
        <v>830</v>
      </c>
      <c r="M12" s="18">
        <f t="shared" si="2"/>
        <v>830</v>
      </c>
      <c r="N12" s="18">
        <f t="shared" si="2"/>
        <v>830</v>
      </c>
      <c r="O12" s="18">
        <f t="shared" si="2"/>
        <v>830</v>
      </c>
      <c r="P12" s="18">
        <f t="shared" si="2"/>
        <v>830</v>
      </c>
      <c r="Q12" s="18">
        <f t="shared" si="2"/>
        <v>830</v>
      </c>
    </row>
    <row r="13" spans="2:28" x14ac:dyDescent="0.25">
      <c r="D13" s="9"/>
      <c r="E13" s="9"/>
      <c r="F13" s="9"/>
      <c r="G13" s="18"/>
      <c r="H13" s="18" t="str">
        <f t="shared" ref="H13:Q22" si="3">IF(G13="","",G13)</f>
        <v/>
      </c>
      <c r="I13" s="18" t="str">
        <f t="shared" si="3"/>
        <v/>
      </c>
      <c r="J13" s="18" t="str">
        <f t="shared" si="3"/>
        <v/>
      </c>
      <c r="K13" s="18" t="str">
        <f t="shared" si="3"/>
        <v/>
      </c>
      <c r="L13" s="18" t="str">
        <f t="shared" si="3"/>
        <v/>
      </c>
      <c r="M13" s="18" t="str">
        <f t="shared" si="3"/>
        <v/>
      </c>
      <c r="N13" s="18" t="str">
        <f t="shared" si="3"/>
        <v/>
      </c>
      <c r="O13" s="18" t="str">
        <f t="shared" si="3"/>
        <v/>
      </c>
      <c r="P13" s="18" t="str">
        <f t="shared" si="3"/>
        <v/>
      </c>
      <c r="Q13" s="18" t="str">
        <f t="shared" si="3"/>
        <v/>
      </c>
    </row>
    <row r="14" spans="2:28" x14ac:dyDescent="0.25">
      <c r="D14" s="9"/>
      <c r="E14" s="9"/>
      <c r="F14" s="9"/>
      <c r="G14" s="18"/>
      <c r="H14" s="18" t="str">
        <f t="shared" si="3"/>
        <v/>
      </c>
      <c r="I14" s="18" t="str">
        <f t="shared" si="3"/>
        <v/>
      </c>
      <c r="J14" s="18" t="str">
        <f t="shared" si="3"/>
        <v/>
      </c>
      <c r="K14" s="18" t="str">
        <f t="shared" si="3"/>
        <v/>
      </c>
      <c r="L14" s="18" t="str">
        <f t="shared" si="3"/>
        <v/>
      </c>
      <c r="M14" s="18" t="str">
        <f t="shared" si="3"/>
        <v/>
      </c>
      <c r="N14" s="18" t="str">
        <f t="shared" si="3"/>
        <v/>
      </c>
      <c r="O14" s="18" t="str">
        <f t="shared" si="3"/>
        <v/>
      </c>
      <c r="P14" s="18" t="str">
        <f t="shared" si="3"/>
        <v/>
      </c>
      <c r="Q14" s="18" t="str">
        <f t="shared" si="3"/>
        <v/>
      </c>
    </row>
    <row r="15" spans="2:28" x14ac:dyDescent="0.25">
      <c r="D15" s="9"/>
      <c r="E15" s="9"/>
      <c r="F15" s="9"/>
      <c r="G15" s="18"/>
      <c r="H15" s="18" t="str">
        <f t="shared" si="3"/>
        <v/>
      </c>
      <c r="I15" s="18" t="str">
        <f t="shared" si="3"/>
        <v/>
      </c>
      <c r="J15" s="18" t="str">
        <f t="shared" si="3"/>
        <v/>
      </c>
      <c r="K15" s="18" t="str">
        <f t="shared" si="3"/>
        <v/>
      </c>
      <c r="L15" s="18" t="str">
        <f t="shared" si="3"/>
        <v/>
      </c>
      <c r="M15" s="18" t="str">
        <f t="shared" si="3"/>
        <v/>
      </c>
      <c r="N15" s="18" t="str">
        <f t="shared" si="3"/>
        <v/>
      </c>
      <c r="O15" s="18" t="str">
        <f t="shared" si="3"/>
        <v/>
      </c>
      <c r="P15" s="18" t="str">
        <f t="shared" si="3"/>
        <v/>
      </c>
      <c r="Q15" s="18" t="str">
        <f t="shared" si="3"/>
        <v/>
      </c>
    </row>
    <row r="16" spans="2:28" x14ac:dyDescent="0.25">
      <c r="D16" s="9"/>
      <c r="E16" s="9"/>
      <c r="F16" s="9"/>
      <c r="G16" s="18"/>
      <c r="H16" s="18" t="str">
        <f t="shared" si="3"/>
        <v/>
      </c>
      <c r="I16" s="18" t="str">
        <f t="shared" si="3"/>
        <v/>
      </c>
      <c r="J16" s="18" t="str">
        <f t="shared" si="3"/>
        <v/>
      </c>
      <c r="K16" s="18" t="str">
        <f t="shared" si="3"/>
        <v/>
      </c>
      <c r="L16" s="18" t="str">
        <f t="shared" si="3"/>
        <v/>
      </c>
      <c r="M16" s="18" t="str">
        <f t="shared" si="3"/>
        <v/>
      </c>
      <c r="N16" s="18" t="str">
        <f t="shared" si="3"/>
        <v/>
      </c>
      <c r="O16" s="18" t="str">
        <f t="shared" si="3"/>
        <v/>
      </c>
      <c r="P16" s="18" t="str">
        <f t="shared" si="3"/>
        <v/>
      </c>
      <c r="Q16" s="18" t="str">
        <f t="shared" si="3"/>
        <v/>
      </c>
    </row>
    <row r="17" spans="4:17" x14ac:dyDescent="0.25">
      <c r="D17" s="9"/>
      <c r="E17" s="9"/>
      <c r="F17" s="9"/>
      <c r="G17" s="18"/>
      <c r="H17" s="18" t="str">
        <f t="shared" si="3"/>
        <v/>
      </c>
      <c r="I17" s="18" t="str">
        <f t="shared" si="3"/>
        <v/>
      </c>
      <c r="J17" s="18" t="str">
        <f t="shared" si="3"/>
        <v/>
      </c>
      <c r="K17" s="18" t="str">
        <f t="shared" si="3"/>
        <v/>
      </c>
      <c r="L17" s="18" t="str">
        <f t="shared" si="3"/>
        <v/>
      </c>
      <c r="M17" s="18" t="str">
        <f t="shared" si="3"/>
        <v/>
      </c>
      <c r="N17" s="18" t="str">
        <f t="shared" si="3"/>
        <v/>
      </c>
      <c r="O17" s="18" t="str">
        <f t="shared" si="3"/>
        <v/>
      </c>
      <c r="P17" s="18" t="str">
        <f t="shared" si="3"/>
        <v/>
      </c>
      <c r="Q17" s="18" t="str">
        <f t="shared" si="3"/>
        <v/>
      </c>
    </row>
    <row r="18" spans="4:17" x14ac:dyDescent="0.25">
      <c r="D18" s="9"/>
      <c r="E18" s="9"/>
      <c r="F18" s="9"/>
      <c r="G18" s="18"/>
      <c r="H18" s="18" t="str">
        <f t="shared" si="3"/>
        <v/>
      </c>
      <c r="I18" s="18" t="str">
        <f t="shared" si="3"/>
        <v/>
      </c>
      <c r="J18" s="18" t="str">
        <f t="shared" si="3"/>
        <v/>
      </c>
      <c r="K18" s="18" t="str">
        <f t="shared" si="3"/>
        <v/>
      </c>
      <c r="L18" s="18" t="str">
        <f t="shared" si="3"/>
        <v/>
      </c>
      <c r="M18" s="18" t="str">
        <f t="shared" si="3"/>
        <v/>
      </c>
      <c r="N18" s="18" t="str">
        <f t="shared" si="3"/>
        <v/>
      </c>
      <c r="O18" s="18" t="str">
        <f t="shared" si="3"/>
        <v/>
      </c>
      <c r="P18" s="18" t="str">
        <f t="shared" si="3"/>
        <v/>
      </c>
      <c r="Q18" s="18" t="str">
        <f t="shared" si="3"/>
        <v/>
      </c>
    </row>
    <row r="19" spans="4:17" x14ac:dyDescent="0.25">
      <c r="D19" s="9"/>
      <c r="E19" s="9"/>
      <c r="F19" s="9"/>
      <c r="G19" s="18"/>
      <c r="H19" s="18" t="str">
        <f t="shared" si="3"/>
        <v/>
      </c>
      <c r="I19" s="18" t="str">
        <f t="shared" si="3"/>
        <v/>
      </c>
      <c r="J19" s="18" t="str">
        <f t="shared" si="3"/>
        <v/>
      </c>
      <c r="K19" s="18" t="str">
        <f t="shared" si="3"/>
        <v/>
      </c>
      <c r="L19" s="18" t="str">
        <f t="shared" si="3"/>
        <v/>
      </c>
      <c r="M19" s="18" t="str">
        <f t="shared" si="3"/>
        <v/>
      </c>
      <c r="N19" s="18" t="str">
        <f t="shared" si="3"/>
        <v/>
      </c>
      <c r="O19" s="18" t="str">
        <f t="shared" si="3"/>
        <v/>
      </c>
      <c r="P19" s="18" t="str">
        <f t="shared" si="3"/>
        <v/>
      </c>
      <c r="Q19" s="18" t="str">
        <f t="shared" si="3"/>
        <v/>
      </c>
    </row>
    <row r="20" spans="4:17" x14ac:dyDescent="0.25">
      <c r="D20" s="9"/>
      <c r="E20" s="9"/>
      <c r="F20" s="9"/>
      <c r="G20" s="18"/>
      <c r="H20" s="18" t="str">
        <f t="shared" si="3"/>
        <v/>
      </c>
      <c r="I20" s="18" t="str">
        <f t="shared" si="3"/>
        <v/>
      </c>
      <c r="J20" s="18" t="str">
        <f t="shared" si="3"/>
        <v/>
      </c>
      <c r="K20" s="18" t="str">
        <f t="shared" si="3"/>
        <v/>
      </c>
      <c r="L20" s="18" t="str">
        <f t="shared" si="3"/>
        <v/>
      </c>
      <c r="M20" s="18" t="str">
        <f t="shared" si="3"/>
        <v/>
      </c>
      <c r="N20" s="18" t="str">
        <f t="shared" si="3"/>
        <v/>
      </c>
      <c r="O20" s="18" t="str">
        <f t="shared" si="3"/>
        <v/>
      </c>
      <c r="P20" s="18" t="str">
        <f t="shared" si="3"/>
        <v/>
      </c>
      <c r="Q20" s="18" t="str">
        <f t="shared" si="3"/>
        <v/>
      </c>
    </row>
    <row r="21" spans="4:17" x14ac:dyDescent="0.25">
      <c r="D21" s="9"/>
      <c r="E21" s="9"/>
      <c r="F21" s="9"/>
      <c r="G21" s="18"/>
      <c r="H21" s="18" t="str">
        <f t="shared" si="3"/>
        <v/>
      </c>
      <c r="I21" s="18" t="str">
        <f t="shared" si="3"/>
        <v/>
      </c>
      <c r="J21" s="18" t="str">
        <f t="shared" si="3"/>
        <v/>
      </c>
      <c r="K21" s="18" t="str">
        <f t="shared" si="3"/>
        <v/>
      </c>
      <c r="L21" s="18" t="str">
        <f t="shared" si="3"/>
        <v/>
      </c>
      <c r="M21" s="18" t="str">
        <f t="shared" si="3"/>
        <v/>
      </c>
      <c r="N21" s="18" t="str">
        <f t="shared" si="3"/>
        <v/>
      </c>
      <c r="O21" s="18" t="str">
        <f t="shared" si="3"/>
        <v/>
      </c>
      <c r="P21" s="18" t="str">
        <f t="shared" si="3"/>
        <v/>
      </c>
      <c r="Q21" s="18" t="str">
        <f t="shared" si="3"/>
        <v/>
      </c>
    </row>
    <row r="22" spans="4:17" x14ac:dyDescent="0.25">
      <c r="D22" s="9"/>
      <c r="E22" s="9"/>
      <c r="F22" s="9"/>
      <c r="G22" s="18"/>
      <c r="H22" s="18" t="str">
        <f t="shared" si="3"/>
        <v/>
      </c>
      <c r="I22" s="18" t="str">
        <f t="shared" si="3"/>
        <v/>
      </c>
      <c r="J22" s="18" t="str">
        <f t="shared" si="3"/>
        <v/>
      </c>
      <c r="K22" s="18" t="str">
        <f t="shared" si="3"/>
        <v/>
      </c>
      <c r="L22" s="18" t="str">
        <f t="shared" si="3"/>
        <v/>
      </c>
      <c r="M22" s="18" t="str">
        <f t="shared" si="3"/>
        <v/>
      </c>
      <c r="N22" s="18" t="str">
        <f t="shared" si="3"/>
        <v/>
      </c>
      <c r="O22" s="18" t="str">
        <f t="shared" si="3"/>
        <v/>
      </c>
      <c r="P22" s="18" t="str">
        <f t="shared" si="3"/>
        <v/>
      </c>
      <c r="Q22" s="18" t="str">
        <f t="shared" si="3"/>
        <v/>
      </c>
    </row>
    <row r="23" spans="4:17" x14ac:dyDescent="0.25">
      <c r="D23" s="9"/>
      <c r="E23" s="9"/>
      <c r="F23" s="9"/>
      <c r="G23" s="18"/>
      <c r="H23" s="18" t="str">
        <f t="shared" ref="H23:Q38" si="4">IF(G23="","",G23)</f>
        <v/>
      </c>
      <c r="I23" s="18" t="str">
        <f t="shared" si="4"/>
        <v/>
      </c>
      <c r="J23" s="18" t="str">
        <f t="shared" si="4"/>
        <v/>
      </c>
      <c r="K23" s="18" t="str">
        <f t="shared" si="4"/>
        <v/>
      </c>
      <c r="L23" s="18" t="str">
        <f t="shared" si="4"/>
        <v/>
      </c>
      <c r="M23" s="18" t="str">
        <f t="shared" si="4"/>
        <v/>
      </c>
      <c r="N23" s="18" t="str">
        <f t="shared" si="4"/>
        <v/>
      </c>
      <c r="O23" s="18" t="str">
        <f t="shared" si="4"/>
        <v/>
      </c>
      <c r="P23" s="18" t="str">
        <f t="shared" si="4"/>
        <v/>
      </c>
      <c r="Q23" s="18" t="str">
        <f t="shared" si="4"/>
        <v/>
      </c>
    </row>
    <row r="24" spans="4:17" x14ac:dyDescent="0.25">
      <c r="D24" s="9"/>
      <c r="E24" s="9"/>
      <c r="F24" s="9"/>
      <c r="G24" s="18"/>
      <c r="H24" s="18" t="str">
        <f t="shared" si="4"/>
        <v/>
      </c>
      <c r="I24" s="18" t="str">
        <f t="shared" si="4"/>
        <v/>
      </c>
      <c r="J24" s="18" t="str">
        <f t="shared" si="4"/>
        <v/>
      </c>
      <c r="K24" s="18" t="str">
        <f t="shared" si="4"/>
        <v/>
      </c>
      <c r="L24" s="18" t="str">
        <f t="shared" si="4"/>
        <v/>
      </c>
      <c r="M24" s="18" t="str">
        <f t="shared" si="4"/>
        <v/>
      </c>
      <c r="N24" s="18" t="str">
        <f t="shared" si="4"/>
        <v/>
      </c>
      <c r="O24" s="18" t="str">
        <f t="shared" si="4"/>
        <v/>
      </c>
      <c r="P24" s="18" t="str">
        <f t="shared" si="4"/>
        <v/>
      </c>
      <c r="Q24" s="18" t="str">
        <f t="shared" si="4"/>
        <v/>
      </c>
    </row>
    <row r="25" spans="4:17" x14ac:dyDescent="0.25">
      <c r="D25" s="9"/>
      <c r="E25" s="9"/>
      <c r="F25" s="9"/>
      <c r="G25" s="18"/>
      <c r="H25" s="18" t="str">
        <f t="shared" si="4"/>
        <v/>
      </c>
      <c r="I25" s="18" t="str">
        <f t="shared" si="4"/>
        <v/>
      </c>
      <c r="J25" s="18" t="str">
        <f t="shared" si="4"/>
        <v/>
      </c>
      <c r="K25" s="18" t="str">
        <f t="shared" si="4"/>
        <v/>
      </c>
      <c r="L25" s="18" t="str">
        <f t="shared" si="4"/>
        <v/>
      </c>
      <c r="M25" s="18" t="str">
        <f t="shared" si="4"/>
        <v/>
      </c>
      <c r="N25" s="18" t="str">
        <f t="shared" si="4"/>
        <v/>
      </c>
      <c r="O25" s="18" t="str">
        <f t="shared" si="4"/>
        <v/>
      </c>
      <c r="P25" s="18" t="str">
        <f t="shared" si="4"/>
        <v/>
      </c>
      <c r="Q25" s="18" t="str">
        <f t="shared" si="4"/>
        <v/>
      </c>
    </row>
    <row r="26" spans="4:17" x14ac:dyDescent="0.25">
      <c r="D26" s="9"/>
      <c r="E26" s="9"/>
      <c r="F26" s="9"/>
      <c r="G26" s="18"/>
      <c r="H26" s="18" t="str">
        <f t="shared" si="4"/>
        <v/>
      </c>
      <c r="I26" s="18" t="str">
        <f t="shared" si="4"/>
        <v/>
      </c>
      <c r="J26" s="18" t="str">
        <f t="shared" si="4"/>
        <v/>
      </c>
      <c r="K26" s="18" t="str">
        <f t="shared" si="4"/>
        <v/>
      </c>
      <c r="L26" s="18" t="str">
        <f t="shared" si="4"/>
        <v/>
      </c>
      <c r="M26" s="18" t="str">
        <f t="shared" si="4"/>
        <v/>
      </c>
      <c r="N26" s="18" t="str">
        <f t="shared" si="4"/>
        <v/>
      </c>
      <c r="O26" s="18" t="str">
        <f t="shared" si="4"/>
        <v/>
      </c>
      <c r="P26" s="18" t="str">
        <f t="shared" si="4"/>
        <v/>
      </c>
      <c r="Q26" s="18" t="str">
        <f t="shared" si="4"/>
        <v/>
      </c>
    </row>
    <row r="27" spans="4:17" x14ac:dyDescent="0.25">
      <c r="D27" s="9"/>
      <c r="E27" s="9"/>
      <c r="F27" s="9"/>
      <c r="G27" s="18"/>
      <c r="H27" s="18" t="str">
        <f t="shared" si="4"/>
        <v/>
      </c>
      <c r="I27" s="18" t="str">
        <f t="shared" si="4"/>
        <v/>
      </c>
      <c r="J27" s="18" t="str">
        <f t="shared" si="4"/>
        <v/>
      </c>
      <c r="K27" s="18" t="str">
        <f t="shared" si="4"/>
        <v/>
      </c>
      <c r="L27" s="18" t="str">
        <f t="shared" si="4"/>
        <v/>
      </c>
      <c r="M27" s="18" t="str">
        <f t="shared" si="4"/>
        <v/>
      </c>
      <c r="N27" s="18" t="str">
        <f t="shared" si="4"/>
        <v/>
      </c>
      <c r="O27" s="18" t="str">
        <f t="shared" si="4"/>
        <v/>
      </c>
      <c r="P27" s="18" t="str">
        <f t="shared" si="4"/>
        <v/>
      </c>
      <c r="Q27" s="18" t="str">
        <f t="shared" si="4"/>
        <v/>
      </c>
    </row>
    <row r="28" spans="4:17" x14ac:dyDescent="0.25">
      <c r="D28" s="9"/>
      <c r="E28" s="9"/>
      <c r="F28" s="9"/>
      <c r="G28" s="18"/>
      <c r="H28" s="18" t="str">
        <f t="shared" si="4"/>
        <v/>
      </c>
      <c r="I28" s="18" t="str">
        <f t="shared" si="4"/>
        <v/>
      </c>
      <c r="J28" s="18" t="str">
        <f t="shared" si="4"/>
        <v/>
      </c>
      <c r="K28" s="18" t="str">
        <f t="shared" si="4"/>
        <v/>
      </c>
      <c r="L28" s="18" t="str">
        <f t="shared" si="4"/>
        <v/>
      </c>
      <c r="M28" s="18" t="str">
        <f t="shared" si="4"/>
        <v/>
      </c>
      <c r="N28" s="18" t="str">
        <f t="shared" si="4"/>
        <v/>
      </c>
      <c r="O28" s="18" t="str">
        <f t="shared" si="4"/>
        <v/>
      </c>
      <c r="P28" s="18" t="str">
        <f t="shared" si="4"/>
        <v/>
      </c>
      <c r="Q28" s="18" t="str">
        <f t="shared" si="4"/>
        <v/>
      </c>
    </row>
    <row r="29" spans="4:17" x14ac:dyDescent="0.25">
      <c r="D29" s="9"/>
      <c r="E29" s="9"/>
      <c r="F29" s="9"/>
      <c r="G29" s="18"/>
      <c r="H29" s="18" t="str">
        <f t="shared" si="4"/>
        <v/>
      </c>
      <c r="I29" s="18" t="str">
        <f t="shared" si="4"/>
        <v/>
      </c>
      <c r="J29" s="18" t="str">
        <f t="shared" si="4"/>
        <v/>
      </c>
      <c r="K29" s="18" t="str">
        <f t="shared" si="4"/>
        <v/>
      </c>
      <c r="L29" s="18" t="str">
        <f t="shared" si="4"/>
        <v/>
      </c>
      <c r="M29" s="18" t="str">
        <f t="shared" si="4"/>
        <v/>
      </c>
      <c r="N29" s="18" t="str">
        <f t="shared" si="4"/>
        <v/>
      </c>
      <c r="O29" s="18" t="str">
        <f t="shared" si="4"/>
        <v/>
      </c>
      <c r="P29" s="18" t="str">
        <f t="shared" si="4"/>
        <v/>
      </c>
      <c r="Q29" s="18" t="str">
        <f t="shared" si="4"/>
        <v/>
      </c>
    </row>
    <row r="30" spans="4:17" x14ac:dyDescent="0.25">
      <c r="D30" s="9"/>
      <c r="E30" s="9"/>
      <c r="F30" s="9"/>
      <c r="G30" s="18"/>
      <c r="H30" s="18" t="str">
        <f t="shared" si="4"/>
        <v/>
      </c>
      <c r="I30" s="18" t="str">
        <f t="shared" si="4"/>
        <v/>
      </c>
      <c r="J30" s="18" t="str">
        <f t="shared" si="4"/>
        <v/>
      </c>
      <c r="K30" s="18" t="str">
        <f t="shared" si="4"/>
        <v/>
      </c>
      <c r="L30" s="18" t="str">
        <f t="shared" si="4"/>
        <v/>
      </c>
      <c r="M30" s="18" t="str">
        <f t="shared" si="4"/>
        <v/>
      </c>
      <c r="N30" s="18" t="str">
        <f t="shared" si="4"/>
        <v/>
      </c>
      <c r="O30" s="18" t="str">
        <f t="shared" si="4"/>
        <v/>
      </c>
      <c r="P30" s="18" t="str">
        <f t="shared" si="4"/>
        <v/>
      </c>
      <c r="Q30" s="18" t="str">
        <f t="shared" si="4"/>
        <v/>
      </c>
    </row>
    <row r="31" spans="4:17" x14ac:dyDescent="0.25">
      <c r="D31" s="9"/>
      <c r="E31" s="9"/>
      <c r="F31" s="9"/>
      <c r="G31" s="18"/>
      <c r="H31" s="18" t="str">
        <f t="shared" si="4"/>
        <v/>
      </c>
      <c r="I31" s="18" t="str">
        <f t="shared" si="4"/>
        <v/>
      </c>
      <c r="J31" s="18" t="str">
        <f t="shared" si="4"/>
        <v/>
      </c>
      <c r="K31" s="18" t="str">
        <f t="shared" si="4"/>
        <v/>
      </c>
      <c r="L31" s="18" t="str">
        <f t="shared" si="4"/>
        <v/>
      </c>
      <c r="M31" s="18" t="str">
        <f t="shared" si="4"/>
        <v/>
      </c>
      <c r="N31" s="18" t="str">
        <f t="shared" si="4"/>
        <v/>
      </c>
      <c r="O31" s="18" t="str">
        <f t="shared" si="4"/>
        <v/>
      </c>
      <c r="P31" s="18" t="str">
        <f t="shared" si="4"/>
        <v/>
      </c>
      <c r="Q31" s="18" t="str">
        <f t="shared" si="4"/>
        <v/>
      </c>
    </row>
    <row r="32" spans="4:17" x14ac:dyDescent="0.25">
      <c r="D32" s="9"/>
      <c r="E32" s="9"/>
      <c r="F32" s="9"/>
      <c r="G32" s="18"/>
      <c r="H32" s="18" t="str">
        <f t="shared" si="4"/>
        <v/>
      </c>
      <c r="I32" s="18" t="str">
        <f t="shared" si="4"/>
        <v/>
      </c>
      <c r="J32" s="18" t="str">
        <f t="shared" si="4"/>
        <v/>
      </c>
      <c r="K32" s="18" t="str">
        <f t="shared" si="4"/>
        <v/>
      </c>
      <c r="L32" s="18" t="str">
        <f t="shared" si="4"/>
        <v/>
      </c>
      <c r="M32" s="18" t="str">
        <f t="shared" si="4"/>
        <v/>
      </c>
      <c r="N32" s="18" t="str">
        <f t="shared" si="4"/>
        <v/>
      </c>
      <c r="O32" s="18" t="str">
        <f t="shared" si="4"/>
        <v/>
      </c>
      <c r="P32" s="18" t="str">
        <f t="shared" si="4"/>
        <v/>
      </c>
      <c r="Q32" s="18" t="str">
        <f t="shared" si="4"/>
        <v/>
      </c>
    </row>
    <row r="33" spans="4:17" x14ac:dyDescent="0.25">
      <c r="D33" s="9"/>
      <c r="E33" s="9"/>
      <c r="F33" s="9"/>
      <c r="G33" s="18"/>
      <c r="H33" s="18" t="str">
        <f t="shared" si="4"/>
        <v/>
      </c>
      <c r="I33" s="18" t="str">
        <f t="shared" si="4"/>
        <v/>
      </c>
      <c r="J33" s="18" t="str">
        <f t="shared" si="4"/>
        <v/>
      </c>
      <c r="K33" s="18" t="str">
        <f t="shared" si="4"/>
        <v/>
      </c>
      <c r="L33" s="18" t="str">
        <f t="shared" si="4"/>
        <v/>
      </c>
      <c r="M33" s="18" t="str">
        <f t="shared" si="4"/>
        <v/>
      </c>
      <c r="N33" s="18" t="str">
        <f t="shared" si="4"/>
        <v/>
      </c>
      <c r="O33" s="18" t="str">
        <f t="shared" si="4"/>
        <v/>
      </c>
      <c r="P33" s="18" t="str">
        <f t="shared" si="4"/>
        <v/>
      </c>
      <c r="Q33" s="18" t="str">
        <f t="shared" si="4"/>
        <v/>
      </c>
    </row>
    <row r="34" spans="4:17" x14ac:dyDescent="0.25">
      <c r="D34" s="9"/>
      <c r="E34" s="9"/>
      <c r="F34" s="9"/>
      <c r="G34" s="18"/>
      <c r="H34" s="18" t="str">
        <f t="shared" si="4"/>
        <v/>
      </c>
      <c r="I34" s="18" t="str">
        <f t="shared" si="4"/>
        <v/>
      </c>
      <c r="J34" s="18" t="str">
        <f t="shared" si="4"/>
        <v/>
      </c>
      <c r="K34" s="18" t="str">
        <f t="shared" si="4"/>
        <v/>
      </c>
      <c r="L34" s="18" t="str">
        <f t="shared" si="4"/>
        <v/>
      </c>
      <c r="M34" s="18" t="str">
        <f t="shared" si="4"/>
        <v/>
      </c>
      <c r="N34" s="18" t="str">
        <f t="shared" si="4"/>
        <v/>
      </c>
      <c r="O34" s="18" t="str">
        <f t="shared" si="4"/>
        <v/>
      </c>
      <c r="P34" s="18" t="str">
        <f t="shared" si="4"/>
        <v/>
      </c>
      <c r="Q34" s="18" t="str">
        <f t="shared" si="4"/>
        <v/>
      </c>
    </row>
    <row r="35" spans="4:17" x14ac:dyDescent="0.25">
      <c r="D35" s="9"/>
      <c r="E35" s="9"/>
      <c r="F35" s="9"/>
      <c r="G35" s="18"/>
      <c r="H35" s="18" t="str">
        <f t="shared" si="4"/>
        <v/>
      </c>
      <c r="I35" s="18" t="str">
        <f t="shared" si="4"/>
        <v/>
      </c>
      <c r="J35" s="18" t="str">
        <f t="shared" si="4"/>
        <v/>
      </c>
      <c r="K35" s="18" t="str">
        <f t="shared" si="4"/>
        <v/>
      </c>
      <c r="L35" s="18" t="str">
        <f t="shared" si="4"/>
        <v/>
      </c>
      <c r="M35" s="18" t="str">
        <f t="shared" si="4"/>
        <v/>
      </c>
      <c r="N35" s="18" t="str">
        <f t="shared" si="4"/>
        <v/>
      </c>
      <c r="O35" s="18" t="str">
        <f t="shared" si="4"/>
        <v/>
      </c>
      <c r="P35" s="18" t="str">
        <f t="shared" si="4"/>
        <v/>
      </c>
      <c r="Q35" s="18" t="str">
        <f t="shared" si="4"/>
        <v/>
      </c>
    </row>
    <row r="36" spans="4:17" x14ac:dyDescent="0.25">
      <c r="D36" s="9"/>
      <c r="E36" s="9"/>
      <c r="F36" s="9"/>
      <c r="G36" s="18"/>
      <c r="H36" s="18" t="str">
        <f t="shared" si="4"/>
        <v/>
      </c>
      <c r="I36" s="18" t="str">
        <f t="shared" si="4"/>
        <v/>
      </c>
      <c r="J36" s="18" t="str">
        <f t="shared" si="4"/>
        <v/>
      </c>
      <c r="K36" s="18" t="str">
        <f t="shared" si="4"/>
        <v/>
      </c>
      <c r="L36" s="18" t="str">
        <f t="shared" si="4"/>
        <v/>
      </c>
      <c r="M36" s="18" t="str">
        <f t="shared" si="4"/>
        <v/>
      </c>
      <c r="N36" s="18" t="str">
        <f t="shared" si="4"/>
        <v/>
      </c>
      <c r="O36" s="18" t="str">
        <f t="shared" si="4"/>
        <v/>
      </c>
      <c r="P36" s="18" t="str">
        <f t="shared" si="4"/>
        <v/>
      </c>
      <c r="Q36" s="18" t="str">
        <f t="shared" si="4"/>
        <v/>
      </c>
    </row>
    <row r="37" spans="4:17" x14ac:dyDescent="0.25">
      <c r="D37" s="9"/>
      <c r="E37" s="9"/>
      <c r="F37" s="9"/>
      <c r="G37" s="18"/>
      <c r="H37" s="18" t="str">
        <f t="shared" si="4"/>
        <v/>
      </c>
      <c r="I37" s="18" t="str">
        <f t="shared" si="4"/>
        <v/>
      </c>
      <c r="J37" s="18" t="str">
        <f t="shared" si="4"/>
        <v/>
      </c>
      <c r="K37" s="18" t="str">
        <f t="shared" si="4"/>
        <v/>
      </c>
      <c r="L37" s="18" t="str">
        <f t="shared" si="4"/>
        <v/>
      </c>
      <c r="M37" s="18" t="str">
        <f t="shared" si="4"/>
        <v/>
      </c>
      <c r="N37" s="18" t="str">
        <f t="shared" si="4"/>
        <v/>
      </c>
      <c r="O37" s="18" t="str">
        <f t="shared" si="4"/>
        <v/>
      </c>
      <c r="P37" s="18" t="str">
        <f t="shared" si="4"/>
        <v/>
      </c>
      <c r="Q37" s="18" t="str">
        <f t="shared" si="4"/>
        <v/>
      </c>
    </row>
    <row r="38" spans="4:17" x14ac:dyDescent="0.25">
      <c r="D38" s="9"/>
      <c r="E38" s="9"/>
      <c r="F38" s="9"/>
      <c r="G38" s="18"/>
      <c r="H38" s="18" t="str">
        <f t="shared" si="4"/>
        <v/>
      </c>
      <c r="I38" s="18" t="str">
        <f t="shared" si="4"/>
        <v/>
      </c>
      <c r="J38" s="18" t="str">
        <f t="shared" si="4"/>
        <v/>
      </c>
      <c r="K38" s="18" t="str">
        <f t="shared" si="4"/>
        <v/>
      </c>
      <c r="L38" s="18" t="str">
        <f t="shared" si="4"/>
        <v/>
      </c>
      <c r="M38" s="18" t="str">
        <f t="shared" si="4"/>
        <v/>
      </c>
      <c r="N38" s="18" t="str">
        <f t="shared" si="4"/>
        <v/>
      </c>
      <c r="O38" s="18" t="str">
        <f t="shared" si="4"/>
        <v/>
      </c>
      <c r="P38" s="18" t="str">
        <f t="shared" si="4"/>
        <v/>
      </c>
      <c r="Q38" s="18" t="str">
        <f t="shared" si="4"/>
        <v/>
      </c>
    </row>
    <row r="39" spans="4:17" x14ac:dyDescent="0.25">
      <c r="D39" s="9"/>
      <c r="E39" s="9"/>
      <c r="F39" s="9"/>
      <c r="G39" s="18"/>
      <c r="H39" s="18" t="str">
        <f t="shared" ref="H39:Q50" si="5">IF(G39="","",G39)</f>
        <v/>
      </c>
      <c r="I39" s="18" t="str">
        <f t="shared" si="5"/>
        <v/>
      </c>
      <c r="J39" s="18" t="str">
        <f t="shared" si="5"/>
        <v/>
      </c>
      <c r="K39" s="18" t="str">
        <f t="shared" si="5"/>
        <v/>
      </c>
      <c r="L39" s="18" t="str">
        <f t="shared" si="5"/>
        <v/>
      </c>
      <c r="M39" s="18" t="str">
        <f t="shared" si="5"/>
        <v/>
      </c>
      <c r="N39" s="18" t="str">
        <f t="shared" si="5"/>
        <v/>
      </c>
      <c r="O39" s="18" t="str">
        <f t="shared" si="5"/>
        <v/>
      </c>
      <c r="P39" s="18" t="str">
        <f t="shared" si="5"/>
        <v/>
      </c>
      <c r="Q39" s="18" t="str">
        <f t="shared" si="5"/>
        <v/>
      </c>
    </row>
    <row r="40" spans="4:17" x14ac:dyDescent="0.25">
      <c r="D40" s="9"/>
      <c r="E40" s="9"/>
      <c r="F40" s="9"/>
      <c r="G40" s="18"/>
      <c r="H40" s="18" t="str">
        <f t="shared" si="5"/>
        <v/>
      </c>
      <c r="I40" s="18" t="str">
        <f t="shared" si="5"/>
        <v/>
      </c>
      <c r="J40" s="18" t="str">
        <f t="shared" si="5"/>
        <v/>
      </c>
      <c r="K40" s="18" t="str">
        <f t="shared" si="5"/>
        <v/>
      </c>
      <c r="L40" s="18" t="str">
        <f t="shared" si="5"/>
        <v/>
      </c>
      <c r="M40" s="18" t="str">
        <f t="shared" si="5"/>
        <v/>
      </c>
      <c r="N40" s="18" t="str">
        <f t="shared" si="5"/>
        <v/>
      </c>
      <c r="O40" s="18" t="str">
        <f t="shared" si="5"/>
        <v/>
      </c>
      <c r="P40" s="18" t="str">
        <f t="shared" si="5"/>
        <v/>
      </c>
      <c r="Q40" s="18" t="str">
        <f t="shared" si="5"/>
        <v/>
      </c>
    </row>
    <row r="41" spans="4:17" x14ac:dyDescent="0.25">
      <c r="D41" s="9"/>
      <c r="E41" s="9"/>
      <c r="F41" s="9"/>
      <c r="G41" s="18"/>
      <c r="H41" s="18" t="str">
        <f t="shared" si="5"/>
        <v/>
      </c>
      <c r="I41" s="18" t="str">
        <f t="shared" si="5"/>
        <v/>
      </c>
      <c r="J41" s="18" t="str">
        <f t="shared" si="5"/>
        <v/>
      </c>
      <c r="K41" s="18" t="str">
        <f t="shared" si="5"/>
        <v/>
      </c>
      <c r="L41" s="18" t="str">
        <f t="shared" si="5"/>
        <v/>
      </c>
      <c r="M41" s="18" t="str">
        <f t="shared" si="5"/>
        <v/>
      </c>
      <c r="N41" s="18" t="str">
        <f t="shared" si="5"/>
        <v/>
      </c>
      <c r="O41" s="18" t="str">
        <f t="shared" si="5"/>
        <v/>
      </c>
      <c r="P41" s="18" t="str">
        <f t="shared" si="5"/>
        <v/>
      </c>
      <c r="Q41" s="18" t="str">
        <f t="shared" si="5"/>
        <v/>
      </c>
    </row>
    <row r="42" spans="4:17" x14ac:dyDescent="0.25">
      <c r="D42" s="9"/>
      <c r="E42" s="9"/>
      <c r="F42" s="9"/>
      <c r="G42" s="18"/>
      <c r="H42" s="18" t="str">
        <f t="shared" si="5"/>
        <v/>
      </c>
      <c r="I42" s="18" t="str">
        <f t="shared" si="5"/>
        <v/>
      </c>
      <c r="J42" s="18" t="str">
        <f t="shared" si="5"/>
        <v/>
      </c>
      <c r="K42" s="18" t="str">
        <f t="shared" si="5"/>
        <v/>
      </c>
      <c r="L42" s="18" t="str">
        <f t="shared" si="5"/>
        <v/>
      </c>
      <c r="M42" s="18" t="str">
        <f t="shared" si="5"/>
        <v/>
      </c>
      <c r="N42" s="18" t="str">
        <f t="shared" si="5"/>
        <v/>
      </c>
      <c r="O42" s="18" t="str">
        <f t="shared" si="5"/>
        <v/>
      </c>
      <c r="P42" s="18" t="str">
        <f t="shared" si="5"/>
        <v/>
      </c>
      <c r="Q42" s="18" t="str">
        <f t="shared" si="5"/>
        <v/>
      </c>
    </row>
    <row r="43" spans="4:17" x14ac:dyDescent="0.25">
      <c r="D43" s="9"/>
      <c r="E43" s="9"/>
      <c r="F43" s="9"/>
      <c r="G43" s="18"/>
      <c r="H43" s="18" t="str">
        <f t="shared" si="5"/>
        <v/>
      </c>
      <c r="I43" s="18" t="str">
        <f t="shared" si="5"/>
        <v/>
      </c>
      <c r="J43" s="18" t="str">
        <f t="shared" si="5"/>
        <v/>
      </c>
      <c r="K43" s="18" t="str">
        <f t="shared" si="5"/>
        <v/>
      </c>
      <c r="L43" s="18" t="str">
        <f t="shared" si="5"/>
        <v/>
      </c>
      <c r="M43" s="18" t="str">
        <f t="shared" si="5"/>
        <v/>
      </c>
      <c r="N43" s="18" t="str">
        <f t="shared" si="5"/>
        <v/>
      </c>
      <c r="O43" s="18" t="str">
        <f t="shared" si="5"/>
        <v/>
      </c>
      <c r="P43" s="18" t="str">
        <f t="shared" si="5"/>
        <v/>
      </c>
      <c r="Q43" s="18" t="str">
        <f t="shared" si="5"/>
        <v/>
      </c>
    </row>
    <row r="44" spans="4:17" x14ac:dyDescent="0.25">
      <c r="D44" s="9"/>
      <c r="E44" s="9"/>
      <c r="F44" s="9"/>
      <c r="G44" s="18"/>
      <c r="H44" s="18" t="str">
        <f t="shared" si="5"/>
        <v/>
      </c>
      <c r="I44" s="18" t="str">
        <f t="shared" si="5"/>
        <v/>
      </c>
      <c r="J44" s="18" t="str">
        <f t="shared" si="5"/>
        <v/>
      </c>
      <c r="K44" s="18" t="str">
        <f t="shared" si="5"/>
        <v/>
      </c>
      <c r="L44" s="18" t="str">
        <f t="shared" si="5"/>
        <v/>
      </c>
      <c r="M44" s="18" t="str">
        <f t="shared" si="5"/>
        <v/>
      </c>
      <c r="N44" s="18" t="str">
        <f t="shared" si="5"/>
        <v/>
      </c>
      <c r="O44" s="18" t="str">
        <f t="shared" si="5"/>
        <v/>
      </c>
      <c r="P44" s="18" t="str">
        <f t="shared" si="5"/>
        <v/>
      </c>
      <c r="Q44" s="18" t="str">
        <f t="shared" si="5"/>
        <v/>
      </c>
    </row>
    <row r="45" spans="4:17" x14ac:dyDescent="0.25">
      <c r="D45" s="9"/>
      <c r="E45" s="9"/>
      <c r="F45" s="9"/>
      <c r="G45" s="18"/>
      <c r="H45" s="18" t="str">
        <f t="shared" si="5"/>
        <v/>
      </c>
      <c r="I45" s="18" t="str">
        <f t="shared" si="5"/>
        <v/>
      </c>
      <c r="J45" s="18" t="str">
        <f t="shared" si="5"/>
        <v/>
      </c>
      <c r="K45" s="18" t="str">
        <f t="shared" si="5"/>
        <v/>
      </c>
      <c r="L45" s="18" t="str">
        <f t="shared" si="5"/>
        <v/>
      </c>
      <c r="M45" s="18" t="str">
        <f t="shared" si="5"/>
        <v/>
      </c>
      <c r="N45" s="18" t="str">
        <f t="shared" si="5"/>
        <v/>
      </c>
      <c r="O45" s="18" t="str">
        <f t="shared" si="5"/>
        <v/>
      </c>
      <c r="P45" s="18" t="str">
        <f t="shared" si="5"/>
        <v/>
      </c>
      <c r="Q45" s="18" t="str">
        <f t="shared" si="5"/>
        <v/>
      </c>
    </row>
    <row r="46" spans="4:17" x14ac:dyDescent="0.25">
      <c r="D46" s="9"/>
      <c r="E46" s="9"/>
      <c r="F46" s="9"/>
      <c r="G46" s="18"/>
      <c r="H46" s="18" t="str">
        <f t="shared" si="5"/>
        <v/>
      </c>
      <c r="I46" s="18" t="str">
        <f t="shared" si="5"/>
        <v/>
      </c>
      <c r="J46" s="18" t="str">
        <f t="shared" si="5"/>
        <v/>
      </c>
      <c r="K46" s="18" t="str">
        <f t="shared" si="5"/>
        <v/>
      </c>
      <c r="L46" s="18" t="str">
        <f t="shared" si="5"/>
        <v/>
      </c>
      <c r="M46" s="18" t="str">
        <f t="shared" si="5"/>
        <v/>
      </c>
      <c r="N46" s="18" t="str">
        <f t="shared" si="5"/>
        <v/>
      </c>
      <c r="O46" s="18" t="str">
        <f t="shared" si="5"/>
        <v/>
      </c>
      <c r="P46" s="18" t="str">
        <f t="shared" si="5"/>
        <v/>
      </c>
      <c r="Q46" s="18" t="str">
        <f t="shared" si="5"/>
        <v/>
      </c>
    </row>
    <row r="47" spans="4:17" x14ac:dyDescent="0.25">
      <c r="D47" s="9"/>
      <c r="E47" s="9"/>
      <c r="F47" s="9"/>
      <c r="G47" s="18"/>
      <c r="H47" s="18" t="str">
        <f t="shared" si="5"/>
        <v/>
      </c>
      <c r="I47" s="18" t="str">
        <f t="shared" si="5"/>
        <v/>
      </c>
      <c r="J47" s="18" t="str">
        <f t="shared" si="5"/>
        <v/>
      </c>
      <c r="K47" s="18" t="str">
        <f t="shared" si="5"/>
        <v/>
      </c>
      <c r="L47" s="18" t="str">
        <f t="shared" si="5"/>
        <v/>
      </c>
      <c r="M47" s="18" t="str">
        <f t="shared" si="5"/>
        <v/>
      </c>
      <c r="N47" s="18" t="str">
        <f t="shared" si="5"/>
        <v/>
      </c>
      <c r="O47" s="18" t="str">
        <f t="shared" si="5"/>
        <v/>
      </c>
      <c r="P47" s="18" t="str">
        <f t="shared" si="5"/>
        <v/>
      </c>
      <c r="Q47" s="18" t="str">
        <f t="shared" si="5"/>
        <v/>
      </c>
    </row>
    <row r="48" spans="4:17" x14ac:dyDescent="0.25">
      <c r="D48" s="9"/>
      <c r="E48" s="9"/>
      <c r="F48" s="9"/>
      <c r="G48" s="18"/>
      <c r="H48" s="18" t="str">
        <f t="shared" si="5"/>
        <v/>
      </c>
      <c r="I48" s="18" t="str">
        <f t="shared" si="5"/>
        <v/>
      </c>
      <c r="J48" s="18" t="str">
        <f t="shared" si="5"/>
        <v/>
      </c>
      <c r="K48" s="18" t="str">
        <f t="shared" si="5"/>
        <v/>
      </c>
      <c r="L48" s="18" t="str">
        <f t="shared" si="5"/>
        <v/>
      </c>
      <c r="M48" s="18" t="str">
        <f t="shared" si="5"/>
        <v/>
      </c>
      <c r="N48" s="18" t="str">
        <f t="shared" si="5"/>
        <v/>
      </c>
      <c r="O48" s="18" t="str">
        <f t="shared" si="5"/>
        <v/>
      </c>
      <c r="P48" s="18" t="str">
        <f t="shared" si="5"/>
        <v/>
      </c>
      <c r="Q48" s="18" t="str">
        <f t="shared" si="5"/>
        <v/>
      </c>
    </row>
    <row r="49" spans="4:17" x14ac:dyDescent="0.25">
      <c r="D49" s="9"/>
      <c r="E49" s="9"/>
      <c r="F49" s="9"/>
      <c r="G49" s="18"/>
      <c r="H49" s="18" t="str">
        <f t="shared" si="5"/>
        <v/>
      </c>
      <c r="I49" s="18" t="str">
        <f t="shared" si="5"/>
        <v/>
      </c>
      <c r="J49" s="18" t="str">
        <f t="shared" si="5"/>
        <v/>
      </c>
      <c r="K49" s="18" t="str">
        <f t="shared" si="5"/>
        <v/>
      </c>
      <c r="L49" s="18" t="str">
        <f t="shared" si="5"/>
        <v/>
      </c>
      <c r="M49" s="18" t="str">
        <f t="shared" si="5"/>
        <v/>
      </c>
      <c r="N49" s="18" t="str">
        <f t="shared" si="5"/>
        <v/>
      </c>
      <c r="O49" s="18" t="str">
        <f t="shared" si="5"/>
        <v/>
      </c>
      <c r="P49" s="18" t="str">
        <f t="shared" si="5"/>
        <v/>
      </c>
      <c r="Q49" s="18" t="str">
        <f t="shared" si="5"/>
        <v/>
      </c>
    </row>
    <row r="50" spans="4:17" ht="15.75" thickBot="1" x14ac:dyDescent="0.3">
      <c r="D50" s="10"/>
      <c r="E50" s="10"/>
      <c r="F50" s="10"/>
      <c r="G50" s="46"/>
      <c r="H50" s="46" t="str">
        <f t="shared" si="5"/>
        <v/>
      </c>
      <c r="I50" s="46" t="str">
        <f t="shared" si="5"/>
        <v/>
      </c>
      <c r="J50" s="46" t="str">
        <f t="shared" si="5"/>
        <v/>
      </c>
      <c r="K50" s="46" t="str">
        <f t="shared" si="5"/>
        <v/>
      </c>
      <c r="L50" s="46" t="str">
        <f t="shared" si="5"/>
        <v/>
      </c>
      <c r="M50" s="46" t="str">
        <f t="shared" si="5"/>
        <v/>
      </c>
      <c r="N50" s="46" t="str">
        <f t="shared" si="5"/>
        <v/>
      </c>
      <c r="O50" s="46" t="str">
        <f t="shared" si="5"/>
        <v/>
      </c>
      <c r="P50" s="46" t="str">
        <f t="shared" si="5"/>
        <v/>
      </c>
      <c r="Q50" s="46" t="str">
        <f t="shared" si="5"/>
        <v/>
      </c>
    </row>
    <row r="51" spans="4:17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F5:F50">
      <formula1>Unit</formula1>
    </dataValidation>
    <dataValidation type="list" allowBlank="1" showInputMessage="1" showErrorMessage="1" sqref="E5:E50">
      <formula1>Products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1"/>
  </sheetPr>
  <dimension ref="B1:P51"/>
  <sheetViews>
    <sheetView zoomScaleNormal="100" workbookViewId="0">
      <selection activeCell="U8" sqref="U8"/>
    </sheetView>
  </sheetViews>
  <sheetFormatPr baseColWidth="10" defaultColWidth="11.5703125" defaultRowHeight="15" x14ac:dyDescent="0.25"/>
  <cols>
    <col min="1" max="3" width="3.85546875" style="5" customWidth="1"/>
    <col min="4" max="4" width="17.140625" style="5" bestFit="1" customWidth="1"/>
    <col min="5" max="5" width="15.85546875" style="5" customWidth="1"/>
    <col min="6" max="16" width="8.85546875" style="5" customWidth="1"/>
    <col min="17" max="16384" width="11.5703125" style="5"/>
  </cols>
  <sheetData>
    <row r="1" spans="2:16" s="62" customFormat="1" ht="24.95" customHeight="1" x14ac:dyDescent="0.25">
      <c r="B1" s="61" t="s">
        <v>183</v>
      </c>
    </row>
    <row r="3" spans="2:16" ht="15.75" thickBot="1" x14ac:dyDescent="0.3">
      <c r="D3" s="38" t="str">
        <f>JESA_UploadTable("raw_materials",D4:P15,db)</f>
        <v>raw_materials @09:45:17</v>
      </c>
    </row>
    <row r="4" spans="2:16" ht="30" customHeight="1" thickBot="1" x14ac:dyDescent="0.3">
      <c r="D4" s="63" t="s">
        <v>12</v>
      </c>
      <c r="E4" s="63" t="s">
        <v>17</v>
      </c>
      <c r="F4" s="64" t="s">
        <v>37</v>
      </c>
      <c r="G4" s="64" t="s">
        <v>38</v>
      </c>
      <c r="H4" s="64" t="s">
        <v>39</v>
      </c>
      <c r="I4" s="64" t="s">
        <v>40</v>
      </c>
      <c r="J4" s="64" t="s">
        <v>41</v>
      </c>
      <c r="K4" s="64" t="s">
        <v>42</v>
      </c>
      <c r="L4" s="64" t="s">
        <v>43</v>
      </c>
      <c r="M4" s="64" t="s">
        <v>44</v>
      </c>
      <c r="N4" s="64" t="s">
        <v>45</v>
      </c>
      <c r="O4" s="64" t="s">
        <v>46</v>
      </c>
      <c r="P4" s="64" t="s">
        <v>47</v>
      </c>
    </row>
    <row r="5" spans="2:16" x14ac:dyDescent="0.25">
      <c r="D5" s="9" t="s">
        <v>345</v>
      </c>
      <c r="E5" s="8" t="s">
        <v>133</v>
      </c>
      <c r="F5" s="17">
        <v>112</v>
      </c>
      <c r="G5" s="17">
        <v>112</v>
      </c>
      <c r="H5" s="17">
        <v>112</v>
      </c>
      <c r="I5" s="17">
        <v>112</v>
      </c>
      <c r="J5" s="17">
        <v>112</v>
      </c>
      <c r="K5" s="17">
        <v>112</v>
      </c>
      <c r="L5" s="17">
        <v>112</v>
      </c>
      <c r="M5" s="17">
        <v>112</v>
      </c>
      <c r="N5" s="17">
        <v>112</v>
      </c>
      <c r="O5" s="17">
        <v>112</v>
      </c>
      <c r="P5" s="17">
        <v>112</v>
      </c>
    </row>
    <row r="6" spans="2:16" x14ac:dyDescent="0.25">
      <c r="D6" s="9" t="s">
        <v>13</v>
      </c>
      <c r="E6" s="9" t="s">
        <v>100</v>
      </c>
      <c r="F6" s="18">
        <v>0.9</v>
      </c>
      <c r="G6" s="18">
        <v>0.9</v>
      </c>
      <c r="H6" s="18">
        <v>0.9</v>
      </c>
      <c r="I6" s="18">
        <v>0.9</v>
      </c>
      <c r="J6" s="18">
        <v>0.9</v>
      </c>
      <c r="K6" s="18">
        <v>0.9</v>
      </c>
      <c r="L6" s="18">
        <v>0.9</v>
      </c>
      <c r="M6" s="18">
        <v>0.9</v>
      </c>
      <c r="N6" s="18">
        <v>0.9</v>
      </c>
      <c r="O6" s="18">
        <v>0.9</v>
      </c>
      <c r="P6" s="18">
        <v>0.9</v>
      </c>
    </row>
    <row r="7" spans="2:16" x14ac:dyDescent="0.25">
      <c r="D7" s="9" t="s">
        <v>15</v>
      </c>
      <c r="E7" s="9" t="s">
        <v>131</v>
      </c>
      <c r="F7" s="18">
        <v>0.04</v>
      </c>
      <c r="G7" s="18">
        <v>0.04</v>
      </c>
      <c r="H7" s="18">
        <v>0.04</v>
      </c>
      <c r="I7" s="18">
        <v>0.04</v>
      </c>
      <c r="J7" s="18">
        <v>0.04</v>
      </c>
      <c r="K7" s="18">
        <v>0.04</v>
      </c>
      <c r="L7" s="18">
        <v>0.04</v>
      </c>
      <c r="M7" s="18">
        <v>0.04</v>
      </c>
      <c r="N7" s="18">
        <v>0.04</v>
      </c>
      <c r="O7" s="18">
        <v>0.04</v>
      </c>
      <c r="P7" s="18">
        <v>0.04</v>
      </c>
    </row>
    <row r="8" spans="2:16" x14ac:dyDescent="0.25">
      <c r="D8" s="9" t="s">
        <v>16</v>
      </c>
      <c r="E8" s="9" t="s">
        <v>133</v>
      </c>
      <c r="F8" s="18">
        <v>3</v>
      </c>
      <c r="G8" s="18">
        <v>3</v>
      </c>
      <c r="H8" s="18">
        <v>3</v>
      </c>
      <c r="I8" s="18">
        <v>3</v>
      </c>
      <c r="J8" s="18">
        <v>3</v>
      </c>
      <c r="K8" s="18">
        <v>3</v>
      </c>
      <c r="L8" s="18">
        <v>3</v>
      </c>
      <c r="M8" s="18">
        <v>3</v>
      </c>
      <c r="N8" s="18">
        <v>3</v>
      </c>
      <c r="O8" s="18">
        <v>3</v>
      </c>
      <c r="P8" s="18">
        <v>3</v>
      </c>
    </row>
    <row r="9" spans="2:16" x14ac:dyDescent="0.25">
      <c r="D9" s="9" t="s">
        <v>340</v>
      </c>
      <c r="E9" s="9" t="s">
        <v>133</v>
      </c>
      <c r="F9" s="18">
        <v>3</v>
      </c>
      <c r="G9" s="18">
        <v>3</v>
      </c>
      <c r="H9" s="18">
        <v>3</v>
      </c>
      <c r="I9" s="18">
        <v>3</v>
      </c>
      <c r="J9" s="18">
        <v>3</v>
      </c>
      <c r="K9" s="18">
        <v>3</v>
      </c>
      <c r="L9" s="18">
        <v>3</v>
      </c>
      <c r="M9" s="18">
        <v>3</v>
      </c>
      <c r="N9" s="18">
        <v>3</v>
      </c>
      <c r="O9" s="18">
        <v>3</v>
      </c>
      <c r="P9" s="18">
        <v>3</v>
      </c>
    </row>
    <row r="10" spans="2:16" x14ac:dyDescent="0.25">
      <c r="D10" s="9" t="s">
        <v>32</v>
      </c>
      <c r="E10" s="9" t="s">
        <v>133</v>
      </c>
      <c r="F10" s="18">
        <v>2</v>
      </c>
      <c r="G10" s="18">
        <v>2</v>
      </c>
      <c r="H10" s="18">
        <v>2</v>
      </c>
      <c r="I10" s="18">
        <v>2</v>
      </c>
      <c r="J10" s="18">
        <v>2</v>
      </c>
      <c r="K10" s="18">
        <v>2</v>
      </c>
      <c r="L10" s="18">
        <v>2</v>
      </c>
      <c r="M10" s="18">
        <v>2</v>
      </c>
      <c r="N10" s="18">
        <v>2</v>
      </c>
      <c r="O10" s="18">
        <v>2</v>
      </c>
      <c r="P10" s="18">
        <v>2</v>
      </c>
    </row>
    <row r="11" spans="2:16" x14ac:dyDescent="0.25">
      <c r="D11" s="9" t="s">
        <v>31</v>
      </c>
      <c r="E11" s="9" t="s">
        <v>133</v>
      </c>
      <c r="F11" s="18">
        <v>2</v>
      </c>
      <c r="G11" s="18">
        <v>2</v>
      </c>
      <c r="H11" s="18">
        <v>2</v>
      </c>
      <c r="I11" s="18">
        <v>2</v>
      </c>
      <c r="J11" s="18">
        <v>2</v>
      </c>
      <c r="K11" s="18">
        <v>2</v>
      </c>
      <c r="L11" s="18">
        <v>2</v>
      </c>
      <c r="M11" s="18">
        <v>2</v>
      </c>
      <c r="N11" s="18">
        <v>2</v>
      </c>
      <c r="O11" s="18">
        <v>2</v>
      </c>
      <c r="P11" s="18">
        <v>2</v>
      </c>
    </row>
    <row r="12" spans="2:16" x14ac:dyDescent="0.25">
      <c r="D12" s="9"/>
      <c r="E12" s="9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</row>
    <row r="13" spans="2:16" x14ac:dyDescent="0.25">
      <c r="D13" s="9"/>
      <c r="E13" s="9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2:16" x14ac:dyDescent="0.25">
      <c r="D14" s="9"/>
      <c r="E14" s="9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</row>
    <row r="15" spans="2:16" x14ac:dyDescent="0.25">
      <c r="D15" s="9"/>
      <c r="E15" s="9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</row>
    <row r="16" spans="2:16" x14ac:dyDescent="0.25">
      <c r="D16" s="9"/>
      <c r="E16" s="9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4:16" x14ac:dyDescent="0.25">
      <c r="D17" s="9"/>
      <c r="E17" s="9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</row>
    <row r="18" spans="4:16" x14ac:dyDescent="0.25">
      <c r="D18" s="9"/>
      <c r="E18" s="9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</row>
    <row r="19" spans="4:16" x14ac:dyDescent="0.25">
      <c r="D19" s="9"/>
      <c r="E19" s="9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</row>
    <row r="20" spans="4:16" x14ac:dyDescent="0.25">
      <c r="D20" s="9"/>
      <c r="E20" s="9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</row>
    <row r="21" spans="4:16" x14ac:dyDescent="0.25">
      <c r="D21" s="9"/>
      <c r="E21" s="9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4:16" x14ac:dyDescent="0.25">
      <c r="D22" s="9"/>
      <c r="E22" s="9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</row>
    <row r="23" spans="4:16" x14ac:dyDescent="0.25">
      <c r="D23" s="9"/>
      <c r="E23" s="9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</row>
    <row r="24" spans="4:16" x14ac:dyDescent="0.25">
      <c r="D24" s="9"/>
      <c r="E24" s="9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</row>
    <row r="25" spans="4:16" x14ac:dyDescent="0.25">
      <c r="D25" s="9"/>
      <c r="E25" s="9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</row>
    <row r="26" spans="4:16" x14ac:dyDescent="0.25">
      <c r="D26" s="9"/>
      <c r="E26" s="9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</row>
    <row r="27" spans="4:16" x14ac:dyDescent="0.25">
      <c r="D27" s="9"/>
      <c r="E27" s="9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</row>
    <row r="28" spans="4:16" x14ac:dyDescent="0.25">
      <c r="D28" s="9"/>
      <c r="E28" s="9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</row>
    <row r="29" spans="4:16" x14ac:dyDescent="0.25">
      <c r="D29" s="9"/>
      <c r="E29" s="9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4:16" x14ac:dyDescent="0.25">
      <c r="D30" s="9"/>
      <c r="E30" s="9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4:16" x14ac:dyDescent="0.25">
      <c r="D31" s="9"/>
      <c r="E31" s="9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4:16" x14ac:dyDescent="0.25">
      <c r="D32" s="9"/>
      <c r="E32" s="9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4:16" x14ac:dyDescent="0.25">
      <c r="D33" s="9"/>
      <c r="E33" s="9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  <row r="34" spans="4:16" x14ac:dyDescent="0.25">
      <c r="D34" s="9"/>
      <c r="E34" s="9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  <row r="35" spans="4:16" x14ac:dyDescent="0.25">
      <c r="D35" s="9"/>
      <c r="E35" s="9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</row>
    <row r="36" spans="4:16" x14ac:dyDescent="0.25">
      <c r="D36" s="9"/>
      <c r="E36" s="9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</row>
    <row r="37" spans="4:16" x14ac:dyDescent="0.25">
      <c r="D37" s="9"/>
      <c r="E37" s="9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</row>
    <row r="38" spans="4:16" x14ac:dyDescent="0.25">
      <c r="D38" s="9"/>
      <c r="E38" s="9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</row>
    <row r="39" spans="4:16" x14ac:dyDescent="0.25">
      <c r="D39" s="9"/>
      <c r="E39" s="9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</row>
    <row r="40" spans="4:16" x14ac:dyDescent="0.25">
      <c r="D40" s="9"/>
      <c r="E40" s="9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</row>
    <row r="41" spans="4:16" x14ac:dyDescent="0.25">
      <c r="D41" s="9"/>
      <c r="E41" s="9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</row>
    <row r="42" spans="4:16" x14ac:dyDescent="0.25">
      <c r="D42" s="9"/>
      <c r="E42" s="9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</row>
    <row r="43" spans="4:16" x14ac:dyDescent="0.25">
      <c r="D43" s="9"/>
      <c r="E43" s="9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</row>
    <row r="44" spans="4:16" x14ac:dyDescent="0.25">
      <c r="D44" s="9"/>
      <c r="E44" s="9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</row>
    <row r="45" spans="4:16" x14ac:dyDescent="0.25">
      <c r="D45" s="9"/>
      <c r="E45" s="9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4:16" x14ac:dyDescent="0.25">
      <c r="D46" s="5" t="e">
        <v>#N/A</v>
      </c>
      <c r="E46" s="9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</row>
    <row r="47" spans="4:16" x14ac:dyDescent="0.25">
      <c r="E47" s="9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</row>
    <row r="48" spans="4:16" x14ac:dyDescent="0.25">
      <c r="E48" s="9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</row>
    <row r="49" spans="5:16" x14ac:dyDescent="0.25">
      <c r="E49" s="9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</row>
    <row r="50" spans="5:16" x14ac:dyDescent="0.25">
      <c r="E50" s="9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</row>
    <row r="51" spans="5:16" x14ac:dyDescent="0.25"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</row>
  </sheetData>
  <dataValidations count="1">
    <dataValidation type="list" allowBlank="1" showInputMessage="1" showErrorMessage="1" sqref="E5:E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7">
    <tabColor rgb="FF66FFFF"/>
  </sheetPr>
  <dimension ref="B1:J44"/>
  <sheetViews>
    <sheetView workbookViewId="0">
      <selection activeCell="D3" sqref="D3"/>
    </sheetView>
  </sheetViews>
  <sheetFormatPr baseColWidth="10" defaultColWidth="11.5703125" defaultRowHeight="15" x14ac:dyDescent="0.25"/>
  <cols>
    <col min="1" max="2" width="3.85546875" style="5" customWidth="1"/>
    <col min="3" max="3" width="14.42578125" style="5" bestFit="1" customWidth="1"/>
    <col min="4" max="4" width="17.140625" style="5" bestFit="1" customWidth="1"/>
    <col min="5" max="5" width="15.85546875" style="5" customWidth="1"/>
    <col min="6" max="6" width="15.7109375" style="5" bestFit="1" customWidth="1"/>
    <col min="7" max="16" width="8.85546875" style="5" customWidth="1"/>
    <col min="17" max="16384" width="11.5703125" style="5"/>
  </cols>
  <sheetData>
    <row r="1" spans="2:10" s="62" customFormat="1" ht="24.95" customHeight="1" x14ac:dyDescent="0.25">
      <c r="B1" s="61" t="s">
        <v>365</v>
      </c>
    </row>
    <row r="3" spans="2:10" ht="15.75" thickBot="1" x14ac:dyDescent="0.3">
      <c r="D3" s="38" t="str">
        <f>JESA_UploadTable("conv_matrix",D4:F44,db)</f>
        <v>conv_matrix @09:45:18</v>
      </c>
    </row>
    <row r="4" spans="2:10" ht="30" customHeight="1" thickBot="1" x14ac:dyDescent="0.3">
      <c r="D4" s="63" t="s">
        <v>17</v>
      </c>
      <c r="E4" s="63" t="s">
        <v>366</v>
      </c>
      <c r="F4" s="64" t="s">
        <v>367</v>
      </c>
    </row>
    <row r="5" spans="2:10" x14ac:dyDescent="0.25">
      <c r="D5" s="8" t="s">
        <v>55</v>
      </c>
      <c r="E5" s="8" t="s">
        <v>55</v>
      </c>
      <c r="F5" s="140">
        <v>1</v>
      </c>
    </row>
    <row r="6" spans="2:10" x14ac:dyDescent="0.25">
      <c r="D6" s="9" t="s">
        <v>56</v>
      </c>
      <c r="E6" s="9" t="s">
        <v>56</v>
      </c>
      <c r="F6" s="141">
        <v>1</v>
      </c>
      <c r="J6" s="5" t="s">
        <v>376</v>
      </c>
    </row>
    <row r="7" spans="2:10" x14ac:dyDescent="0.25">
      <c r="D7" s="9" t="s">
        <v>57</v>
      </c>
      <c r="E7" s="9" t="s">
        <v>57</v>
      </c>
      <c r="F7" s="141">
        <v>1</v>
      </c>
    </row>
    <row r="8" spans="2:10" x14ac:dyDescent="0.25">
      <c r="D8" s="9" t="s">
        <v>59</v>
      </c>
      <c r="E8" s="9" t="s">
        <v>59</v>
      </c>
      <c r="F8" s="141">
        <v>1</v>
      </c>
    </row>
    <row r="9" spans="2:10" x14ac:dyDescent="0.25">
      <c r="D9" s="9" t="s">
        <v>60</v>
      </c>
      <c r="E9" s="9" t="s">
        <v>60</v>
      </c>
      <c r="F9" s="141">
        <v>1</v>
      </c>
    </row>
    <row r="10" spans="2:10" x14ac:dyDescent="0.25">
      <c r="D10" s="9" t="s">
        <v>61</v>
      </c>
      <c r="E10" s="9" t="s">
        <v>61</v>
      </c>
      <c r="F10" s="141">
        <v>1</v>
      </c>
    </row>
    <row r="11" spans="2:10" x14ac:dyDescent="0.25">
      <c r="D11" s="9" t="s">
        <v>63</v>
      </c>
      <c r="E11" s="9" t="s">
        <v>63</v>
      </c>
      <c r="F11" s="141">
        <v>1</v>
      </c>
    </row>
    <row r="12" spans="2:10" x14ac:dyDescent="0.25">
      <c r="D12" s="9" t="s">
        <v>64</v>
      </c>
      <c r="E12" s="9" t="s">
        <v>64</v>
      </c>
      <c r="F12" s="141">
        <v>1</v>
      </c>
    </row>
    <row r="13" spans="2:10" x14ac:dyDescent="0.25">
      <c r="D13" s="9" t="s">
        <v>65</v>
      </c>
      <c r="E13" s="9" t="s">
        <v>65</v>
      </c>
      <c r="F13" s="141">
        <v>1</v>
      </c>
    </row>
    <row r="14" spans="2:10" x14ac:dyDescent="0.25">
      <c r="D14" s="9" t="s">
        <v>50</v>
      </c>
      <c r="E14" s="9" t="s">
        <v>368</v>
      </c>
      <c r="F14" s="141">
        <v>1000000</v>
      </c>
    </row>
    <row r="15" spans="2:10" x14ac:dyDescent="0.25">
      <c r="D15" s="9" t="s">
        <v>51</v>
      </c>
      <c r="E15" s="9" t="s">
        <v>369</v>
      </c>
      <c r="F15" s="141">
        <v>1000000</v>
      </c>
    </row>
    <row r="16" spans="2:10" x14ac:dyDescent="0.25">
      <c r="D16" s="9" t="s">
        <v>66</v>
      </c>
      <c r="E16" s="9" t="s">
        <v>368</v>
      </c>
      <c r="F16" s="141">
        <v>1000</v>
      </c>
    </row>
    <row r="17" spans="4:6" x14ac:dyDescent="0.25">
      <c r="D17" s="9" t="s">
        <v>67</v>
      </c>
      <c r="E17" s="9" t="s">
        <v>370</v>
      </c>
      <c r="F17" s="141">
        <v>1000</v>
      </c>
    </row>
    <row r="18" spans="4:6" x14ac:dyDescent="0.25">
      <c r="D18" s="9" t="s">
        <v>86</v>
      </c>
      <c r="E18" s="9" t="s">
        <v>371</v>
      </c>
      <c r="F18" s="141">
        <v>1000000</v>
      </c>
    </row>
    <row r="19" spans="4:6" x14ac:dyDescent="0.25">
      <c r="D19" s="9" t="s">
        <v>88</v>
      </c>
      <c r="E19" s="9" t="s">
        <v>88</v>
      </c>
      <c r="F19" s="141">
        <v>1</v>
      </c>
    </row>
    <row r="20" spans="4:6" x14ac:dyDescent="0.25">
      <c r="D20" s="9" t="s">
        <v>89</v>
      </c>
      <c r="E20" s="9" t="s">
        <v>89</v>
      </c>
      <c r="F20" s="141">
        <v>1</v>
      </c>
    </row>
    <row r="21" spans="4:6" x14ac:dyDescent="0.25">
      <c r="D21" s="9" t="s">
        <v>133</v>
      </c>
      <c r="E21" s="9" t="s">
        <v>133</v>
      </c>
      <c r="F21" s="141">
        <v>1</v>
      </c>
    </row>
    <row r="22" spans="4:6" x14ac:dyDescent="0.25">
      <c r="D22" s="9" t="s">
        <v>100</v>
      </c>
      <c r="E22" s="9" t="s">
        <v>100</v>
      </c>
      <c r="F22" s="141">
        <v>1</v>
      </c>
    </row>
    <row r="23" spans="4:6" x14ac:dyDescent="0.25">
      <c r="D23" s="9" t="s">
        <v>129</v>
      </c>
      <c r="E23" s="9" t="s">
        <v>129</v>
      </c>
      <c r="F23" s="141">
        <v>1</v>
      </c>
    </row>
    <row r="24" spans="4:6" x14ac:dyDescent="0.25">
      <c r="D24" s="9" t="s">
        <v>130</v>
      </c>
      <c r="E24" s="9" t="s">
        <v>129</v>
      </c>
      <c r="F24" s="141">
        <v>1</v>
      </c>
    </row>
    <row r="25" spans="4:6" x14ac:dyDescent="0.25">
      <c r="D25" s="9" t="s">
        <v>131</v>
      </c>
      <c r="E25" s="9" t="s">
        <v>131</v>
      </c>
      <c r="F25" s="141">
        <v>1</v>
      </c>
    </row>
    <row r="26" spans="4:6" x14ac:dyDescent="0.25">
      <c r="D26" s="9" t="s">
        <v>132</v>
      </c>
      <c r="E26" s="9" t="s">
        <v>132</v>
      </c>
      <c r="F26" s="141">
        <v>1</v>
      </c>
    </row>
    <row r="27" spans="4:6" x14ac:dyDescent="0.25">
      <c r="D27" s="9" t="s">
        <v>136</v>
      </c>
      <c r="E27" s="9" t="s">
        <v>136</v>
      </c>
      <c r="F27" s="141">
        <v>1</v>
      </c>
    </row>
    <row r="28" spans="4:6" x14ac:dyDescent="0.25">
      <c r="D28" s="9" t="s">
        <v>139</v>
      </c>
      <c r="E28" s="9" t="s">
        <v>372</v>
      </c>
      <c r="F28" s="141">
        <v>1000000</v>
      </c>
    </row>
    <row r="29" spans="4:6" x14ac:dyDescent="0.25">
      <c r="D29" s="9" t="s">
        <v>337</v>
      </c>
      <c r="E29" s="9" t="s">
        <v>372</v>
      </c>
      <c r="F29" s="141">
        <v>1000</v>
      </c>
    </row>
    <row r="30" spans="4:6" x14ac:dyDescent="0.25">
      <c r="D30" s="9" t="s">
        <v>143</v>
      </c>
      <c r="E30" s="9" t="s">
        <v>373</v>
      </c>
      <c r="F30" s="141">
        <v>1000</v>
      </c>
    </row>
    <row r="31" spans="4:6" x14ac:dyDescent="0.25">
      <c r="D31" s="9" t="s">
        <v>147</v>
      </c>
      <c r="E31" s="9" t="s">
        <v>147</v>
      </c>
      <c r="F31" s="141">
        <v>1</v>
      </c>
    </row>
    <row r="32" spans="4:6" x14ac:dyDescent="0.25">
      <c r="D32" s="9" t="s">
        <v>154</v>
      </c>
      <c r="E32" s="9" t="s">
        <v>154</v>
      </c>
      <c r="F32" s="141">
        <v>1</v>
      </c>
    </row>
    <row r="33" spans="4:6" x14ac:dyDescent="0.25">
      <c r="D33" s="9" t="s">
        <v>155</v>
      </c>
      <c r="E33" s="9" t="s">
        <v>155</v>
      </c>
      <c r="F33" s="141">
        <v>1</v>
      </c>
    </row>
    <row r="34" spans="4:6" x14ac:dyDescent="0.25">
      <c r="D34" s="9" t="s">
        <v>188</v>
      </c>
      <c r="E34" s="9" t="s">
        <v>188</v>
      </c>
      <c r="F34" s="141">
        <v>1</v>
      </c>
    </row>
    <row r="35" spans="4:6" x14ac:dyDescent="0.25">
      <c r="D35" s="9" t="s">
        <v>357</v>
      </c>
      <c r="E35" s="9" t="s">
        <v>133</v>
      </c>
      <c r="F35" s="141">
        <v>1</v>
      </c>
    </row>
    <row r="36" spans="4:6" x14ac:dyDescent="0.25">
      <c r="D36" s="9" t="s">
        <v>182</v>
      </c>
      <c r="E36" s="9" t="s">
        <v>374</v>
      </c>
      <c r="F36" s="141">
        <v>1000000</v>
      </c>
    </row>
    <row r="37" spans="4:6" x14ac:dyDescent="0.25">
      <c r="D37" s="9" t="s">
        <v>69</v>
      </c>
      <c r="E37" s="9" t="s">
        <v>375</v>
      </c>
      <c r="F37" s="141">
        <v>1</v>
      </c>
    </row>
    <row r="38" spans="4:6" x14ac:dyDescent="0.25">
      <c r="D38" s="9" t="s">
        <v>300</v>
      </c>
      <c r="E38" s="9" t="s">
        <v>375</v>
      </c>
      <c r="F38" s="141">
        <v>1</v>
      </c>
    </row>
    <row r="39" spans="4:6" x14ac:dyDescent="0.25">
      <c r="D39" s="9" t="s">
        <v>187</v>
      </c>
      <c r="E39" s="9" t="s">
        <v>187</v>
      </c>
      <c r="F39" s="141">
        <v>1</v>
      </c>
    </row>
    <row r="40" spans="4:6" x14ac:dyDescent="0.25">
      <c r="D40" s="9" t="s">
        <v>272</v>
      </c>
      <c r="E40" s="9" t="s">
        <v>272</v>
      </c>
      <c r="F40" s="141">
        <v>1</v>
      </c>
    </row>
    <row r="41" spans="4:6" x14ac:dyDescent="0.25">
      <c r="D41" s="9" t="s">
        <v>80</v>
      </c>
      <c r="E41" s="9" t="s">
        <v>375</v>
      </c>
      <c r="F41" s="141">
        <v>1</v>
      </c>
    </row>
    <row r="42" spans="4:6" x14ac:dyDescent="0.25">
      <c r="D42" s="9" t="s">
        <v>339</v>
      </c>
      <c r="E42" s="9" t="s">
        <v>339</v>
      </c>
      <c r="F42" s="141">
        <v>1</v>
      </c>
    </row>
    <row r="43" spans="4:6" x14ac:dyDescent="0.25">
      <c r="D43" s="9" t="s">
        <v>343</v>
      </c>
      <c r="E43" s="9" t="s">
        <v>343</v>
      </c>
      <c r="F43" s="141">
        <v>1</v>
      </c>
    </row>
    <row r="44" spans="4:6" x14ac:dyDescent="0.25">
      <c r="D44" s="9" t="s">
        <v>375</v>
      </c>
      <c r="E44" s="9" t="s">
        <v>375</v>
      </c>
      <c r="F44" s="141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UniformandRatecheck_Cliquer">
                <anchor moveWithCells="1" sizeWithCells="1">
                  <from>
                    <xdr:col>7</xdr:col>
                    <xdr:colOff>600075</xdr:colOff>
                    <xdr:row>6</xdr:row>
                    <xdr:rowOff>180975</xdr:rowOff>
                  </from>
                  <to>
                    <xdr:col>10</xdr:col>
                    <xdr:colOff>161925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'C:\Users\ilyass.lakhal\Desktop\[FilledTemplates 240919.xlsm]Common dict'!#REF!</xm:f>
          </x14:formula1>
          <xm:sqref>D5:D37</xm:sqref>
        </x14:dataValidation>
        <x14:dataValidation type="list" allowBlank="1" showInputMessage="1" showErrorMessage="1">
          <x14:formula1>
            <xm:f>'C:\Users\ilyass.lakhal\Desktop\[FilledTemplates 240919.xlsm]Common dict'!#REF!</xm:f>
          </x14:formula1>
          <xm:sqref>E5:E37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1" tint="0.249977111117893"/>
  </sheetPr>
  <dimension ref="A1:P40"/>
  <sheetViews>
    <sheetView zoomScaleNormal="100" workbookViewId="0">
      <selection activeCell="D3" sqref="D3"/>
    </sheetView>
  </sheetViews>
  <sheetFormatPr baseColWidth="10" defaultColWidth="11.5703125" defaultRowHeight="15" x14ac:dyDescent="0.25"/>
  <cols>
    <col min="1" max="3" width="3.85546875" style="1" customWidth="1"/>
    <col min="4" max="4" width="20.85546875" style="1" customWidth="1"/>
    <col min="5" max="5" width="1.85546875" style="1" customWidth="1"/>
    <col min="6" max="6" width="20.85546875" style="1" customWidth="1"/>
    <col min="7" max="7" width="1.85546875" style="1" customWidth="1"/>
    <col min="8" max="8" width="20.85546875" style="1" customWidth="1"/>
    <col min="9" max="9" width="1.85546875" style="1" customWidth="1"/>
    <col min="10" max="10" width="20.85546875" style="1" customWidth="1"/>
    <col min="11" max="11" width="1.85546875" style="1" customWidth="1"/>
    <col min="12" max="12" width="20.85546875" style="1" customWidth="1"/>
    <col min="13" max="13" width="1.85546875" style="1" customWidth="1"/>
    <col min="14" max="14" width="20.85546875" style="1" customWidth="1"/>
    <col min="15" max="15" width="1.85546875" style="1" customWidth="1"/>
    <col min="16" max="16" width="20.85546875" style="1" customWidth="1"/>
    <col min="17" max="16384" width="11.5703125" style="1"/>
  </cols>
  <sheetData>
    <row r="1" spans="1:16" s="23" customFormat="1" ht="24.95" customHeight="1" x14ac:dyDescent="0.25">
      <c r="B1" s="22" t="s">
        <v>52</v>
      </c>
    </row>
    <row r="2" spans="1:16" x14ac:dyDescent="0.2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</row>
    <row r="3" spans="1:16" ht="15.75" thickBot="1" x14ac:dyDescent="0.3">
      <c r="A3" s="31"/>
      <c r="B3" s="31"/>
      <c r="C3" s="31"/>
      <c r="D3" s="31" t="str">
        <f>JESA_UploadTable(D4,D4:D40,db)</f>
        <v>Location @09:45:16</v>
      </c>
      <c r="E3" s="31"/>
      <c r="F3" s="31" t="str">
        <f>JESA_UploadTable(F4,F4:F40,db)</f>
        <v>OPEX @09:45:16</v>
      </c>
      <c r="G3" s="31"/>
      <c r="H3" s="31" t="str">
        <f>JESA_UploadTable(H4,H4:H40,db)</f>
        <v>Unit @09:45:16</v>
      </c>
      <c r="I3" s="31"/>
      <c r="J3" s="31" t="str">
        <f>JESA_UploadTable(J4,J4:J40,db)</f>
        <v>Currency @09:45:16</v>
      </c>
      <c r="K3" s="31"/>
      <c r="L3" s="31" t="str">
        <f>JESA_UploadTable(L4,L4:L40,db)</f>
        <v>Output @09:45:17</v>
      </c>
      <c r="M3" s="31"/>
      <c r="N3" s="31" t="str">
        <f>JESA_UploadTable(N4,N4:N40,db)</f>
        <v>Names @09:45:16</v>
      </c>
      <c r="O3" s="31"/>
      <c r="P3" s="31" t="str">
        <f>JESA_UploadTable(P4,P4:P40,db)</f>
        <v>Products @09:45:16</v>
      </c>
    </row>
    <row r="4" spans="1:16" ht="30" customHeight="1" thickBot="1" x14ac:dyDescent="0.3">
      <c r="A4" s="31"/>
      <c r="B4" s="31"/>
      <c r="C4" s="31"/>
      <c r="D4" s="32" t="s">
        <v>8</v>
      </c>
      <c r="E4" s="31"/>
      <c r="F4" s="32" t="s">
        <v>23</v>
      </c>
      <c r="G4" s="31"/>
      <c r="H4" s="32" t="s">
        <v>17</v>
      </c>
      <c r="I4" s="31"/>
      <c r="J4" s="32" t="s">
        <v>68</v>
      </c>
      <c r="K4" s="31"/>
      <c r="L4" s="32" t="s">
        <v>97</v>
      </c>
      <c r="M4" s="31"/>
      <c r="N4" s="32" t="s">
        <v>101</v>
      </c>
      <c r="O4" s="31"/>
      <c r="P4" s="32" t="s">
        <v>140</v>
      </c>
    </row>
    <row r="5" spans="1:16" ht="15.75" thickBot="1" x14ac:dyDescent="0.3">
      <c r="A5" s="31"/>
      <c r="B5" s="31"/>
      <c r="C5" s="31"/>
      <c r="D5" s="29" t="s">
        <v>9</v>
      </c>
      <c r="E5" s="31"/>
      <c r="F5" s="30" t="s">
        <v>22</v>
      </c>
      <c r="G5" s="31"/>
      <c r="H5" s="29" t="s">
        <v>55</v>
      </c>
      <c r="I5" s="31"/>
      <c r="J5" s="29" t="s">
        <v>69</v>
      </c>
      <c r="K5" s="31"/>
      <c r="L5" s="29" t="s">
        <v>24</v>
      </c>
      <c r="M5" s="31"/>
      <c r="N5" s="29" t="s">
        <v>0</v>
      </c>
      <c r="O5" s="31"/>
      <c r="P5" s="29" t="s">
        <v>35</v>
      </c>
    </row>
    <row r="6" spans="1:16" x14ac:dyDescent="0.25">
      <c r="A6" s="31"/>
      <c r="B6" s="31"/>
      <c r="C6" s="31"/>
      <c r="D6" s="33" t="s">
        <v>2</v>
      </c>
      <c r="E6" s="31"/>
      <c r="F6" s="29" t="s">
        <v>13</v>
      </c>
      <c r="G6" s="31"/>
      <c r="H6" s="33" t="s">
        <v>56</v>
      </c>
      <c r="I6" s="31"/>
      <c r="J6" s="33" t="s">
        <v>80</v>
      </c>
      <c r="K6" s="31"/>
      <c r="L6" s="33" t="s">
        <v>98</v>
      </c>
      <c r="M6" s="31"/>
      <c r="N6" s="33" t="s">
        <v>1</v>
      </c>
      <c r="O6" s="31"/>
      <c r="P6" s="33" t="s">
        <v>141</v>
      </c>
    </row>
    <row r="7" spans="1:16" x14ac:dyDescent="0.25">
      <c r="A7" s="31"/>
      <c r="B7" s="31"/>
      <c r="C7" s="31"/>
      <c r="D7" s="33" t="s">
        <v>3</v>
      </c>
      <c r="E7" s="31"/>
      <c r="F7" s="33" t="s">
        <v>14</v>
      </c>
      <c r="G7" s="31"/>
      <c r="H7" s="33" t="s">
        <v>57</v>
      </c>
      <c r="I7" s="31"/>
      <c r="J7" s="33" t="s">
        <v>375</v>
      </c>
      <c r="K7" s="31"/>
      <c r="L7" s="33" t="s">
        <v>99</v>
      </c>
      <c r="M7" s="31"/>
      <c r="N7" s="33" t="s">
        <v>3</v>
      </c>
      <c r="O7" s="31"/>
      <c r="P7" s="33" t="s">
        <v>137</v>
      </c>
    </row>
    <row r="8" spans="1:16" x14ac:dyDescent="0.25">
      <c r="A8" s="31"/>
      <c r="B8" s="31"/>
      <c r="C8" s="31"/>
      <c r="D8" s="33" t="s">
        <v>10</v>
      </c>
      <c r="E8" s="31"/>
      <c r="F8" s="33" t="s">
        <v>15</v>
      </c>
      <c r="G8" s="31"/>
      <c r="H8" s="33" t="s">
        <v>58</v>
      </c>
      <c r="I8" s="31"/>
      <c r="J8" s="33"/>
      <c r="K8" s="31"/>
      <c r="L8" s="33" t="s">
        <v>156</v>
      </c>
      <c r="M8" s="31"/>
      <c r="N8" s="33" t="s">
        <v>2</v>
      </c>
      <c r="O8" s="31"/>
      <c r="P8" s="33" t="s">
        <v>257</v>
      </c>
    </row>
    <row r="9" spans="1:16" x14ac:dyDescent="0.25">
      <c r="A9" s="31"/>
      <c r="B9" s="31"/>
      <c r="C9" s="31"/>
      <c r="D9" s="33" t="s">
        <v>4</v>
      </c>
      <c r="E9" s="31"/>
      <c r="F9" s="33" t="s">
        <v>16</v>
      </c>
      <c r="G9" s="31"/>
      <c r="H9" s="33" t="s">
        <v>59</v>
      </c>
      <c r="I9" s="31"/>
      <c r="J9" s="33"/>
      <c r="K9" s="31"/>
      <c r="L9" s="33"/>
      <c r="M9" s="31"/>
      <c r="N9" s="33" t="s">
        <v>10</v>
      </c>
      <c r="O9" s="31"/>
      <c r="P9" s="33" t="s">
        <v>82</v>
      </c>
    </row>
    <row r="10" spans="1:16" x14ac:dyDescent="0.25">
      <c r="A10" s="31"/>
      <c r="B10" s="31"/>
      <c r="C10" s="31"/>
      <c r="D10" s="33" t="s">
        <v>6</v>
      </c>
      <c r="E10" s="31"/>
      <c r="F10" s="33" t="s">
        <v>29</v>
      </c>
      <c r="G10" s="31"/>
      <c r="H10" s="33" t="s">
        <v>60</v>
      </c>
      <c r="I10" s="31"/>
      <c r="J10" s="33"/>
      <c r="K10" s="31"/>
      <c r="L10" s="33"/>
      <c r="M10" s="31"/>
      <c r="N10" s="33" t="s">
        <v>4</v>
      </c>
      <c r="O10" s="31"/>
      <c r="P10" s="33" t="s">
        <v>81</v>
      </c>
    </row>
    <row r="11" spans="1:16" x14ac:dyDescent="0.25">
      <c r="A11" s="31"/>
      <c r="B11" s="31"/>
      <c r="C11" s="31"/>
      <c r="D11" s="33" t="s">
        <v>53</v>
      </c>
      <c r="E11" s="31"/>
      <c r="F11" s="33" t="s">
        <v>34</v>
      </c>
      <c r="G11" s="31"/>
      <c r="H11" s="33" t="s">
        <v>61</v>
      </c>
      <c r="I11" s="31"/>
      <c r="J11" s="33"/>
      <c r="K11" s="31"/>
      <c r="L11" s="33"/>
      <c r="M11" s="31"/>
      <c r="N11" s="33" t="s">
        <v>6</v>
      </c>
      <c r="O11" s="31"/>
      <c r="P11" s="33" t="s">
        <v>84</v>
      </c>
    </row>
    <row r="12" spans="1:16" x14ac:dyDescent="0.25">
      <c r="A12" s="31"/>
      <c r="B12" s="31"/>
      <c r="C12" s="31"/>
      <c r="D12" s="33" t="s">
        <v>27</v>
      </c>
      <c r="E12" s="31"/>
      <c r="F12" s="33" t="s">
        <v>32</v>
      </c>
      <c r="G12" s="31"/>
      <c r="H12" s="33" t="s">
        <v>62</v>
      </c>
      <c r="I12" s="31"/>
      <c r="J12" s="33"/>
      <c r="K12" s="31"/>
      <c r="L12" s="33"/>
      <c r="M12" s="31"/>
      <c r="N12" s="33" t="s">
        <v>5</v>
      </c>
      <c r="O12" s="31"/>
      <c r="P12" s="33" t="s">
        <v>142</v>
      </c>
    </row>
    <row r="13" spans="1:16" x14ac:dyDescent="0.25">
      <c r="A13" s="31"/>
      <c r="B13" s="31"/>
      <c r="C13" s="31"/>
      <c r="D13" s="33" t="s">
        <v>26</v>
      </c>
      <c r="E13" s="31"/>
      <c r="F13" s="33" t="s">
        <v>31</v>
      </c>
      <c r="G13" s="31"/>
      <c r="H13" s="33" t="s">
        <v>63</v>
      </c>
      <c r="I13" s="31"/>
      <c r="J13" s="33"/>
      <c r="K13" s="31"/>
      <c r="L13" s="33"/>
      <c r="M13" s="31"/>
      <c r="N13" s="33" t="s">
        <v>102</v>
      </c>
      <c r="O13" s="31"/>
      <c r="P13" s="33" t="s">
        <v>85</v>
      </c>
    </row>
    <row r="14" spans="1:16" x14ac:dyDescent="0.25">
      <c r="A14" s="31"/>
      <c r="B14" s="31"/>
      <c r="C14" s="31"/>
      <c r="D14" s="33" t="s">
        <v>28</v>
      </c>
      <c r="E14" s="31"/>
      <c r="F14" s="33" t="s">
        <v>33</v>
      </c>
      <c r="G14" s="31"/>
      <c r="H14" s="33" t="s">
        <v>64</v>
      </c>
      <c r="I14" s="31"/>
      <c r="J14" s="33"/>
      <c r="K14" s="31"/>
      <c r="L14" s="33"/>
      <c r="M14" s="31"/>
      <c r="N14" s="33" t="s">
        <v>103</v>
      </c>
      <c r="O14" s="31"/>
      <c r="P14" s="33" t="s">
        <v>83</v>
      </c>
    </row>
    <row r="15" spans="1:16" x14ac:dyDescent="0.25">
      <c r="A15" s="31"/>
      <c r="B15" s="31"/>
      <c r="C15" s="31"/>
      <c r="D15" s="33" t="s">
        <v>54</v>
      </c>
      <c r="E15" s="31"/>
      <c r="F15" s="33" t="s">
        <v>150</v>
      </c>
      <c r="G15" s="31"/>
      <c r="H15" s="33" t="s">
        <v>65</v>
      </c>
      <c r="I15" s="31"/>
      <c r="J15" s="33"/>
      <c r="K15" s="31"/>
      <c r="L15" s="33"/>
      <c r="M15" s="31"/>
      <c r="N15" s="33" t="s">
        <v>104</v>
      </c>
      <c r="O15" s="31"/>
      <c r="P15" s="33"/>
    </row>
    <row r="16" spans="1:16" x14ac:dyDescent="0.25">
      <c r="A16" s="31"/>
      <c r="B16" s="31"/>
      <c r="C16" s="31"/>
      <c r="D16" s="33" t="s">
        <v>90</v>
      </c>
      <c r="E16" s="31"/>
      <c r="F16" s="33" t="s">
        <v>151</v>
      </c>
      <c r="G16" s="31"/>
      <c r="H16" s="33" t="s">
        <v>50</v>
      </c>
      <c r="I16" s="31"/>
      <c r="J16" s="33"/>
      <c r="K16" s="31"/>
      <c r="L16" s="33"/>
      <c r="M16" s="31"/>
      <c r="N16" s="33" t="s">
        <v>105</v>
      </c>
      <c r="O16" s="31"/>
      <c r="P16" s="33"/>
    </row>
    <row r="17" spans="1:16" x14ac:dyDescent="0.25">
      <c r="A17" s="31"/>
      <c r="B17" s="31"/>
      <c r="C17" s="31"/>
      <c r="D17" s="33"/>
      <c r="E17" s="31"/>
      <c r="F17" s="33" t="s">
        <v>152</v>
      </c>
      <c r="G17" s="31"/>
      <c r="H17" s="33" t="s">
        <v>51</v>
      </c>
      <c r="I17" s="31"/>
      <c r="J17" s="33"/>
      <c r="K17" s="31"/>
      <c r="L17" s="33"/>
      <c r="M17" s="31"/>
      <c r="N17" s="33" t="s">
        <v>106</v>
      </c>
      <c r="O17" s="31"/>
      <c r="P17" s="33"/>
    </row>
    <row r="18" spans="1:16" x14ac:dyDescent="0.25">
      <c r="A18" s="31"/>
      <c r="B18" s="31"/>
      <c r="C18" s="31"/>
      <c r="D18" s="33"/>
      <c r="E18" s="31"/>
      <c r="F18" s="33" t="s">
        <v>153</v>
      </c>
      <c r="G18" s="31"/>
      <c r="H18" s="33" t="s">
        <v>66</v>
      </c>
      <c r="I18" s="31"/>
      <c r="J18" s="33"/>
      <c r="K18" s="31"/>
      <c r="L18" s="33"/>
      <c r="M18" s="31"/>
      <c r="N18" s="33" t="s">
        <v>107</v>
      </c>
      <c r="O18" s="31"/>
      <c r="P18" s="33"/>
    </row>
    <row r="19" spans="1:16" x14ac:dyDescent="0.25">
      <c r="A19" s="31"/>
      <c r="B19" s="31"/>
      <c r="C19" s="31"/>
      <c r="D19" s="33"/>
      <c r="E19" s="31"/>
      <c r="F19" s="33" t="s">
        <v>257</v>
      </c>
      <c r="G19" s="31"/>
      <c r="H19" s="33" t="s">
        <v>67</v>
      </c>
      <c r="I19" s="31"/>
      <c r="J19" s="33"/>
      <c r="K19" s="31"/>
      <c r="L19" s="33"/>
      <c r="M19" s="31"/>
      <c r="N19" s="33" t="s">
        <v>108</v>
      </c>
      <c r="O19" s="31"/>
      <c r="P19" s="33"/>
    </row>
    <row r="20" spans="1:16" x14ac:dyDescent="0.25">
      <c r="A20" s="31"/>
      <c r="B20" s="31"/>
      <c r="C20" s="31"/>
      <c r="D20" s="33"/>
      <c r="E20" s="31"/>
      <c r="F20" s="33" t="s">
        <v>137</v>
      </c>
      <c r="G20" s="31"/>
      <c r="H20" s="33" t="s">
        <v>87</v>
      </c>
      <c r="I20" s="31"/>
      <c r="J20" s="33"/>
      <c r="K20" s="31"/>
      <c r="L20" s="33"/>
      <c r="M20" s="31"/>
      <c r="N20" s="33" t="s">
        <v>109</v>
      </c>
      <c r="O20" s="31"/>
      <c r="P20" s="33"/>
    </row>
    <row r="21" spans="1:16" x14ac:dyDescent="0.25">
      <c r="A21" s="31"/>
      <c r="B21" s="31"/>
      <c r="C21" s="31"/>
      <c r="D21" s="33"/>
      <c r="E21" s="31"/>
      <c r="F21" s="33" t="s">
        <v>278</v>
      </c>
      <c r="G21" s="31"/>
      <c r="H21" s="33" t="s">
        <v>86</v>
      </c>
      <c r="I21" s="31"/>
      <c r="J21" s="33"/>
      <c r="K21" s="31"/>
      <c r="L21" s="33"/>
      <c r="M21" s="31"/>
      <c r="N21" s="33" t="s">
        <v>110</v>
      </c>
      <c r="O21" s="31"/>
      <c r="P21" s="33"/>
    </row>
    <row r="22" spans="1:16" x14ac:dyDescent="0.25">
      <c r="A22" s="31"/>
      <c r="B22" s="31"/>
      <c r="C22" s="31"/>
      <c r="D22" s="33"/>
      <c r="E22" s="31"/>
      <c r="F22" s="33" t="s">
        <v>290</v>
      </c>
      <c r="G22" s="31"/>
      <c r="H22" s="33" t="s">
        <v>88</v>
      </c>
      <c r="I22" s="31"/>
      <c r="J22" s="33"/>
      <c r="K22" s="31"/>
      <c r="L22" s="33"/>
      <c r="M22" s="31"/>
      <c r="N22" s="33" t="s">
        <v>111</v>
      </c>
      <c r="O22" s="31"/>
      <c r="P22" s="33"/>
    </row>
    <row r="23" spans="1:16" x14ac:dyDescent="0.25">
      <c r="A23" s="31"/>
      <c r="B23" s="31"/>
      <c r="C23" s="31"/>
      <c r="D23" s="33"/>
      <c r="E23" s="31"/>
      <c r="F23" s="33"/>
      <c r="G23" s="31"/>
      <c r="H23" s="33" t="s">
        <v>89</v>
      </c>
      <c r="I23" s="31"/>
      <c r="J23" s="33"/>
      <c r="K23" s="31"/>
      <c r="L23" s="33"/>
      <c r="M23" s="31"/>
      <c r="N23" s="33" t="s">
        <v>112</v>
      </c>
      <c r="O23" s="31"/>
      <c r="P23" s="33"/>
    </row>
    <row r="24" spans="1:16" x14ac:dyDescent="0.25">
      <c r="A24" s="31"/>
      <c r="B24" s="31"/>
      <c r="C24" s="31"/>
      <c r="D24" s="33"/>
      <c r="E24" s="31"/>
      <c r="F24" s="33"/>
      <c r="G24" s="31"/>
      <c r="H24" s="33" t="s">
        <v>133</v>
      </c>
      <c r="I24" s="31"/>
      <c r="J24" s="33"/>
      <c r="K24" s="31"/>
      <c r="L24" s="33"/>
      <c r="M24" s="31"/>
      <c r="N24" s="33" t="s">
        <v>113</v>
      </c>
      <c r="O24" s="31"/>
      <c r="P24" s="33"/>
    </row>
    <row r="25" spans="1:16" x14ac:dyDescent="0.25">
      <c r="A25" s="31"/>
      <c r="B25" s="31"/>
      <c r="C25" s="31"/>
      <c r="D25" s="33"/>
      <c r="E25" s="31"/>
      <c r="F25" s="33"/>
      <c r="G25" s="31"/>
      <c r="H25" s="33" t="s">
        <v>100</v>
      </c>
      <c r="I25" s="31"/>
      <c r="J25" s="33"/>
      <c r="K25" s="31"/>
      <c r="L25" s="33"/>
      <c r="M25" s="31"/>
      <c r="N25" s="33" t="s">
        <v>114</v>
      </c>
      <c r="O25" s="31"/>
      <c r="P25" s="33"/>
    </row>
    <row r="26" spans="1:16" x14ac:dyDescent="0.25">
      <c r="A26" s="31"/>
      <c r="B26" s="31"/>
      <c r="C26" s="31"/>
      <c r="D26" s="33"/>
      <c r="E26" s="31"/>
      <c r="F26" s="33"/>
      <c r="G26" s="31"/>
      <c r="H26" s="33" t="s">
        <v>129</v>
      </c>
      <c r="I26" s="31"/>
      <c r="J26" s="33"/>
      <c r="K26" s="31"/>
      <c r="L26" s="33"/>
      <c r="M26" s="31"/>
      <c r="N26" s="33" t="s">
        <v>115</v>
      </c>
      <c r="O26" s="31"/>
      <c r="P26" s="33"/>
    </row>
    <row r="27" spans="1:16" x14ac:dyDescent="0.25">
      <c r="A27" s="31"/>
      <c r="B27" s="31"/>
      <c r="C27" s="31"/>
      <c r="D27" s="33"/>
      <c r="E27" s="31"/>
      <c r="F27" s="33"/>
      <c r="G27" s="31"/>
      <c r="H27" s="33" t="s">
        <v>130</v>
      </c>
      <c r="I27" s="31"/>
      <c r="J27" s="33"/>
      <c r="K27" s="31"/>
      <c r="L27" s="33"/>
      <c r="M27" s="31"/>
      <c r="N27" s="33" t="s">
        <v>116</v>
      </c>
      <c r="O27" s="31"/>
      <c r="P27" s="33"/>
    </row>
    <row r="28" spans="1:16" x14ac:dyDescent="0.25">
      <c r="A28" s="31"/>
      <c r="B28" s="31"/>
      <c r="C28" s="31"/>
      <c r="D28" s="33"/>
      <c r="E28" s="31"/>
      <c r="F28" s="33"/>
      <c r="G28" s="31"/>
      <c r="H28" s="33" t="s">
        <v>131</v>
      </c>
      <c r="I28" s="31"/>
      <c r="J28" s="33"/>
      <c r="K28" s="31"/>
      <c r="L28" s="33"/>
      <c r="M28" s="31"/>
      <c r="N28" s="33" t="s">
        <v>117</v>
      </c>
      <c r="O28" s="31"/>
      <c r="P28" s="33"/>
    </row>
    <row r="29" spans="1:16" x14ac:dyDescent="0.25">
      <c r="A29" s="31"/>
      <c r="B29" s="31"/>
      <c r="C29" s="31"/>
      <c r="D29" s="33"/>
      <c r="E29" s="31"/>
      <c r="F29" s="33"/>
      <c r="G29" s="31"/>
      <c r="H29" s="33" t="s">
        <v>132</v>
      </c>
      <c r="I29" s="31"/>
      <c r="J29" s="33"/>
      <c r="K29" s="31"/>
      <c r="L29" s="33"/>
      <c r="M29" s="31"/>
      <c r="N29" s="33" t="s">
        <v>118</v>
      </c>
      <c r="O29" s="31"/>
      <c r="P29" s="33"/>
    </row>
    <row r="30" spans="1:16" x14ac:dyDescent="0.25">
      <c r="A30" s="31"/>
      <c r="B30" s="31"/>
      <c r="C30" s="31"/>
      <c r="D30" s="33"/>
      <c r="E30" s="31"/>
      <c r="F30" s="33"/>
      <c r="G30" s="31"/>
      <c r="H30" s="33" t="s">
        <v>136</v>
      </c>
      <c r="I30" s="31"/>
      <c r="J30" s="33"/>
      <c r="K30" s="31"/>
      <c r="L30" s="33"/>
      <c r="M30" s="31"/>
      <c r="N30" s="33" t="s">
        <v>119</v>
      </c>
      <c r="O30" s="31"/>
      <c r="P30" s="33"/>
    </row>
    <row r="31" spans="1:16" x14ac:dyDescent="0.25">
      <c r="A31" s="31"/>
      <c r="B31" s="31"/>
      <c r="C31" s="31"/>
      <c r="D31" s="33"/>
      <c r="E31" s="31"/>
      <c r="F31" s="33"/>
      <c r="G31" s="31"/>
      <c r="H31" s="33" t="s">
        <v>139</v>
      </c>
      <c r="I31" s="31"/>
      <c r="J31" s="33"/>
      <c r="K31" s="31"/>
      <c r="L31" s="33"/>
      <c r="M31" s="31"/>
      <c r="N31" s="33" t="s">
        <v>120</v>
      </c>
      <c r="O31" s="31"/>
      <c r="P31" s="33"/>
    </row>
    <row r="32" spans="1:16" x14ac:dyDescent="0.25">
      <c r="A32" s="31"/>
      <c r="B32" s="31"/>
      <c r="C32" s="31"/>
      <c r="D32" s="33"/>
      <c r="E32" s="31"/>
      <c r="F32" s="33"/>
      <c r="G32" s="31"/>
      <c r="H32" s="33" t="s">
        <v>337</v>
      </c>
      <c r="I32" s="31"/>
      <c r="J32" s="33"/>
      <c r="K32" s="31"/>
      <c r="L32" s="33"/>
      <c r="M32" s="31"/>
      <c r="N32" s="33" t="s">
        <v>121</v>
      </c>
      <c r="O32" s="31"/>
      <c r="P32" s="33"/>
    </row>
    <row r="33" spans="1:16" x14ac:dyDescent="0.25">
      <c r="A33" s="31"/>
      <c r="B33" s="31"/>
      <c r="C33" s="31"/>
      <c r="D33" s="33"/>
      <c r="E33" s="31"/>
      <c r="F33" s="33"/>
      <c r="G33" s="31"/>
      <c r="H33" s="33" t="s">
        <v>143</v>
      </c>
      <c r="I33" s="31"/>
      <c r="J33" s="33"/>
      <c r="K33" s="31"/>
      <c r="L33" s="33"/>
      <c r="M33" s="31"/>
      <c r="N33" s="33" t="s">
        <v>122</v>
      </c>
      <c r="O33" s="31"/>
      <c r="P33" s="33"/>
    </row>
    <row r="34" spans="1:16" x14ac:dyDescent="0.25">
      <c r="A34" s="31"/>
      <c r="B34" s="31"/>
      <c r="C34" s="31"/>
      <c r="D34" s="33"/>
      <c r="E34" s="31"/>
      <c r="F34" s="33"/>
      <c r="G34" s="31"/>
      <c r="H34" s="33" t="s">
        <v>147</v>
      </c>
      <c r="I34" s="31"/>
      <c r="J34" s="33"/>
      <c r="K34" s="31"/>
      <c r="L34" s="33"/>
      <c r="M34" s="31"/>
      <c r="N34" s="33" t="s">
        <v>123</v>
      </c>
      <c r="O34" s="31"/>
      <c r="P34" s="33"/>
    </row>
    <row r="35" spans="1:16" x14ac:dyDescent="0.25">
      <c r="A35" s="31"/>
      <c r="B35" s="31"/>
      <c r="C35" s="31"/>
      <c r="D35" s="33"/>
      <c r="E35" s="31"/>
      <c r="F35" s="33"/>
      <c r="G35" s="31"/>
      <c r="H35" s="33" t="s">
        <v>154</v>
      </c>
      <c r="I35" s="31"/>
      <c r="J35" s="33"/>
      <c r="K35" s="31"/>
      <c r="L35" s="33"/>
      <c r="M35" s="31"/>
      <c r="N35" s="33" t="s">
        <v>124</v>
      </c>
      <c r="O35" s="31"/>
      <c r="P35" s="33"/>
    </row>
    <row r="36" spans="1:16" x14ac:dyDescent="0.25">
      <c r="A36" s="31"/>
      <c r="B36" s="31"/>
      <c r="C36" s="31"/>
      <c r="D36" s="33"/>
      <c r="E36" s="31"/>
      <c r="F36" s="33"/>
      <c r="G36" s="31"/>
      <c r="H36" s="33" t="s">
        <v>155</v>
      </c>
      <c r="I36" s="31"/>
      <c r="J36" s="33"/>
      <c r="K36" s="31"/>
      <c r="L36" s="33"/>
      <c r="M36" s="31"/>
      <c r="N36" s="33" t="s">
        <v>125</v>
      </c>
      <c r="O36" s="31"/>
      <c r="P36" s="33"/>
    </row>
    <row r="37" spans="1:16" x14ac:dyDescent="0.25">
      <c r="A37" s="31"/>
      <c r="B37" s="31"/>
      <c r="C37" s="31"/>
      <c r="D37" s="33"/>
      <c r="E37" s="31"/>
      <c r="F37" s="33"/>
      <c r="G37" s="31"/>
      <c r="H37" s="33" t="s">
        <v>188</v>
      </c>
      <c r="I37" s="31"/>
      <c r="J37" s="33"/>
      <c r="K37" s="31"/>
      <c r="L37" s="33"/>
      <c r="M37" s="31"/>
      <c r="N37" s="33" t="s">
        <v>126</v>
      </c>
      <c r="O37" s="31"/>
      <c r="P37" s="33"/>
    </row>
    <row r="38" spans="1:16" x14ac:dyDescent="0.25">
      <c r="A38" s="31"/>
      <c r="B38" s="31"/>
      <c r="C38" s="31"/>
      <c r="D38" s="33"/>
      <c r="E38" s="31"/>
      <c r="F38" s="33"/>
      <c r="G38" s="31"/>
      <c r="H38" s="33" t="s">
        <v>357</v>
      </c>
      <c r="I38" s="31"/>
      <c r="J38" s="33"/>
      <c r="K38" s="31"/>
      <c r="L38" s="33"/>
      <c r="M38" s="31"/>
      <c r="N38" s="33" t="s">
        <v>127</v>
      </c>
      <c r="O38" s="31"/>
      <c r="P38" s="33"/>
    </row>
    <row r="39" spans="1:16" x14ac:dyDescent="0.25">
      <c r="A39" s="31"/>
      <c r="B39" s="31"/>
      <c r="C39" s="31"/>
      <c r="D39" s="33"/>
      <c r="E39" s="31"/>
      <c r="F39" s="33"/>
      <c r="G39" s="31"/>
      <c r="H39" s="33" t="s">
        <v>182</v>
      </c>
      <c r="I39" s="31"/>
      <c r="J39" s="33"/>
      <c r="K39" s="31"/>
      <c r="L39" s="33"/>
      <c r="M39" s="31"/>
      <c r="N39" s="33" t="s">
        <v>128</v>
      </c>
      <c r="O39" s="31"/>
      <c r="P39" s="33"/>
    </row>
    <row r="40" spans="1:16" ht="15.75" thickBot="1" x14ac:dyDescent="0.3">
      <c r="A40" s="31"/>
      <c r="B40" s="31"/>
      <c r="C40" s="31"/>
      <c r="D40" s="34"/>
      <c r="E40" s="31"/>
      <c r="F40" s="34"/>
      <c r="G40" s="31"/>
      <c r="H40" s="34" t="s">
        <v>69</v>
      </c>
      <c r="I40" s="31"/>
      <c r="J40" s="34"/>
      <c r="K40" s="31"/>
      <c r="L40" s="34"/>
      <c r="M40" s="31"/>
      <c r="N40" s="34"/>
      <c r="O40" s="31"/>
      <c r="P40" s="34"/>
    </row>
  </sheetData>
  <sheetProtection sheet="1" objects="1" scenarios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CC9900"/>
  </sheetPr>
  <dimension ref="B1:J41"/>
  <sheetViews>
    <sheetView workbookViewId="0">
      <selection activeCell="D4" sqref="D4"/>
    </sheetView>
  </sheetViews>
  <sheetFormatPr baseColWidth="10" defaultColWidth="11.5703125" defaultRowHeight="15" x14ac:dyDescent="0.25"/>
  <cols>
    <col min="1" max="3" width="3.85546875" style="31" customWidth="1"/>
    <col min="4" max="4" width="20.85546875" style="31" customWidth="1"/>
    <col min="5" max="5" width="1.85546875" style="31" customWidth="1"/>
    <col min="6" max="6" width="20.85546875" style="31" customWidth="1"/>
    <col min="7" max="7" width="1.85546875" style="31" customWidth="1"/>
    <col min="8" max="8" width="20.85546875" style="31" customWidth="1"/>
    <col min="9" max="9" width="1.85546875" style="31" customWidth="1"/>
    <col min="10" max="10" width="20.85546875" style="31" customWidth="1"/>
    <col min="11" max="11" width="1.85546875" style="31" customWidth="1"/>
    <col min="12" max="16384" width="11.5703125" style="31"/>
  </cols>
  <sheetData>
    <row r="1" spans="2:10" s="36" customFormat="1" ht="24.95" customHeight="1" x14ac:dyDescent="0.25">
      <c r="B1" s="35" t="s">
        <v>7</v>
      </c>
    </row>
    <row r="3" spans="2:10" ht="15.75" thickBot="1" x14ac:dyDescent="0.3">
      <c r="D3" s="31" t="str">
        <f>JESA_UploadTable(D4,D4:D40,db)</f>
        <v>Mine/Name @09:45:18</v>
      </c>
      <c r="F3" s="31" t="str">
        <f>JESA_UploadTable(F4,F4:F40,db)</f>
        <v>Mine/Extraction @09:45:18</v>
      </c>
      <c r="H3" s="31" t="str">
        <f>JESA_UploadTable(H4,H4:H40,db)</f>
        <v>Mine/Quality @09:45:17</v>
      </c>
      <c r="J3" s="31" t="str">
        <f>JESA_UploadTable(J4,J4:J40,db)</f>
        <v>Mine/CAPEX @09:45:17</v>
      </c>
    </row>
    <row r="4" spans="2:10" ht="30" customHeight="1" thickBot="1" x14ac:dyDescent="0.3">
      <c r="D4" s="37" t="s">
        <v>93</v>
      </c>
      <c r="F4" s="37" t="s">
        <v>94</v>
      </c>
      <c r="H4" s="37" t="s">
        <v>95</v>
      </c>
      <c r="J4" s="37" t="s">
        <v>96</v>
      </c>
    </row>
    <row r="5" spans="2:10" x14ac:dyDescent="0.25">
      <c r="D5" s="29" t="s">
        <v>352</v>
      </c>
      <c r="F5" s="29" t="s">
        <v>302</v>
      </c>
      <c r="H5" s="29" t="s">
        <v>18</v>
      </c>
      <c r="J5" s="30" t="s">
        <v>22</v>
      </c>
    </row>
    <row r="6" spans="2:10" x14ac:dyDescent="0.25">
      <c r="D6" s="33" t="s">
        <v>353</v>
      </c>
      <c r="F6" s="33"/>
      <c r="H6" s="33" t="s">
        <v>19</v>
      </c>
      <c r="J6" s="33"/>
    </row>
    <row r="7" spans="2:10" x14ac:dyDescent="0.25">
      <c r="D7" s="33" t="s">
        <v>2</v>
      </c>
      <c r="F7" s="33"/>
      <c r="H7" s="33" t="s">
        <v>20</v>
      </c>
      <c r="J7" s="33"/>
    </row>
    <row r="8" spans="2:10" x14ac:dyDescent="0.25">
      <c r="D8" s="33" t="s">
        <v>3</v>
      </c>
      <c r="F8" s="33"/>
      <c r="H8" s="33" t="s">
        <v>303</v>
      </c>
      <c r="J8" s="33"/>
    </row>
    <row r="9" spans="2:10" x14ac:dyDescent="0.25">
      <c r="D9" s="33" t="s">
        <v>354</v>
      </c>
      <c r="F9" s="33"/>
      <c r="H9" s="33"/>
      <c r="J9" s="33"/>
    </row>
    <row r="10" spans="2:10" x14ac:dyDescent="0.25">
      <c r="D10" s="33" t="s">
        <v>355</v>
      </c>
      <c r="F10" s="33"/>
      <c r="H10" s="33"/>
      <c r="J10" s="33"/>
    </row>
    <row r="11" spans="2:10" x14ac:dyDescent="0.25">
      <c r="D11" s="33" t="s">
        <v>356</v>
      </c>
      <c r="F11" s="33"/>
      <c r="H11" s="33"/>
      <c r="J11" s="33"/>
    </row>
    <row r="12" spans="2:10" x14ac:dyDescent="0.25">
      <c r="D12" s="33" t="s">
        <v>6</v>
      </c>
      <c r="F12" s="33"/>
      <c r="H12" s="33"/>
      <c r="J12" s="33"/>
    </row>
    <row r="13" spans="2:10" x14ac:dyDescent="0.25">
      <c r="D13" s="33" t="s">
        <v>10</v>
      </c>
      <c r="F13" s="33"/>
      <c r="H13" s="33"/>
      <c r="J13" s="33"/>
    </row>
    <row r="14" spans="2:10" x14ac:dyDescent="0.25">
      <c r="D14" s="33"/>
      <c r="F14" s="33"/>
      <c r="H14" s="33"/>
      <c r="J14" s="33"/>
    </row>
    <row r="15" spans="2:10" x14ac:dyDescent="0.25">
      <c r="D15" s="33"/>
      <c r="F15" s="33"/>
      <c r="H15" s="33"/>
      <c r="J15" s="33"/>
    </row>
    <row r="16" spans="2:10" x14ac:dyDescent="0.25">
      <c r="D16" s="33"/>
      <c r="F16" s="33"/>
      <c r="H16" s="33"/>
      <c r="J16" s="33"/>
    </row>
    <row r="17" spans="4:10" x14ac:dyDescent="0.25">
      <c r="D17" s="33"/>
      <c r="F17" s="33"/>
      <c r="H17" s="33"/>
      <c r="J17" s="33"/>
    </row>
    <row r="18" spans="4:10" x14ac:dyDescent="0.25">
      <c r="D18" s="33"/>
      <c r="F18" s="33"/>
      <c r="H18" s="33"/>
      <c r="J18" s="33"/>
    </row>
    <row r="19" spans="4:10" x14ac:dyDescent="0.25">
      <c r="D19" s="33"/>
      <c r="F19" s="33"/>
      <c r="H19" s="33"/>
      <c r="J19" s="33"/>
    </row>
    <row r="20" spans="4:10" x14ac:dyDescent="0.25">
      <c r="D20" s="33"/>
      <c r="F20" s="33"/>
      <c r="H20" s="33"/>
      <c r="J20" s="33"/>
    </row>
    <row r="21" spans="4:10" x14ac:dyDescent="0.25">
      <c r="D21" s="33"/>
      <c r="F21" s="33"/>
      <c r="H21" s="33"/>
      <c r="J21" s="33"/>
    </row>
    <row r="22" spans="4:10" x14ac:dyDescent="0.25">
      <c r="D22" s="33"/>
      <c r="F22" s="33"/>
      <c r="H22" s="33"/>
      <c r="J22" s="33"/>
    </row>
    <row r="23" spans="4:10" x14ac:dyDescent="0.25">
      <c r="D23" s="33"/>
      <c r="F23" s="33"/>
      <c r="H23" s="33"/>
      <c r="J23" s="33"/>
    </row>
    <row r="24" spans="4:10" x14ac:dyDescent="0.25">
      <c r="D24" s="33"/>
      <c r="F24" s="33"/>
      <c r="H24" s="33"/>
      <c r="J24" s="33"/>
    </row>
    <row r="25" spans="4:10" x14ac:dyDescent="0.25">
      <c r="D25" s="33"/>
      <c r="F25" s="33"/>
      <c r="H25" s="33"/>
      <c r="J25" s="33"/>
    </row>
    <row r="26" spans="4:10" x14ac:dyDescent="0.25">
      <c r="D26" s="33"/>
      <c r="F26" s="33"/>
      <c r="H26" s="33"/>
      <c r="J26" s="33"/>
    </row>
    <row r="27" spans="4:10" x14ac:dyDescent="0.25">
      <c r="D27" s="33"/>
      <c r="F27" s="33"/>
      <c r="H27" s="33"/>
      <c r="J27" s="33"/>
    </row>
    <row r="28" spans="4:10" x14ac:dyDescent="0.25">
      <c r="D28" s="33"/>
      <c r="F28" s="33"/>
      <c r="H28" s="33"/>
      <c r="J28" s="33"/>
    </row>
    <row r="29" spans="4:10" x14ac:dyDescent="0.25">
      <c r="D29" s="33"/>
      <c r="F29" s="33"/>
      <c r="H29" s="33"/>
      <c r="J29" s="33"/>
    </row>
    <row r="30" spans="4:10" x14ac:dyDescent="0.25">
      <c r="D30" s="33"/>
      <c r="F30" s="33"/>
      <c r="H30" s="33"/>
      <c r="J30" s="33"/>
    </row>
    <row r="31" spans="4:10" x14ac:dyDescent="0.25">
      <c r="D31" s="33"/>
      <c r="F31" s="33"/>
      <c r="H31" s="33"/>
      <c r="J31" s="33"/>
    </row>
    <row r="32" spans="4:10" x14ac:dyDescent="0.25">
      <c r="D32" s="33"/>
      <c r="F32" s="33"/>
      <c r="H32" s="33"/>
      <c r="J32" s="33"/>
    </row>
    <row r="33" spans="4:10" x14ac:dyDescent="0.25">
      <c r="D33" s="33"/>
      <c r="F33" s="33"/>
      <c r="H33" s="33"/>
      <c r="J33" s="33"/>
    </row>
    <row r="34" spans="4:10" x14ac:dyDescent="0.25">
      <c r="D34" s="33"/>
      <c r="F34" s="33"/>
      <c r="H34" s="33"/>
      <c r="J34" s="33"/>
    </row>
    <row r="35" spans="4:10" x14ac:dyDescent="0.25">
      <c r="D35" s="33"/>
      <c r="F35" s="33"/>
      <c r="H35" s="33"/>
      <c r="J35" s="33"/>
    </row>
    <row r="36" spans="4:10" x14ac:dyDescent="0.25">
      <c r="D36" s="33"/>
      <c r="F36" s="33"/>
      <c r="H36" s="33"/>
      <c r="J36" s="33"/>
    </row>
    <row r="37" spans="4:10" x14ac:dyDescent="0.25">
      <c r="D37" s="33"/>
      <c r="F37" s="33"/>
      <c r="H37" s="33"/>
      <c r="J37" s="33"/>
    </row>
    <row r="38" spans="4:10" x14ac:dyDescent="0.25">
      <c r="D38" s="33"/>
      <c r="F38" s="33"/>
      <c r="H38" s="33"/>
      <c r="J38" s="33"/>
    </row>
    <row r="39" spans="4:10" x14ac:dyDescent="0.25">
      <c r="D39" s="33"/>
      <c r="F39" s="33"/>
      <c r="H39" s="33"/>
      <c r="J39" s="33"/>
    </row>
    <row r="40" spans="4:10" ht="15.75" thickBot="1" x14ac:dyDescent="0.3">
      <c r="D40" s="34"/>
      <c r="F40" s="34"/>
      <c r="H40" s="34"/>
      <c r="J40" s="34"/>
    </row>
    <row r="41" spans="4:10" x14ac:dyDescent="0.25">
      <c r="D41" s="31" t="s">
        <v>92</v>
      </c>
      <c r="F41" s="31" t="s">
        <v>92</v>
      </c>
      <c r="H41" s="31" t="s">
        <v>92</v>
      </c>
      <c r="J41" s="31" t="s">
        <v>92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CC9900"/>
  </sheetPr>
  <dimension ref="B1:L50"/>
  <sheetViews>
    <sheetView zoomScaleNormal="100" workbookViewId="0">
      <selection activeCell="G12" sqref="G12"/>
    </sheetView>
  </sheetViews>
  <sheetFormatPr baseColWidth="10" defaultColWidth="11.5703125" defaultRowHeight="15" x14ac:dyDescent="0.25"/>
  <cols>
    <col min="1" max="3" width="3.85546875" style="5" customWidth="1"/>
    <col min="4" max="11" width="15.85546875" style="5" customWidth="1"/>
    <col min="12" max="12" width="56" style="5" bestFit="1" customWidth="1"/>
    <col min="13" max="16384" width="11.5703125" style="5"/>
  </cols>
  <sheetData>
    <row r="1" spans="2:12" s="3" customFormat="1" ht="24.95" customHeight="1" x14ac:dyDescent="0.25">
      <c r="B1" s="2" t="s">
        <v>11</v>
      </c>
    </row>
    <row r="2" spans="2:12" ht="15.75" thickBot="1" x14ac:dyDescent="0.3">
      <c r="D2" s="5" t="str">
        <f>JESA_UploadTable(D3,D3:D5,db)</f>
        <v>PriorityMines @09:45:17</v>
      </c>
    </row>
    <row r="3" spans="2:12" ht="16.5" thickBot="1" x14ac:dyDescent="0.3">
      <c r="D3" s="6" t="s">
        <v>377</v>
      </c>
    </row>
    <row r="4" spans="2:12" x14ac:dyDescent="0.25">
      <c r="D4" s="8" t="s">
        <v>3</v>
      </c>
    </row>
    <row r="5" spans="2:12" ht="15.75" thickBot="1" x14ac:dyDescent="0.3">
      <c r="D5" s="10" t="s">
        <v>9</v>
      </c>
    </row>
    <row r="7" spans="2:12" ht="15.75" thickBot="1" x14ac:dyDescent="0.3">
      <c r="D7" s="38" t="str">
        <f>JESA_UploadTable(B1,D8:L50,db)</f>
        <v>MINING options @09:45:18</v>
      </c>
    </row>
    <row r="8" spans="2:12" ht="30" customHeight="1" thickBot="1" x14ac:dyDescent="0.3">
      <c r="D8" s="6" t="s">
        <v>8</v>
      </c>
      <c r="E8" s="7" t="s">
        <v>30</v>
      </c>
      <c r="F8" s="6" t="s">
        <v>49</v>
      </c>
      <c r="G8" s="4" t="s">
        <v>268</v>
      </c>
      <c r="H8" s="4" t="s">
        <v>17</v>
      </c>
      <c r="I8" s="4" t="s">
        <v>70</v>
      </c>
      <c r="J8" s="4" t="s">
        <v>144</v>
      </c>
      <c r="K8" s="4" t="s">
        <v>148</v>
      </c>
      <c r="L8" s="6" t="s">
        <v>149</v>
      </c>
    </row>
    <row r="9" spans="2:12" x14ac:dyDescent="0.25">
      <c r="D9" s="8" t="s">
        <v>3</v>
      </c>
      <c r="E9" s="8" t="s">
        <v>3</v>
      </c>
      <c r="F9" s="8" t="s">
        <v>302</v>
      </c>
      <c r="G9" s="13">
        <v>4</v>
      </c>
      <c r="H9" s="13" t="s">
        <v>139</v>
      </c>
      <c r="I9" s="13" t="s">
        <v>36</v>
      </c>
      <c r="J9" s="14">
        <v>2018</v>
      </c>
      <c r="K9" s="14">
        <v>2100</v>
      </c>
      <c r="L9" s="8" t="str">
        <f t="shared" ref="L9:L50" si="0">IF(D9="","","/Mine/"&amp;CONCATENATE(D9,"/",E9,"/",F9,"/",ROUND(G9,2),"/",I9,"/",J9,"/",K9))</f>
        <v>/Mine/Mzinda/Mzinda/Definie/4/Existing/2018/2100</v>
      </c>
    </row>
    <row r="10" spans="2:12" x14ac:dyDescent="0.25">
      <c r="D10" s="9" t="s">
        <v>9</v>
      </c>
      <c r="E10" s="9" t="s">
        <v>352</v>
      </c>
      <c r="F10" s="9" t="s">
        <v>302</v>
      </c>
      <c r="G10" s="11">
        <v>2.77</v>
      </c>
      <c r="H10" s="11" t="s">
        <v>139</v>
      </c>
      <c r="I10" s="11" t="s">
        <v>36</v>
      </c>
      <c r="J10" s="15">
        <v>2018</v>
      </c>
      <c r="K10" s="15">
        <v>2100</v>
      </c>
      <c r="L10" s="9" t="str">
        <f t="shared" si="0"/>
        <v>/Mine/Benguerir/Benguerir 1/Definie/2,77/Existing/2018/2100</v>
      </c>
    </row>
    <row r="11" spans="2:12" x14ac:dyDescent="0.25">
      <c r="D11" s="9" t="s">
        <v>9</v>
      </c>
      <c r="E11" s="9" t="s">
        <v>352</v>
      </c>
      <c r="F11" s="9" t="s">
        <v>302</v>
      </c>
      <c r="G11" s="11">
        <v>9</v>
      </c>
      <c r="H11" s="11" t="s">
        <v>139</v>
      </c>
      <c r="I11" s="11" t="s">
        <v>472</v>
      </c>
      <c r="J11" s="15">
        <v>2023</v>
      </c>
      <c r="K11" s="15">
        <v>2100</v>
      </c>
      <c r="L11" s="9" t="str">
        <f t="shared" si="0"/>
        <v>/Mine/Benguerir/Benguerir 1/Definie/9/Extension/2023/2100</v>
      </c>
    </row>
    <row r="12" spans="2:12" x14ac:dyDescent="0.25">
      <c r="D12" s="9" t="s">
        <v>6</v>
      </c>
      <c r="E12" s="9" t="s">
        <v>6</v>
      </c>
      <c r="F12" s="9" t="s">
        <v>302</v>
      </c>
      <c r="G12" s="11">
        <v>4.5</v>
      </c>
      <c r="H12" s="11" t="s">
        <v>139</v>
      </c>
      <c r="I12" s="11" t="s">
        <v>146</v>
      </c>
      <c r="J12" s="15">
        <v>2023</v>
      </c>
      <c r="K12" s="15">
        <v>2100</v>
      </c>
      <c r="L12" s="9" t="str">
        <f t="shared" si="0"/>
        <v>/Mine/Louta/Louta/Definie/4,5/New/2023/2100</v>
      </c>
    </row>
    <row r="13" spans="2:12" x14ac:dyDescent="0.25">
      <c r="D13" s="9" t="s">
        <v>10</v>
      </c>
      <c r="E13" s="9" t="s">
        <v>10</v>
      </c>
      <c r="F13" s="9" t="s">
        <v>302</v>
      </c>
      <c r="G13" s="11">
        <v>5.5</v>
      </c>
      <c r="H13" s="11" t="s">
        <v>139</v>
      </c>
      <c r="I13" s="11" t="s">
        <v>146</v>
      </c>
      <c r="J13" s="15">
        <v>2023</v>
      </c>
      <c r="K13" s="15">
        <v>2100</v>
      </c>
      <c r="L13" s="9" t="str">
        <f t="shared" si="0"/>
        <v>/Mine/Nzalat/Nzalat/Definie/5,5/New/2023/2100</v>
      </c>
    </row>
    <row r="14" spans="2:12" x14ac:dyDescent="0.25">
      <c r="D14" s="9" t="s">
        <v>4</v>
      </c>
      <c r="E14" s="9" t="s">
        <v>354</v>
      </c>
      <c r="F14" s="9" t="s">
        <v>302</v>
      </c>
      <c r="G14" s="11">
        <v>10</v>
      </c>
      <c r="H14" s="11" t="s">
        <v>139</v>
      </c>
      <c r="I14" s="11" t="s">
        <v>146</v>
      </c>
      <c r="J14" s="15">
        <v>2023</v>
      </c>
      <c r="K14" s="15">
        <v>2100</v>
      </c>
      <c r="L14" s="9" t="str">
        <f t="shared" si="0"/>
        <v>/Mine/Tassaout/Tassaout 1/Definie/10/New/2023/2100</v>
      </c>
    </row>
    <row r="15" spans="2:12" x14ac:dyDescent="0.25">
      <c r="D15" s="9"/>
      <c r="E15" s="9"/>
      <c r="F15" s="9"/>
      <c r="G15" s="11"/>
      <c r="H15" s="11"/>
      <c r="I15" s="11"/>
      <c r="J15" s="15"/>
      <c r="K15" s="15"/>
      <c r="L15" s="9" t="str">
        <f t="shared" si="0"/>
        <v/>
      </c>
    </row>
    <row r="16" spans="2:12" x14ac:dyDescent="0.25">
      <c r="D16" s="9"/>
      <c r="E16" s="9"/>
      <c r="F16" s="9"/>
      <c r="G16" s="11"/>
      <c r="H16" s="11"/>
      <c r="I16" s="11"/>
      <c r="J16" s="15"/>
      <c r="K16" s="15"/>
      <c r="L16" s="9" t="str">
        <f t="shared" si="0"/>
        <v/>
      </c>
    </row>
    <row r="17" spans="4:12" x14ac:dyDescent="0.25">
      <c r="D17" s="9"/>
      <c r="E17" s="9"/>
      <c r="F17" s="9"/>
      <c r="G17" s="11"/>
      <c r="H17" s="11"/>
      <c r="I17" s="11"/>
      <c r="J17" s="15"/>
      <c r="K17" s="15"/>
      <c r="L17" s="9" t="str">
        <f t="shared" si="0"/>
        <v/>
      </c>
    </row>
    <row r="18" spans="4:12" x14ac:dyDescent="0.25">
      <c r="D18" s="9"/>
      <c r="E18" s="9"/>
      <c r="F18" s="9"/>
      <c r="G18" s="11"/>
      <c r="H18" s="11"/>
      <c r="I18" s="11"/>
      <c r="J18" s="15"/>
      <c r="K18" s="15"/>
      <c r="L18" s="9" t="str">
        <f t="shared" si="0"/>
        <v/>
      </c>
    </row>
    <row r="19" spans="4:12" x14ac:dyDescent="0.25">
      <c r="D19" s="9"/>
      <c r="E19" s="9"/>
      <c r="F19" s="9"/>
      <c r="G19" s="11"/>
      <c r="H19" s="11"/>
      <c r="I19" s="11"/>
      <c r="J19" s="15"/>
      <c r="K19" s="15"/>
      <c r="L19" s="9" t="str">
        <f t="shared" si="0"/>
        <v/>
      </c>
    </row>
    <row r="20" spans="4:12" x14ac:dyDescent="0.25">
      <c r="D20" s="9"/>
      <c r="E20" s="9"/>
      <c r="F20" s="9"/>
      <c r="G20" s="11"/>
      <c r="H20" s="11"/>
      <c r="I20" s="11"/>
      <c r="J20" s="15"/>
      <c r="K20" s="15"/>
      <c r="L20" s="9" t="str">
        <f t="shared" si="0"/>
        <v/>
      </c>
    </row>
    <row r="21" spans="4:12" x14ac:dyDescent="0.25">
      <c r="D21" s="9"/>
      <c r="E21" s="9"/>
      <c r="F21" s="9"/>
      <c r="G21" s="11"/>
      <c r="H21" s="11"/>
      <c r="I21" s="11"/>
      <c r="J21" s="15"/>
      <c r="K21" s="15"/>
      <c r="L21" s="9" t="str">
        <f t="shared" si="0"/>
        <v/>
      </c>
    </row>
    <row r="22" spans="4:12" x14ac:dyDescent="0.25">
      <c r="D22" s="9"/>
      <c r="E22" s="9"/>
      <c r="F22" s="9"/>
      <c r="G22" s="11"/>
      <c r="H22" s="11"/>
      <c r="I22" s="11"/>
      <c r="J22" s="15"/>
      <c r="K22" s="15"/>
      <c r="L22" s="9" t="str">
        <f t="shared" si="0"/>
        <v/>
      </c>
    </row>
    <row r="23" spans="4:12" x14ac:dyDescent="0.25">
      <c r="D23" s="9"/>
      <c r="E23" s="9"/>
      <c r="F23" s="9"/>
      <c r="G23" s="11"/>
      <c r="H23" s="11"/>
      <c r="I23" s="11"/>
      <c r="J23" s="15"/>
      <c r="K23" s="15"/>
      <c r="L23" s="9" t="str">
        <f t="shared" si="0"/>
        <v/>
      </c>
    </row>
    <row r="24" spans="4:12" x14ac:dyDescent="0.25">
      <c r="D24" s="9"/>
      <c r="E24" s="9"/>
      <c r="F24" s="9"/>
      <c r="G24" s="11"/>
      <c r="H24" s="11"/>
      <c r="I24" s="11"/>
      <c r="J24" s="15"/>
      <c r="K24" s="15"/>
      <c r="L24" s="9" t="str">
        <f t="shared" si="0"/>
        <v/>
      </c>
    </row>
    <row r="25" spans="4:12" x14ac:dyDescent="0.25">
      <c r="D25" s="9"/>
      <c r="E25" s="9"/>
      <c r="F25" s="9"/>
      <c r="G25" s="11"/>
      <c r="H25" s="11"/>
      <c r="I25" s="11"/>
      <c r="J25" s="15"/>
      <c r="K25" s="15"/>
      <c r="L25" s="9" t="str">
        <f t="shared" si="0"/>
        <v/>
      </c>
    </row>
    <row r="26" spans="4:12" x14ac:dyDescent="0.25">
      <c r="D26" s="9"/>
      <c r="E26" s="9"/>
      <c r="F26" s="9"/>
      <c r="G26" s="11"/>
      <c r="H26" s="11"/>
      <c r="I26" s="11"/>
      <c r="J26" s="15"/>
      <c r="K26" s="15"/>
      <c r="L26" s="9" t="str">
        <f t="shared" si="0"/>
        <v/>
      </c>
    </row>
    <row r="27" spans="4:12" x14ac:dyDescent="0.25">
      <c r="D27" s="9"/>
      <c r="E27" s="9"/>
      <c r="F27" s="9"/>
      <c r="G27" s="11"/>
      <c r="H27" s="11"/>
      <c r="I27" s="11"/>
      <c r="J27" s="15"/>
      <c r="K27" s="15"/>
      <c r="L27" s="9" t="str">
        <f t="shared" si="0"/>
        <v/>
      </c>
    </row>
    <row r="28" spans="4:12" x14ac:dyDescent="0.25">
      <c r="D28" s="9"/>
      <c r="E28" s="9"/>
      <c r="F28" s="9"/>
      <c r="G28" s="11"/>
      <c r="H28" s="11"/>
      <c r="I28" s="11"/>
      <c r="J28" s="15"/>
      <c r="K28" s="15"/>
      <c r="L28" s="9" t="str">
        <f t="shared" si="0"/>
        <v/>
      </c>
    </row>
    <row r="29" spans="4:12" x14ac:dyDescent="0.25">
      <c r="D29" s="9"/>
      <c r="E29" s="9"/>
      <c r="F29" s="9"/>
      <c r="G29" s="11"/>
      <c r="H29" s="11"/>
      <c r="I29" s="11"/>
      <c r="J29" s="15"/>
      <c r="K29" s="15"/>
      <c r="L29" s="9" t="str">
        <f t="shared" si="0"/>
        <v/>
      </c>
    </row>
    <row r="30" spans="4:12" x14ac:dyDescent="0.25">
      <c r="D30" s="9"/>
      <c r="E30" s="9"/>
      <c r="F30" s="9"/>
      <c r="G30" s="11"/>
      <c r="H30" s="11"/>
      <c r="I30" s="11"/>
      <c r="J30" s="15"/>
      <c r="K30" s="15"/>
      <c r="L30" s="9" t="str">
        <f t="shared" si="0"/>
        <v/>
      </c>
    </row>
    <row r="31" spans="4:12" x14ac:dyDescent="0.25">
      <c r="D31" s="9"/>
      <c r="E31" s="9"/>
      <c r="F31" s="9"/>
      <c r="G31" s="11"/>
      <c r="H31" s="11"/>
      <c r="I31" s="11"/>
      <c r="J31" s="15"/>
      <c r="K31" s="15"/>
      <c r="L31" s="9" t="str">
        <f t="shared" si="0"/>
        <v/>
      </c>
    </row>
    <row r="32" spans="4:12" x14ac:dyDescent="0.25">
      <c r="D32" s="9"/>
      <c r="E32" s="9"/>
      <c r="F32" s="9"/>
      <c r="G32" s="11"/>
      <c r="H32" s="11"/>
      <c r="I32" s="11"/>
      <c r="J32" s="15"/>
      <c r="K32" s="15"/>
      <c r="L32" s="9" t="str">
        <f t="shared" si="0"/>
        <v/>
      </c>
    </row>
    <row r="33" spans="4:12" x14ac:dyDescent="0.25">
      <c r="D33" s="9"/>
      <c r="E33" s="9"/>
      <c r="F33" s="9"/>
      <c r="G33" s="11"/>
      <c r="H33" s="11"/>
      <c r="I33" s="11"/>
      <c r="J33" s="15"/>
      <c r="K33" s="15"/>
      <c r="L33" s="9" t="str">
        <f t="shared" si="0"/>
        <v/>
      </c>
    </row>
    <row r="34" spans="4:12" x14ac:dyDescent="0.25">
      <c r="D34" s="9"/>
      <c r="E34" s="9"/>
      <c r="F34" s="9"/>
      <c r="G34" s="11"/>
      <c r="H34" s="11"/>
      <c r="I34" s="11"/>
      <c r="J34" s="15"/>
      <c r="K34" s="15"/>
      <c r="L34" s="9" t="str">
        <f t="shared" si="0"/>
        <v/>
      </c>
    </row>
    <row r="35" spans="4:12" x14ac:dyDescent="0.25">
      <c r="D35" s="9"/>
      <c r="E35" s="9"/>
      <c r="F35" s="9"/>
      <c r="G35" s="11"/>
      <c r="H35" s="11"/>
      <c r="I35" s="11"/>
      <c r="J35" s="15"/>
      <c r="K35" s="15"/>
      <c r="L35" s="9" t="str">
        <f t="shared" si="0"/>
        <v/>
      </c>
    </row>
    <row r="36" spans="4:12" x14ac:dyDescent="0.25">
      <c r="D36" s="9"/>
      <c r="E36" s="9"/>
      <c r="F36" s="9"/>
      <c r="G36" s="11"/>
      <c r="H36" s="11"/>
      <c r="I36" s="11"/>
      <c r="J36" s="15"/>
      <c r="K36" s="15"/>
      <c r="L36" s="9" t="str">
        <f t="shared" si="0"/>
        <v/>
      </c>
    </row>
    <row r="37" spans="4:12" x14ac:dyDescent="0.25">
      <c r="D37" s="9"/>
      <c r="E37" s="9"/>
      <c r="F37" s="9"/>
      <c r="G37" s="11"/>
      <c r="H37" s="11"/>
      <c r="I37" s="11"/>
      <c r="J37" s="15"/>
      <c r="K37" s="15"/>
      <c r="L37" s="9" t="str">
        <f t="shared" si="0"/>
        <v/>
      </c>
    </row>
    <row r="38" spans="4:12" x14ac:dyDescent="0.25">
      <c r="D38" s="9"/>
      <c r="E38" s="9"/>
      <c r="F38" s="9"/>
      <c r="G38" s="11"/>
      <c r="H38" s="11"/>
      <c r="I38" s="11"/>
      <c r="J38" s="15"/>
      <c r="K38" s="15"/>
      <c r="L38" s="9" t="str">
        <f t="shared" si="0"/>
        <v/>
      </c>
    </row>
    <row r="39" spans="4:12" x14ac:dyDescent="0.25">
      <c r="D39" s="9"/>
      <c r="E39" s="9"/>
      <c r="F39" s="9"/>
      <c r="G39" s="11"/>
      <c r="H39" s="11"/>
      <c r="I39" s="11"/>
      <c r="J39" s="15"/>
      <c r="K39" s="15"/>
      <c r="L39" s="9" t="str">
        <f t="shared" si="0"/>
        <v/>
      </c>
    </row>
    <row r="40" spans="4:12" x14ac:dyDescent="0.25">
      <c r="D40" s="9"/>
      <c r="E40" s="9"/>
      <c r="F40" s="9"/>
      <c r="G40" s="11"/>
      <c r="H40" s="11"/>
      <c r="I40" s="11"/>
      <c r="J40" s="15"/>
      <c r="K40" s="15"/>
      <c r="L40" s="9" t="str">
        <f t="shared" si="0"/>
        <v/>
      </c>
    </row>
    <row r="41" spans="4:12" x14ac:dyDescent="0.25">
      <c r="D41" s="9"/>
      <c r="E41" s="9"/>
      <c r="F41" s="9"/>
      <c r="G41" s="11"/>
      <c r="H41" s="11"/>
      <c r="I41" s="11"/>
      <c r="J41" s="15"/>
      <c r="K41" s="15"/>
      <c r="L41" s="9" t="str">
        <f t="shared" si="0"/>
        <v/>
      </c>
    </row>
    <row r="42" spans="4:12" x14ac:dyDescent="0.25">
      <c r="D42" s="9"/>
      <c r="E42" s="9"/>
      <c r="F42" s="9"/>
      <c r="G42" s="11"/>
      <c r="H42" s="11"/>
      <c r="I42" s="11"/>
      <c r="J42" s="15"/>
      <c r="K42" s="15"/>
      <c r="L42" s="9" t="str">
        <f t="shared" si="0"/>
        <v/>
      </c>
    </row>
    <row r="43" spans="4:12" x14ac:dyDescent="0.25">
      <c r="D43" s="9"/>
      <c r="E43" s="9"/>
      <c r="F43" s="9"/>
      <c r="G43" s="11"/>
      <c r="H43" s="11"/>
      <c r="I43" s="11"/>
      <c r="J43" s="15"/>
      <c r="K43" s="15"/>
      <c r="L43" s="9" t="str">
        <f t="shared" si="0"/>
        <v/>
      </c>
    </row>
    <row r="44" spans="4:12" x14ac:dyDescent="0.25">
      <c r="D44" s="9"/>
      <c r="E44" s="9"/>
      <c r="F44" s="9"/>
      <c r="G44" s="11"/>
      <c r="H44" s="11"/>
      <c r="I44" s="11"/>
      <c r="J44" s="15"/>
      <c r="K44" s="15"/>
      <c r="L44" s="9" t="str">
        <f t="shared" si="0"/>
        <v/>
      </c>
    </row>
    <row r="45" spans="4:12" x14ac:dyDescent="0.25">
      <c r="D45" s="9"/>
      <c r="E45" s="9"/>
      <c r="F45" s="9"/>
      <c r="G45" s="11"/>
      <c r="H45" s="11"/>
      <c r="I45" s="11"/>
      <c r="J45" s="15"/>
      <c r="K45" s="15"/>
      <c r="L45" s="9" t="str">
        <f t="shared" si="0"/>
        <v/>
      </c>
    </row>
    <row r="46" spans="4:12" x14ac:dyDescent="0.25">
      <c r="D46" s="9"/>
      <c r="E46" s="9"/>
      <c r="F46" s="9"/>
      <c r="G46" s="11"/>
      <c r="H46" s="11"/>
      <c r="I46" s="11"/>
      <c r="J46" s="15"/>
      <c r="K46" s="15"/>
      <c r="L46" s="9" t="str">
        <f t="shared" si="0"/>
        <v/>
      </c>
    </row>
    <row r="47" spans="4:12" x14ac:dyDescent="0.25">
      <c r="D47" s="9"/>
      <c r="E47" s="9"/>
      <c r="F47" s="9"/>
      <c r="G47" s="9"/>
      <c r="H47" s="9"/>
      <c r="I47" s="9"/>
      <c r="J47" s="9"/>
      <c r="K47" s="9"/>
      <c r="L47" s="9" t="str">
        <f t="shared" si="0"/>
        <v/>
      </c>
    </row>
    <row r="48" spans="4:12" x14ac:dyDescent="0.25">
      <c r="D48" s="9"/>
      <c r="E48" s="9"/>
      <c r="F48" s="9"/>
      <c r="G48" s="9"/>
      <c r="H48" s="9"/>
      <c r="I48" s="9"/>
      <c r="J48" s="9"/>
      <c r="K48" s="9"/>
      <c r="L48" s="9" t="str">
        <f t="shared" si="0"/>
        <v/>
      </c>
    </row>
    <row r="49" spans="4:12" x14ac:dyDescent="0.25">
      <c r="D49" s="9"/>
      <c r="E49" s="9"/>
      <c r="F49" s="9"/>
      <c r="G49" s="9"/>
      <c r="H49" s="9"/>
      <c r="I49" s="9"/>
      <c r="J49" s="9"/>
      <c r="K49" s="9"/>
      <c r="L49" s="9" t="str">
        <f t="shared" si="0"/>
        <v/>
      </c>
    </row>
    <row r="50" spans="4:12" ht="15.75" thickBot="1" x14ac:dyDescent="0.3">
      <c r="D50" s="10"/>
      <c r="E50" s="10"/>
      <c r="F50" s="10"/>
      <c r="G50" s="10"/>
      <c r="H50" s="10"/>
      <c r="I50" s="10"/>
      <c r="J50" s="10"/>
      <c r="K50" s="10"/>
      <c r="L50" s="10" t="str">
        <f t="shared" si="0"/>
        <v/>
      </c>
    </row>
  </sheetData>
  <dataValidations count="5">
    <dataValidation type="list" allowBlank="1" showInputMessage="1" showErrorMessage="1" sqref="F9:F48">
      <formula1>MineProcess</formula1>
    </dataValidation>
    <dataValidation type="list" allowBlank="1" showInputMessage="1" showErrorMessage="1" sqref="D9:D46">
      <formula1>Location</formula1>
    </dataValidation>
    <dataValidation type="list" allowBlank="1" showInputMessage="1" showErrorMessage="1" sqref="E9:E46">
      <formula1>MineName</formula1>
    </dataValidation>
    <dataValidation type="list" allowBlank="1" showInputMessage="1" showErrorMessage="1" sqref="I9:I46">
      <formula1>"Existing,New,Extension"</formula1>
    </dataValidation>
    <dataValidation type="list" allowBlank="1" showInputMessage="1" showErrorMessage="1" sqref="H9:H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CC9900"/>
  </sheetPr>
  <dimension ref="B1:R51"/>
  <sheetViews>
    <sheetView zoomScaleNormal="100" workbookViewId="0">
      <selection activeCell="I1" sqref="I1:S1048576"/>
    </sheetView>
  </sheetViews>
  <sheetFormatPr baseColWidth="10" defaultColWidth="11.5703125" defaultRowHeight="15" x14ac:dyDescent="0.25"/>
  <cols>
    <col min="1" max="3" width="3.85546875" style="5" customWidth="1"/>
    <col min="4" max="7" width="15.85546875" style="5" customWidth="1"/>
    <col min="8" max="19" width="8.85546875" style="5" customWidth="1"/>
    <col min="20" max="16384" width="11.5703125" style="5"/>
  </cols>
  <sheetData>
    <row r="1" spans="2:18" s="3" customFormat="1" ht="24.95" customHeight="1" x14ac:dyDescent="0.25">
      <c r="B1" s="2" t="s">
        <v>135</v>
      </c>
    </row>
    <row r="3" spans="2:18" ht="15.75" thickBot="1" x14ac:dyDescent="0.3">
      <c r="D3" s="38" t="str">
        <f>JESA_UploadTable(B1,D4:R50,db)</f>
        <v>MINING specific production @09:45:19</v>
      </c>
    </row>
    <row r="4" spans="2:18" ht="30" customHeight="1" thickBot="1" x14ac:dyDescent="0.3">
      <c r="D4" s="6" t="s">
        <v>30</v>
      </c>
      <c r="E4" s="6" t="s">
        <v>49</v>
      </c>
      <c r="F4" s="6" t="s">
        <v>48</v>
      </c>
      <c r="G4" s="4" t="s">
        <v>17</v>
      </c>
      <c r="H4" s="21" t="s">
        <v>37</v>
      </c>
      <c r="I4" s="21" t="s">
        <v>38</v>
      </c>
      <c r="J4" s="21" t="s">
        <v>39</v>
      </c>
      <c r="K4" s="21" t="s">
        <v>40</v>
      </c>
      <c r="L4" s="21" t="s">
        <v>41</v>
      </c>
      <c r="M4" s="21" t="s">
        <v>42</v>
      </c>
      <c r="N4" s="21" t="s">
        <v>43</v>
      </c>
      <c r="O4" s="21" t="s">
        <v>44</v>
      </c>
      <c r="P4" s="21" t="s">
        <v>45</v>
      </c>
      <c r="Q4" s="21" t="s">
        <v>46</v>
      </c>
      <c r="R4" s="21" t="s">
        <v>47</v>
      </c>
    </row>
    <row r="5" spans="2:18" x14ac:dyDescent="0.25">
      <c r="D5" s="8" t="s">
        <v>3</v>
      </c>
      <c r="E5" s="8" t="s">
        <v>302</v>
      </c>
      <c r="F5" s="8" t="s">
        <v>20</v>
      </c>
      <c r="G5" s="8" t="s">
        <v>132</v>
      </c>
      <c r="H5" s="27">
        <v>0</v>
      </c>
      <c r="I5" s="27">
        <f t="shared" ref="I5:R5" si="0">IF(H5="","",H5)</f>
        <v>0</v>
      </c>
      <c r="J5" s="27">
        <f t="shared" si="0"/>
        <v>0</v>
      </c>
      <c r="K5" s="27">
        <f t="shared" si="0"/>
        <v>0</v>
      </c>
      <c r="L5" s="27">
        <f t="shared" si="0"/>
        <v>0</v>
      </c>
      <c r="M5" s="27">
        <f t="shared" si="0"/>
        <v>0</v>
      </c>
      <c r="N5" s="27">
        <f t="shared" si="0"/>
        <v>0</v>
      </c>
      <c r="O5" s="27">
        <f t="shared" si="0"/>
        <v>0</v>
      </c>
      <c r="P5" s="27">
        <f t="shared" si="0"/>
        <v>0</v>
      </c>
      <c r="Q5" s="27">
        <f t="shared" si="0"/>
        <v>0</v>
      </c>
      <c r="R5" s="27">
        <f t="shared" si="0"/>
        <v>0</v>
      </c>
    </row>
    <row r="6" spans="2:18" x14ac:dyDescent="0.25">
      <c r="D6" s="9" t="s">
        <v>3</v>
      </c>
      <c r="E6" s="9" t="s">
        <v>302</v>
      </c>
      <c r="F6" s="9" t="s">
        <v>19</v>
      </c>
      <c r="G6" s="9" t="s">
        <v>132</v>
      </c>
      <c r="H6" s="27">
        <v>0</v>
      </c>
      <c r="I6" s="27">
        <f t="shared" ref="I6:R6" si="1">IF(H6="","",H6)</f>
        <v>0</v>
      </c>
      <c r="J6" s="27">
        <f t="shared" si="1"/>
        <v>0</v>
      </c>
      <c r="K6" s="27">
        <f t="shared" si="1"/>
        <v>0</v>
      </c>
      <c r="L6" s="27">
        <f t="shared" si="1"/>
        <v>0</v>
      </c>
      <c r="M6" s="27">
        <f t="shared" si="1"/>
        <v>0</v>
      </c>
      <c r="N6" s="27">
        <f t="shared" si="1"/>
        <v>0</v>
      </c>
      <c r="O6" s="27">
        <f t="shared" si="1"/>
        <v>0</v>
      </c>
      <c r="P6" s="27">
        <f t="shared" si="1"/>
        <v>0</v>
      </c>
      <c r="Q6" s="27">
        <f t="shared" si="1"/>
        <v>0</v>
      </c>
      <c r="R6" s="27">
        <f t="shared" si="1"/>
        <v>0</v>
      </c>
    </row>
    <row r="7" spans="2:18" x14ac:dyDescent="0.25">
      <c r="D7" s="9" t="s">
        <v>3</v>
      </c>
      <c r="E7" s="9" t="s">
        <v>302</v>
      </c>
      <c r="F7" s="9" t="s">
        <v>18</v>
      </c>
      <c r="G7" s="9" t="s">
        <v>132</v>
      </c>
      <c r="H7" s="27">
        <v>0</v>
      </c>
      <c r="I7" s="27">
        <f t="shared" ref="I7:R7" si="2">IF(H7="","",H7)</f>
        <v>0</v>
      </c>
      <c r="J7" s="27">
        <f t="shared" si="2"/>
        <v>0</v>
      </c>
      <c r="K7" s="27">
        <f t="shared" si="2"/>
        <v>0</v>
      </c>
      <c r="L7" s="27">
        <f t="shared" si="2"/>
        <v>0</v>
      </c>
      <c r="M7" s="27">
        <f t="shared" si="2"/>
        <v>0</v>
      </c>
      <c r="N7" s="27">
        <f t="shared" si="2"/>
        <v>0</v>
      </c>
      <c r="O7" s="27">
        <f t="shared" si="2"/>
        <v>0</v>
      </c>
      <c r="P7" s="27">
        <f t="shared" si="2"/>
        <v>0</v>
      </c>
      <c r="Q7" s="27">
        <f t="shared" si="2"/>
        <v>0</v>
      </c>
      <c r="R7" s="27">
        <f t="shared" si="2"/>
        <v>0</v>
      </c>
    </row>
    <row r="8" spans="2:18" x14ac:dyDescent="0.25">
      <c r="D8" s="9" t="s">
        <v>3</v>
      </c>
      <c r="E8" s="9" t="s">
        <v>302</v>
      </c>
      <c r="F8" s="9" t="s">
        <v>303</v>
      </c>
      <c r="G8" s="9" t="s">
        <v>132</v>
      </c>
      <c r="H8" s="27">
        <v>1</v>
      </c>
      <c r="I8" s="27">
        <f t="shared" ref="I8:R8" si="3">IF(H8="","",H8)</f>
        <v>1</v>
      </c>
      <c r="J8" s="27">
        <f t="shared" si="3"/>
        <v>1</v>
      </c>
      <c r="K8" s="27">
        <f t="shared" si="3"/>
        <v>1</v>
      </c>
      <c r="L8" s="27">
        <f t="shared" si="3"/>
        <v>1</v>
      </c>
      <c r="M8" s="27">
        <f t="shared" si="3"/>
        <v>1</v>
      </c>
      <c r="N8" s="27">
        <f t="shared" si="3"/>
        <v>1</v>
      </c>
      <c r="O8" s="27">
        <f t="shared" si="3"/>
        <v>1</v>
      </c>
      <c r="P8" s="27">
        <f t="shared" si="3"/>
        <v>1</v>
      </c>
      <c r="Q8" s="27">
        <f t="shared" si="3"/>
        <v>1</v>
      </c>
      <c r="R8" s="27">
        <f t="shared" si="3"/>
        <v>1</v>
      </c>
    </row>
    <row r="9" spans="2:18" x14ac:dyDescent="0.25">
      <c r="D9" s="9" t="s">
        <v>2</v>
      </c>
      <c r="E9" s="9" t="s">
        <v>302</v>
      </c>
      <c r="F9" s="9" t="s">
        <v>20</v>
      </c>
      <c r="G9" s="9" t="s">
        <v>132</v>
      </c>
      <c r="H9" s="27">
        <v>0</v>
      </c>
      <c r="I9" s="27">
        <f t="shared" ref="I9:R9" si="4">IF(H9="","",H9)</f>
        <v>0</v>
      </c>
      <c r="J9" s="27">
        <f t="shared" si="4"/>
        <v>0</v>
      </c>
      <c r="K9" s="27">
        <f t="shared" si="4"/>
        <v>0</v>
      </c>
      <c r="L9" s="27">
        <f t="shared" si="4"/>
        <v>0</v>
      </c>
      <c r="M9" s="27">
        <f t="shared" si="4"/>
        <v>0</v>
      </c>
      <c r="N9" s="27">
        <f t="shared" si="4"/>
        <v>0</v>
      </c>
      <c r="O9" s="27">
        <f t="shared" si="4"/>
        <v>0</v>
      </c>
      <c r="P9" s="27">
        <f t="shared" si="4"/>
        <v>0</v>
      </c>
      <c r="Q9" s="27">
        <f t="shared" si="4"/>
        <v>0</v>
      </c>
      <c r="R9" s="27">
        <f t="shared" si="4"/>
        <v>0</v>
      </c>
    </row>
    <row r="10" spans="2:18" x14ac:dyDescent="0.25">
      <c r="D10" s="9" t="s">
        <v>2</v>
      </c>
      <c r="E10" s="9" t="s">
        <v>302</v>
      </c>
      <c r="F10" s="9" t="s">
        <v>19</v>
      </c>
      <c r="G10" s="9" t="s">
        <v>132</v>
      </c>
      <c r="H10" s="27">
        <v>0</v>
      </c>
      <c r="I10" s="27">
        <f t="shared" ref="I10:R10" si="5">IF(H10="","",H10)</f>
        <v>0</v>
      </c>
      <c r="J10" s="27">
        <f t="shared" si="5"/>
        <v>0</v>
      </c>
      <c r="K10" s="27">
        <f t="shared" si="5"/>
        <v>0</v>
      </c>
      <c r="L10" s="27">
        <f t="shared" si="5"/>
        <v>0</v>
      </c>
      <c r="M10" s="27">
        <f t="shared" si="5"/>
        <v>0</v>
      </c>
      <c r="N10" s="27">
        <f t="shared" si="5"/>
        <v>0</v>
      </c>
      <c r="O10" s="27">
        <f t="shared" si="5"/>
        <v>0</v>
      </c>
      <c r="P10" s="27">
        <f t="shared" si="5"/>
        <v>0</v>
      </c>
      <c r="Q10" s="27">
        <f t="shared" si="5"/>
        <v>0</v>
      </c>
      <c r="R10" s="27">
        <f t="shared" si="5"/>
        <v>0</v>
      </c>
    </row>
    <row r="11" spans="2:18" x14ac:dyDescent="0.25">
      <c r="D11" s="9" t="s">
        <v>2</v>
      </c>
      <c r="E11" s="9" t="s">
        <v>302</v>
      </c>
      <c r="F11" s="9" t="s">
        <v>18</v>
      </c>
      <c r="G11" s="9" t="s">
        <v>132</v>
      </c>
      <c r="H11" s="27">
        <v>0</v>
      </c>
      <c r="I11" s="27">
        <f t="shared" ref="I11:I40" si="6">IF(H11="","",H11)</f>
        <v>0</v>
      </c>
      <c r="J11" s="27">
        <f t="shared" ref="J11:J40" si="7">IF(I11="","",I11)</f>
        <v>0</v>
      </c>
      <c r="K11" s="27">
        <f t="shared" ref="K11:K40" si="8">IF(J11="","",J11)</f>
        <v>0</v>
      </c>
      <c r="L11" s="27">
        <f t="shared" ref="L11:L40" si="9">IF(K11="","",K11)</f>
        <v>0</v>
      </c>
      <c r="M11" s="27">
        <f t="shared" ref="M11:M40" si="10">IF(L11="","",L11)</f>
        <v>0</v>
      </c>
      <c r="N11" s="27">
        <f t="shared" ref="N11:N40" si="11">IF(M11="","",M11)</f>
        <v>0</v>
      </c>
      <c r="O11" s="27">
        <f t="shared" ref="O11:O40" si="12">IF(N11="","",N11)</f>
        <v>0</v>
      </c>
      <c r="P11" s="27">
        <f t="shared" ref="P11:P40" si="13">IF(O11="","",O11)</f>
        <v>0</v>
      </c>
      <c r="Q11" s="27">
        <f t="shared" ref="Q11:Q40" si="14">IF(P11="","",P11)</f>
        <v>0</v>
      </c>
      <c r="R11" s="27">
        <f t="shared" ref="R11:R40" si="15">IF(Q11="","",Q11)</f>
        <v>0</v>
      </c>
    </row>
    <row r="12" spans="2:18" x14ac:dyDescent="0.25">
      <c r="D12" s="9" t="s">
        <v>2</v>
      </c>
      <c r="E12" s="9" t="s">
        <v>302</v>
      </c>
      <c r="F12" s="9" t="s">
        <v>303</v>
      </c>
      <c r="G12" s="9" t="s">
        <v>132</v>
      </c>
      <c r="H12" s="27">
        <v>1</v>
      </c>
      <c r="I12" s="27">
        <f t="shared" si="6"/>
        <v>1</v>
      </c>
      <c r="J12" s="27">
        <f t="shared" si="7"/>
        <v>1</v>
      </c>
      <c r="K12" s="27">
        <f t="shared" si="8"/>
        <v>1</v>
      </c>
      <c r="L12" s="27">
        <f t="shared" si="9"/>
        <v>1</v>
      </c>
      <c r="M12" s="27">
        <f t="shared" si="10"/>
        <v>1</v>
      </c>
      <c r="N12" s="27">
        <f t="shared" si="11"/>
        <v>1</v>
      </c>
      <c r="O12" s="27">
        <f t="shared" si="12"/>
        <v>1</v>
      </c>
      <c r="P12" s="27">
        <f t="shared" si="13"/>
        <v>1</v>
      </c>
      <c r="Q12" s="27">
        <f t="shared" si="14"/>
        <v>1</v>
      </c>
      <c r="R12" s="27">
        <f t="shared" si="15"/>
        <v>1</v>
      </c>
    </row>
    <row r="13" spans="2:18" x14ac:dyDescent="0.25">
      <c r="D13" s="9" t="s">
        <v>352</v>
      </c>
      <c r="E13" s="9" t="s">
        <v>302</v>
      </c>
      <c r="F13" s="9" t="s">
        <v>20</v>
      </c>
      <c r="G13" s="9" t="s">
        <v>132</v>
      </c>
      <c r="H13" s="27">
        <v>0</v>
      </c>
      <c r="I13" s="27">
        <f t="shared" si="6"/>
        <v>0</v>
      </c>
      <c r="J13" s="27">
        <f t="shared" si="7"/>
        <v>0</v>
      </c>
      <c r="K13" s="27">
        <f t="shared" si="8"/>
        <v>0</v>
      </c>
      <c r="L13" s="27">
        <f t="shared" si="9"/>
        <v>0</v>
      </c>
      <c r="M13" s="27">
        <f t="shared" si="10"/>
        <v>0</v>
      </c>
      <c r="N13" s="27">
        <f t="shared" si="11"/>
        <v>0</v>
      </c>
      <c r="O13" s="27">
        <f t="shared" si="12"/>
        <v>0</v>
      </c>
      <c r="P13" s="27">
        <f t="shared" si="13"/>
        <v>0</v>
      </c>
      <c r="Q13" s="27">
        <f t="shared" si="14"/>
        <v>0</v>
      </c>
      <c r="R13" s="27">
        <f t="shared" si="15"/>
        <v>0</v>
      </c>
    </row>
    <row r="14" spans="2:18" x14ac:dyDescent="0.25">
      <c r="D14" s="9" t="s">
        <v>352</v>
      </c>
      <c r="E14" s="9" t="s">
        <v>302</v>
      </c>
      <c r="F14" s="9" t="s">
        <v>19</v>
      </c>
      <c r="G14" s="9" t="s">
        <v>132</v>
      </c>
      <c r="H14" s="27">
        <v>0</v>
      </c>
      <c r="I14" s="27">
        <f t="shared" si="6"/>
        <v>0</v>
      </c>
      <c r="J14" s="27">
        <f t="shared" si="7"/>
        <v>0</v>
      </c>
      <c r="K14" s="27">
        <f t="shared" si="8"/>
        <v>0</v>
      </c>
      <c r="L14" s="27">
        <f t="shared" si="9"/>
        <v>0</v>
      </c>
      <c r="M14" s="27">
        <f t="shared" si="10"/>
        <v>0</v>
      </c>
      <c r="N14" s="27">
        <f t="shared" si="11"/>
        <v>0</v>
      </c>
      <c r="O14" s="27">
        <f t="shared" si="12"/>
        <v>0</v>
      </c>
      <c r="P14" s="27">
        <f t="shared" si="13"/>
        <v>0</v>
      </c>
      <c r="Q14" s="27">
        <f t="shared" si="14"/>
        <v>0</v>
      </c>
      <c r="R14" s="27">
        <f t="shared" si="15"/>
        <v>0</v>
      </c>
    </row>
    <row r="15" spans="2:18" x14ac:dyDescent="0.25">
      <c r="D15" s="9" t="s">
        <v>352</v>
      </c>
      <c r="E15" s="9" t="s">
        <v>302</v>
      </c>
      <c r="F15" s="9" t="s">
        <v>18</v>
      </c>
      <c r="G15" s="9" t="s">
        <v>132</v>
      </c>
      <c r="H15" s="27">
        <v>0</v>
      </c>
      <c r="I15" s="27">
        <f t="shared" si="6"/>
        <v>0</v>
      </c>
      <c r="J15" s="27">
        <f t="shared" si="7"/>
        <v>0</v>
      </c>
      <c r="K15" s="27">
        <f t="shared" si="8"/>
        <v>0</v>
      </c>
      <c r="L15" s="27">
        <f t="shared" si="9"/>
        <v>0</v>
      </c>
      <c r="M15" s="27">
        <f t="shared" si="10"/>
        <v>0</v>
      </c>
      <c r="N15" s="27">
        <f t="shared" si="11"/>
        <v>0</v>
      </c>
      <c r="O15" s="27">
        <f t="shared" si="12"/>
        <v>0</v>
      </c>
      <c r="P15" s="27">
        <f t="shared" si="13"/>
        <v>0</v>
      </c>
      <c r="Q15" s="27">
        <f t="shared" si="14"/>
        <v>0</v>
      </c>
      <c r="R15" s="27">
        <f t="shared" si="15"/>
        <v>0</v>
      </c>
    </row>
    <row r="16" spans="2:18" x14ac:dyDescent="0.25">
      <c r="D16" s="9" t="s">
        <v>352</v>
      </c>
      <c r="E16" s="9" t="s">
        <v>302</v>
      </c>
      <c r="F16" s="9" t="s">
        <v>303</v>
      </c>
      <c r="G16" s="9" t="s">
        <v>132</v>
      </c>
      <c r="H16" s="27">
        <v>1</v>
      </c>
      <c r="I16" s="27">
        <f t="shared" si="6"/>
        <v>1</v>
      </c>
      <c r="J16" s="27">
        <f t="shared" si="7"/>
        <v>1</v>
      </c>
      <c r="K16" s="27">
        <f t="shared" si="8"/>
        <v>1</v>
      </c>
      <c r="L16" s="27">
        <f t="shared" si="9"/>
        <v>1</v>
      </c>
      <c r="M16" s="27">
        <f t="shared" si="10"/>
        <v>1</v>
      </c>
      <c r="N16" s="27">
        <f t="shared" si="11"/>
        <v>1</v>
      </c>
      <c r="O16" s="27">
        <f t="shared" si="12"/>
        <v>1</v>
      </c>
      <c r="P16" s="27">
        <f t="shared" si="13"/>
        <v>1</v>
      </c>
      <c r="Q16" s="27">
        <f t="shared" si="14"/>
        <v>1</v>
      </c>
      <c r="R16" s="27">
        <f t="shared" si="15"/>
        <v>1</v>
      </c>
    </row>
    <row r="17" spans="4:18" x14ac:dyDescent="0.25">
      <c r="D17" s="9" t="s">
        <v>353</v>
      </c>
      <c r="E17" s="9" t="s">
        <v>302</v>
      </c>
      <c r="F17" s="9" t="s">
        <v>20</v>
      </c>
      <c r="G17" s="9" t="s">
        <v>132</v>
      </c>
      <c r="H17" s="27">
        <v>0</v>
      </c>
      <c r="I17" s="27">
        <f t="shared" si="6"/>
        <v>0</v>
      </c>
      <c r="J17" s="27">
        <f t="shared" si="7"/>
        <v>0</v>
      </c>
      <c r="K17" s="27">
        <f t="shared" si="8"/>
        <v>0</v>
      </c>
      <c r="L17" s="27">
        <f t="shared" si="9"/>
        <v>0</v>
      </c>
      <c r="M17" s="27">
        <f t="shared" si="10"/>
        <v>0</v>
      </c>
      <c r="N17" s="27">
        <f t="shared" si="11"/>
        <v>0</v>
      </c>
      <c r="O17" s="27">
        <f t="shared" si="12"/>
        <v>0</v>
      </c>
      <c r="P17" s="27">
        <f t="shared" si="13"/>
        <v>0</v>
      </c>
      <c r="Q17" s="27">
        <f t="shared" si="14"/>
        <v>0</v>
      </c>
      <c r="R17" s="27">
        <f t="shared" si="15"/>
        <v>0</v>
      </c>
    </row>
    <row r="18" spans="4:18" x14ac:dyDescent="0.25">
      <c r="D18" s="9" t="s">
        <v>353</v>
      </c>
      <c r="E18" s="9" t="s">
        <v>302</v>
      </c>
      <c r="F18" s="9" t="s">
        <v>19</v>
      </c>
      <c r="G18" s="9" t="s">
        <v>132</v>
      </c>
      <c r="H18" s="27">
        <v>0</v>
      </c>
      <c r="I18" s="27">
        <f t="shared" si="6"/>
        <v>0</v>
      </c>
      <c r="J18" s="27">
        <f t="shared" si="7"/>
        <v>0</v>
      </c>
      <c r="K18" s="27">
        <f t="shared" si="8"/>
        <v>0</v>
      </c>
      <c r="L18" s="27">
        <f t="shared" si="9"/>
        <v>0</v>
      </c>
      <c r="M18" s="27">
        <f t="shared" si="10"/>
        <v>0</v>
      </c>
      <c r="N18" s="27">
        <f t="shared" si="11"/>
        <v>0</v>
      </c>
      <c r="O18" s="27">
        <f t="shared" si="12"/>
        <v>0</v>
      </c>
      <c r="P18" s="27">
        <f t="shared" si="13"/>
        <v>0</v>
      </c>
      <c r="Q18" s="27">
        <f t="shared" si="14"/>
        <v>0</v>
      </c>
      <c r="R18" s="27">
        <f t="shared" si="15"/>
        <v>0</v>
      </c>
    </row>
    <row r="19" spans="4:18" x14ac:dyDescent="0.25">
      <c r="D19" s="9" t="s">
        <v>353</v>
      </c>
      <c r="E19" s="9" t="s">
        <v>302</v>
      </c>
      <c r="F19" s="9" t="s">
        <v>18</v>
      </c>
      <c r="G19" s="9" t="s">
        <v>132</v>
      </c>
      <c r="H19" s="27">
        <v>0</v>
      </c>
      <c r="I19" s="27">
        <f t="shared" si="6"/>
        <v>0</v>
      </c>
      <c r="J19" s="27">
        <f t="shared" si="7"/>
        <v>0</v>
      </c>
      <c r="K19" s="27">
        <f t="shared" si="8"/>
        <v>0</v>
      </c>
      <c r="L19" s="27">
        <f t="shared" si="9"/>
        <v>0</v>
      </c>
      <c r="M19" s="27">
        <f t="shared" si="10"/>
        <v>0</v>
      </c>
      <c r="N19" s="27">
        <f t="shared" si="11"/>
        <v>0</v>
      </c>
      <c r="O19" s="27">
        <f t="shared" si="12"/>
        <v>0</v>
      </c>
      <c r="P19" s="27">
        <f t="shared" si="13"/>
        <v>0</v>
      </c>
      <c r="Q19" s="27">
        <f t="shared" si="14"/>
        <v>0</v>
      </c>
      <c r="R19" s="27">
        <f t="shared" si="15"/>
        <v>0</v>
      </c>
    </row>
    <row r="20" spans="4:18" x14ac:dyDescent="0.25">
      <c r="D20" s="9" t="s">
        <v>353</v>
      </c>
      <c r="E20" s="9" t="s">
        <v>302</v>
      </c>
      <c r="F20" s="9" t="s">
        <v>303</v>
      </c>
      <c r="G20" s="9" t="s">
        <v>132</v>
      </c>
      <c r="H20" s="27">
        <v>1</v>
      </c>
      <c r="I20" s="27">
        <f t="shared" si="6"/>
        <v>1</v>
      </c>
      <c r="J20" s="27">
        <f t="shared" si="7"/>
        <v>1</v>
      </c>
      <c r="K20" s="27">
        <f t="shared" si="8"/>
        <v>1</v>
      </c>
      <c r="L20" s="27">
        <f t="shared" si="9"/>
        <v>1</v>
      </c>
      <c r="M20" s="27">
        <f t="shared" si="10"/>
        <v>1</v>
      </c>
      <c r="N20" s="27">
        <f t="shared" si="11"/>
        <v>1</v>
      </c>
      <c r="O20" s="27">
        <f t="shared" si="12"/>
        <v>1</v>
      </c>
      <c r="P20" s="27">
        <f t="shared" si="13"/>
        <v>1</v>
      </c>
      <c r="Q20" s="27">
        <f t="shared" si="14"/>
        <v>1</v>
      </c>
      <c r="R20" s="27">
        <f t="shared" si="15"/>
        <v>1</v>
      </c>
    </row>
    <row r="21" spans="4:18" x14ac:dyDescent="0.25">
      <c r="D21" s="9" t="s">
        <v>6</v>
      </c>
      <c r="E21" s="9" t="s">
        <v>302</v>
      </c>
      <c r="F21" s="9" t="s">
        <v>20</v>
      </c>
      <c r="G21" s="9" t="s">
        <v>132</v>
      </c>
      <c r="H21" s="27">
        <v>0</v>
      </c>
      <c r="I21" s="27">
        <f t="shared" si="6"/>
        <v>0</v>
      </c>
      <c r="J21" s="27">
        <f t="shared" si="7"/>
        <v>0</v>
      </c>
      <c r="K21" s="27">
        <f t="shared" si="8"/>
        <v>0</v>
      </c>
      <c r="L21" s="27">
        <f t="shared" si="9"/>
        <v>0</v>
      </c>
      <c r="M21" s="27">
        <f t="shared" si="10"/>
        <v>0</v>
      </c>
      <c r="N21" s="27">
        <f t="shared" si="11"/>
        <v>0</v>
      </c>
      <c r="O21" s="27">
        <f t="shared" si="12"/>
        <v>0</v>
      </c>
      <c r="P21" s="27">
        <f t="shared" si="13"/>
        <v>0</v>
      </c>
      <c r="Q21" s="27">
        <f t="shared" si="14"/>
        <v>0</v>
      </c>
      <c r="R21" s="27">
        <f t="shared" si="15"/>
        <v>0</v>
      </c>
    </row>
    <row r="22" spans="4:18" x14ac:dyDescent="0.25">
      <c r="D22" s="9" t="s">
        <v>6</v>
      </c>
      <c r="E22" s="9" t="s">
        <v>302</v>
      </c>
      <c r="F22" s="9" t="s">
        <v>19</v>
      </c>
      <c r="G22" s="9" t="s">
        <v>132</v>
      </c>
      <c r="H22" s="27">
        <v>0</v>
      </c>
      <c r="I22" s="27">
        <f t="shared" si="6"/>
        <v>0</v>
      </c>
      <c r="J22" s="27">
        <f t="shared" si="7"/>
        <v>0</v>
      </c>
      <c r="K22" s="27">
        <f t="shared" si="8"/>
        <v>0</v>
      </c>
      <c r="L22" s="27">
        <f t="shared" si="9"/>
        <v>0</v>
      </c>
      <c r="M22" s="27">
        <f t="shared" si="10"/>
        <v>0</v>
      </c>
      <c r="N22" s="27">
        <f t="shared" si="11"/>
        <v>0</v>
      </c>
      <c r="O22" s="27">
        <f t="shared" si="12"/>
        <v>0</v>
      </c>
      <c r="P22" s="27">
        <f t="shared" si="13"/>
        <v>0</v>
      </c>
      <c r="Q22" s="27">
        <f t="shared" si="14"/>
        <v>0</v>
      </c>
      <c r="R22" s="27">
        <f t="shared" si="15"/>
        <v>0</v>
      </c>
    </row>
    <row r="23" spans="4:18" x14ac:dyDescent="0.25">
      <c r="D23" s="9" t="s">
        <v>6</v>
      </c>
      <c r="E23" s="9" t="s">
        <v>302</v>
      </c>
      <c r="F23" s="9" t="s">
        <v>18</v>
      </c>
      <c r="G23" s="9" t="s">
        <v>132</v>
      </c>
      <c r="H23" s="27">
        <v>0</v>
      </c>
      <c r="I23" s="27">
        <f t="shared" si="6"/>
        <v>0</v>
      </c>
      <c r="J23" s="27">
        <f t="shared" si="7"/>
        <v>0</v>
      </c>
      <c r="K23" s="27">
        <f t="shared" si="8"/>
        <v>0</v>
      </c>
      <c r="L23" s="27">
        <f t="shared" si="9"/>
        <v>0</v>
      </c>
      <c r="M23" s="27">
        <f t="shared" si="10"/>
        <v>0</v>
      </c>
      <c r="N23" s="27">
        <f t="shared" si="11"/>
        <v>0</v>
      </c>
      <c r="O23" s="27">
        <f t="shared" si="12"/>
        <v>0</v>
      </c>
      <c r="P23" s="27">
        <f t="shared" si="13"/>
        <v>0</v>
      </c>
      <c r="Q23" s="27">
        <f t="shared" si="14"/>
        <v>0</v>
      </c>
      <c r="R23" s="27">
        <f t="shared" si="15"/>
        <v>0</v>
      </c>
    </row>
    <row r="24" spans="4:18" x14ac:dyDescent="0.25">
      <c r="D24" s="9" t="s">
        <v>6</v>
      </c>
      <c r="E24" s="9" t="s">
        <v>302</v>
      </c>
      <c r="F24" s="9" t="s">
        <v>303</v>
      </c>
      <c r="G24" s="9" t="s">
        <v>132</v>
      </c>
      <c r="H24" s="27">
        <v>1</v>
      </c>
      <c r="I24" s="27">
        <f t="shared" si="6"/>
        <v>1</v>
      </c>
      <c r="J24" s="27">
        <f t="shared" si="7"/>
        <v>1</v>
      </c>
      <c r="K24" s="27">
        <f t="shared" si="8"/>
        <v>1</v>
      </c>
      <c r="L24" s="27">
        <f t="shared" si="9"/>
        <v>1</v>
      </c>
      <c r="M24" s="27">
        <f t="shared" si="10"/>
        <v>1</v>
      </c>
      <c r="N24" s="27">
        <f t="shared" si="11"/>
        <v>1</v>
      </c>
      <c r="O24" s="27">
        <f t="shared" si="12"/>
        <v>1</v>
      </c>
      <c r="P24" s="27">
        <f t="shared" si="13"/>
        <v>1</v>
      </c>
      <c r="Q24" s="27">
        <f t="shared" si="14"/>
        <v>1</v>
      </c>
      <c r="R24" s="27">
        <f t="shared" si="15"/>
        <v>1</v>
      </c>
    </row>
    <row r="25" spans="4:18" x14ac:dyDescent="0.25">
      <c r="D25" s="9" t="s">
        <v>10</v>
      </c>
      <c r="E25" s="9" t="s">
        <v>302</v>
      </c>
      <c r="F25" s="9" t="s">
        <v>20</v>
      </c>
      <c r="G25" s="9" t="s">
        <v>132</v>
      </c>
      <c r="H25" s="27">
        <v>0</v>
      </c>
      <c r="I25" s="27">
        <f t="shared" si="6"/>
        <v>0</v>
      </c>
      <c r="J25" s="27">
        <f t="shared" si="7"/>
        <v>0</v>
      </c>
      <c r="K25" s="27">
        <f t="shared" si="8"/>
        <v>0</v>
      </c>
      <c r="L25" s="27">
        <f t="shared" si="9"/>
        <v>0</v>
      </c>
      <c r="M25" s="27">
        <f t="shared" si="10"/>
        <v>0</v>
      </c>
      <c r="N25" s="27">
        <f t="shared" si="11"/>
        <v>0</v>
      </c>
      <c r="O25" s="27">
        <f t="shared" si="12"/>
        <v>0</v>
      </c>
      <c r="P25" s="27">
        <f t="shared" si="13"/>
        <v>0</v>
      </c>
      <c r="Q25" s="27">
        <f t="shared" si="14"/>
        <v>0</v>
      </c>
      <c r="R25" s="27">
        <f t="shared" si="15"/>
        <v>0</v>
      </c>
    </row>
    <row r="26" spans="4:18" x14ac:dyDescent="0.25">
      <c r="D26" s="9" t="s">
        <v>10</v>
      </c>
      <c r="E26" s="9" t="s">
        <v>302</v>
      </c>
      <c r="F26" s="9" t="s">
        <v>19</v>
      </c>
      <c r="G26" s="9" t="s">
        <v>132</v>
      </c>
      <c r="H26" s="27">
        <v>0</v>
      </c>
      <c r="I26" s="27">
        <f t="shared" si="6"/>
        <v>0</v>
      </c>
      <c r="J26" s="27">
        <f t="shared" si="7"/>
        <v>0</v>
      </c>
      <c r="K26" s="27">
        <f t="shared" si="8"/>
        <v>0</v>
      </c>
      <c r="L26" s="27">
        <f t="shared" si="9"/>
        <v>0</v>
      </c>
      <c r="M26" s="27">
        <f t="shared" si="10"/>
        <v>0</v>
      </c>
      <c r="N26" s="27">
        <f t="shared" si="11"/>
        <v>0</v>
      </c>
      <c r="O26" s="27">
        <f t="shared" si="12"/>
        <v>0</v>
      </c>
      <c r="P26" s="27">
        <f t="shared" si="13"/>
        <v>0</v>
      </c>
      <c r="Q26" s="27">
        <f t="shared" si="14"/>
        <v>0</v>
      </c>
      <c r="R26" s="27">
        <f t="shared" si="15"/>
        <v>0</v>
      </c>
    </row>
    <row r="27" spans="4:18" x14ac:dyDescent="0.25">
      <c r="D27" s="9" t="s">
        <v>10</v>
      </c>
      <c r="E27" s="9" t="s">
        <v>302</v>
      </c>
      <c r="F27" s="9" t="s">
        <v>18</v>
      </c>
      <c r="G27" s="9" t="s">
        <v>132</v>
      </c>
      <c r="H27" s="27">
        <v>0</v>
      </c>
      <c r="I27" s="27">
        <f t="shared" si="6"/>
        <v>0</v>
      </c>
      <c r="J27" s="27">
        <f t="shared" si="7"/>
        <v>0</v>
      </c>
      <c r="K27" s="27">
        <f t="shared" si="8"/>
        <v>0</v>
      </c>
      <c r="L27" s="27">
        <f t="shared" si="9"/>
        <v>0</v>
      </c>
      <c r="M27" s="27">
        <f t="shared" si="10"/>
        <v>0</v>
      </c>
      <c r="N27" s="27">
        <f t="shared" si="11"/>
        <v>0</v>
      </c>
      <c r="O27" s="27">
        <f t="shared" si="12"/>
        <v>0</v>
      </c>
      <c r="P27" s="27">
        <f t="shared" si="13"/>
        <v>0</v>
      </c>
      <c r="Q27" s="27">
        <f t="shared" si="14"/>
        <v>0</v>
      </c>
      <c r="R27" s="27">
        <f t="shared" si="15"/>
        <v>0</v>
      </c>
    </row>
    <row r="28" spans="4:18" x14ac:dyDescent="0.25">
      <c r="D28" s="9" t="s">
        <v>10</v>
      </c>
      <c r="E28" s="9" t="s">
        <v>302</v>
      </c>
      <c r="F28" s="9" t="s">
        <v>303</v>
      </c>
      <c r="G28" s="9" t="s">
        <v>132</v>
      </c>
      <c r="H28" s="27">
        <v>1</v>
      </c>
      <c r="I28" s="27">
        <f t="shared" si="6"/>
        <v>1</v>
      </c>
      <c r="J28" s="27">
        <f t="shared" si="7"/>
        <v>1</v>
      </c>
      <c r="K28" s="27">
        <f t="shared" si="8"/>
        <v>1</v>
      </c>
      <c r="L28" s="27">
        <f t="shared" si="9"/>
        <v>1</v>
      </c>
      <c r="M28" s="27">
        <f t="shared" si="10"/>
        <v>1</v>
      </c>
      <c r="N28" s="27">
        <f t="shared" si="11"/>
        <v>1</v>
      </c>
      <c r="O28" s="27">
        <f t="shared" si="12"/>
        <v>1</v>
      </c>
      <c r="P28" s="27">
        <f t="shared" si="13"/>
        <v>1</v>
      </c>
      <c r="Q28" s="27">
        <f t="shared" si="14"/>
        <v>1</v>
      </c>
      <c r="R28" s="27">
        <f t="shared" si="15"/>
        <v>1</v>
      </c>
    </row>
    <row r="29" spans="4:18" x14ac:dyDescent="0.25">
      <c r="D29" s="9" t="s">
        <v>354</v>
      </c>
      <c r="E29" s="9" t="s">
        <v>302</v>
      </c>
      <c r="F29" s="9" t="s">
        <v>20</v>
      </c>
      <c r="G29" s="9" t="s">
        <v>132</v>
      </c>
      <c r="H29" s="27">
        <v>0</v>
      </c>
      <c r="I29" s="27">
        <f t="shared" si="6"/>
        <v>0</v>
      </c>
      <c r="J29" s="27">
        <f t="shared" si="7"/>
        <v>0</v>
      </c>
      <c r="K29" s="27">
        <f t="shared" si="8"/>
        <v>0</v>
      </c>
      <c r="L29" s="27">
        <f t="shared" si="9"/>
        <v>0</v>
      </c>
      <c r="M29" s="27">
        <f t="shared" si="10"/>
        <v>0</v>
      </c>
      <c r="N29" s="27">
        <f t="shared" si="11"/>
        <v>0</v>
      </c>
      <c r="O29" s="27">
        <f t="shared" si="12"/>
        <v>0</v>
      </c>
      <c r="P29" s="27">
        <f t="shared" si="13"/>
        <v>0</v>
      </c>
      <c r="Q29" s="27">
        <f t="shared" si="14"/>
        <v>0</v>
      </c>
      <c r="R29" s="27">
        <f t="shared" si="15"/>
        <v>0</v>
      </c>
    </row>
    <row r="30" spans="4:18" x14ac:dyDescent="0.25">
      <c r="D30" s="9" t="s">
        <v>354</v>
      </c>
      <c r="E30" s="9" t="s">
        <v>302</v>
      </c>
      <c r="F30" s="9" t="s">
        <v>19</v>
      </c>
      <c r="G30" s="9" t="s">
        <v>132</v>
      </c>
      <c r="H30" s="27">
        <v>0</v>
      </c>
      <c r="I30" s="27">
        <f t="shared" si="6"/>
        <v>0</v>
      </c>
      <c r="J30" s="27">
        <f t="shared" si="7"/>
        <v>0</v>
      </c>
      <c r="K30" s="27">
        <f t="shared" si="8"/>
        <v>0</v>
      </c>
      <c r="L30" s="27">
        <f t="shared" si="9"/>
        <v>0</v>
      </c>
      <c r="M30" s="27">
        <f t="shared" si="10"/>
        <v>0</v>
      </c>
      <c r="N30" s="27">
        <f t="shared" si="11"/>
        <v>0</v>
      </c>
      <c r="O30" s="27">
        <f t="shared" si="12"/>
        <v>0</v>
      </c>
      <c r="P30" s="27">
        <f t="shared" si="13"/>
        <v>0</v>
      </c>
      <c r="Q30" s="27">
        <f t="shared" si="14"/>
        <v>0</v>
      </c>
      <c r="R30" s="27">
        <f t="shared" si="15"/>
        <v>0</v>
      </c>
    </row>
    <row r="31" spans="4:18" x14ac:dyDescent="0.25">
      <c r="D31" s="9" t="s">
        <v>354</v>
      </c>
      <c r="E31" s="9" t="s">
        <v>302</v>
      </c>
      <c r="F31" s="9" t="s">
        <v>18</v>
      </c>
      <c r="G31" s="9" t="s">
        <v>132</v>
      </c>
      <c r="H31" s="27">
        <v>0</v>
      </c>
      <c r="I31" s="27">
        <f t="shared" si="6"/>
        <v>0</v>
      </c>
      <c r="J31" s="27">
        <f t="shared" si="7"/>
        <v>0</v>
      </c>
      <c r="K31" s="27">
        <f t="shared" si="8"/>
        <v>0</v>
      </c>
      <c r="L31" s="27">
        <f t="shared" si="9"/>
        <v>0</v>
      </c>
      <c r="M31" s="27">
        <f t="shared" si="10"/>
        <v>0</v>
      </c>
      <c r="N31" s="27">
        <f t="shared" si="11"/>
        <v>0</v>
      </c>
      <c r="O31" s="27">
        <f t="shared" si="12"/>
        <v>0</v>
      </c>
      <c r="P31" s="27">
        <f t="shared" si="13"/>
        <v>0</v>
      </c>
      <c r="Q31" s="27">
        <f t="shared" si="14"/>
        <v>0</v>
      </c>
      <c r="R31" s="27">
        <f t="shared" si="15"/>
        <v>0</v>
      </c>
    </row>
    <row r="32" spans="4:18" x14ac:dyDescent="0.25">
      <c r="D32" s="9" t="s">
        <v>354</v>
      </c>
      <c r="E32" s="9" t="s">
        <v>302</v>
      </c>
      <c r="F32" s="9" t="s">
        <v>303</v>
      </c>
      <c r="G32" s="9" t="s">
        <v>132</v>
      </c>
      <c r="H32" s="27">
        <v>1</v>
      </c>
      <c r="I32" s="27">
        <f t="shared" si="6"/>
        <v>1</v>
      </c>
      <c r="J32" s="27">
        <f t="shared" si="7"/>
        <v>1</v>
      </c>
      <c r="K32" s="27">
        <f t="shared" si="8"/>
        <v>1</v>
      </c>
      <c r="L32" s="27">
        <f t="shared" si="9"/>
        <v>1</v>
      </c>
      <c r="M32" s="27">
        <f t="shared" si="10"/>
        <v>1</v>
      </c>
      <c r="N32" s="27">
        <f t="shared" si="11"/>
        <v>1</v>
      </c>
      <c r="O32" s="27">
        <f t="shared" si="12"/>
        <v>1</v>
      </c>
      <c r="P32" s="27">
        <f t="shared" si="13"/>
        <v>1</v>
      </c>
      <c r="Q32" s="27">
        <f t="shared" si="14"/>
        <v>1</v>
      </c>
      <c r="R32" s="27">
        <f t="shared" si="15"/>
        <v>1</v>
      </c>
    </row>
    <row r="33" spans="4:18" x14ac:dyDescent="0.25">
      <c r="D33" s="9" t="s">
        <v>355</v>
      </c>
      <c r="E33" s="9" t="s">
        <v>302</v>
      </c>
      <c r="F33" s="9" t="s">
        <v>20</v>
      </c>
      <c r="G33" s="9" t="s">
        <v>132</v>
      </c>
      <c r="H33" s="27">
        <v>0</v>
      </c>
      <c r="I33" s="27">
        <f t="shared" si="6"/>
        <v>0</v>
      </c>
      <c r="J33" s="27">
        <f t="shared" si="7"/>
        <v>0</v>
      </c>
      <c r="K33" s="27">
        <f t="shared" si="8"/>
        <v>0</v>
      </c>
      <c r="L33" s="27">
        <f t="shared" si="9"/>
        <v>0</v>
      </c>
      <c r="M33" s="27">
        <f t="shared" si="10"/>
        <v>0</v>
      </c>
      <c r="N33" s="27">
        <f t="shared" si="11"/>
        <v>0</v>
      </c>
      <c r="O33" s="27">
        <f t="shared" si="12"/>
        <v>0</v>
      </c>
      <c r="P33" s="27">
        <f t="shared" si="13"/>
        <v>0</v>
      </c>
      <c r="Q33" s="27">
        <f t="shared" si="14"/>
        <v>0</v>
      </c>
      <c r="R33" s="27">
        <f t="shared" si="15"/>
        <v>0</v>
      </c>
    </row>
    <row r="34" spans="4:18" x14ac:dyDescent="0.25">
      <c r="D34" s="9" t="s">
        <v>355</v>
      </c>
      <c r="E34" s="9" t="s">
        <v>302</v>
      </c>
      <c r="F34" s="9" t="s">
        <v>19</v>
      </c>
      <c r="G34" s="9" t="s">
        <v>132</v>
      </c>
      <c r="H34" s="27">
        <v>0</v>
      </c>
      <c r="I34" s="27">
        <f t="shared" si="6"/>
        <v>0</v>
      </c>
      <c r="J34" s="27">
        <f t="shared" si="7"/>
        <v>0</v>
      </c>
      <c r="K34" s="27">
        <f t="shared" si="8"/>
        <v>0</v>
      </c>
      <c r="L34" s="27">
        <f t="shared" si="9"/>
        <v>0</v>
      </c>
      <c r="M34" s="27">
        <f t="shared" si="10"/>
        <v>0</v>
      </c>
      <c r="N34" s="27">
        <f t="shared" si="11"/>
        <v>0</v>
      </c>
      <c r="O34" s="27">
        <f t="shared" si="12"/>
        <v>0</v>
      </c>
      <c r="P34" s="27">
        <f t="shared" si="13"/>
        <v>0</v>
      </c>
      <c r="Q34" s="27">
        <f t="shared" si="14"/>
        <v>0</v>
      </c>
      <c r="R34" s="27">
        <f t="shared" si="15"/>
        <v>0</v>
      </c>
    </row>
    <row r="35" spans="4:18" x14ac:dyDescent="0.25">
      <c r="D35" s="9" t="s">
        <v>355</v>
      </c>
      <c r="E35" s="9" t="s">
        <v>302</v>
      </c>
      <c r="F35" s="9" t="s">
        <v>18</v>
      </c>
      <c r="G35" s="9" t="s">
        <v>132</v>
      </c>
      <c r="H35" s="27">
        <v>0</v>
      </c>
      <c r="I35" s="27">
        <f t="shared" si="6"/>
        <v>0</v>
      </c>
      <c r="J35" s="27">
        <f t="shared" si="7"/>
        <v>0</v>
      </c>
      <c r="K35" s="27">
        <f t="shared" si="8"/>
        <v>0</v>
      </c>
      <c r="L35" s="27">
        <f t="shared" si="9"/>
        <v>0</v>
      </c>
      <c r="M35" s="27">
        <f t="shared" si="10"/>
        <v>0</v>
      </c>
      <c r="N35" s="27">
        <f t="shared" si="11"/>
        <v>0</v>
      </c>
      <c r="O35" s="27">
        <f t="shared" si="12"/>
        <v>0</v>
      </c>
      <c r="P35" s="27">
        <f t="shared" si="13"/>
        <v>0</v>
      </c>
      <c r="Q35" s="27">
        <f t="shared" si="14"/>
        <v>0</v>
      </c>
      <c r="R35" s="27">
        <f t="shared" si="15"/>
        <v>0</v>
      </c>
    </row>
    <row r="36" spans="4:18" x14ac:dyDescent="0.25">
      <c r="D36" s="9" t="s">
        <v>355</v>
      </c>
      <c r="E36" s="9" t="s">
        <v>302</v>
      </c>
      <c r="F36" s="9" t="s">
        <v>303</v>
      </c>
      <c r="G36" s="9" t="s">
        <v>132</v>
      </c>
      <c r="H36" s="27">
        <v>1</v>
      </c>
      <c r="I36" s="27">
        <f t="shared" si="6"/>
        <v>1</v>
      </c>
      <c r="J36" s="27">
        <f t="shared" si="7"/>
        <v>1</v>
      </c>
      <c r="K36" s="27">
        <f t="shared" si="8"/>
        <v>1</v>
      </c>
      <c r="L36" s="27">
        <f t="shared" si="9"/>
        <v>1</v>
      </c>
      <c r="M36" s="27">
        <f t="shared" si="10"/>
        <v>1</v>
      </c>
      <c r="N36" s="27">
        <f t="shared" si="11"/>
        <v>1</v>
      </c>
      <c r="O36" s="27">
        <f t="shared" si="12"/>
        <v>1</v>
      </c>
      <c r="P36" s="27">
        <f t="shared" si="13"/>
        <v>1</v>
      </c>
      <c r="Q36" s="27">
        <f t="shared" si="14"/>
        <v>1</v>
      </c>
      <c r="R36" s="27">
        <f t="shared" si="15"/>
        <v>1</v>
      </c>
    </row>
    <row r="37" spans="4:18" x14ac:dyDescent="0.25">
      <c r="D37" s="9" t="s">
        <v>356</v>
      </c>
      <c r="E37" s="9" t="s">
        <v>302</v>
      </c>
      <c r="F37" s="9" t="s">
        <v>20</v>
      </c>
      <c r="G37" s="9" t="s">
        <v>132</v>
      </c>
      <c r="H37" s="27">
        <v>0</v>
      </c>
      <c r="I37" s="27">
        <f t="shared" si="6"/>
        <v>0</v>
      </c>
      <c r="J37" s="27">
        <f t="shared" si="7"/>
        <v>0</v>
      </c>
      <c r="K37" s="27">
        <f t="shared" si="8"/>
        <v>0</v>
      </c>
      <c r="L37" s="27">
        <f t="shared" si="9"/>
        <v>0</v>
      </c>
      <c r="M37" s="27">
        <f t="shared" si="10"/>
        <v>0</v>
      </c>
      <c r="N37" s="27">
        <f t="shared" si="11"/>
        <v>0</v>
      </c>
      <c r="O37" s="27">
        <f t="shared" si="12"/>
        <v>0</v>
      </c>
      <c r="P37" s="27">
        <f t="shared" si="13"/>
        <v>0</v>
      </c>
      <c r="Q37" s="27">
        <f t="shared" si="14"/>
        <v>0</v>
      </c>
      <c r="R37" s="27">
        <f t="shared" si="15"/>
        <v>0</v>
      </c>
    </row>
    <row r="38" spans="4:18" x14ac:dyDescent="0.25">
      <c r="D38" s="9" t="s">
        <v>356</v>
      </c>
      <c r="E38" s="9" t="s">
        <v>302</v>
      </c>
      <c r="F38" s="9" t="s">
        <v>19</v>
      </c>
      <c r="G38" s="9" t="s">
        <v>132</v>
      </c>
      <c r="H38" s="27">
        <v>0</v>
      </c>
      <c r="I38" s="27">
        <f t="shared" si="6"/>
        <v>0</v>
      </c>
      <c r="J38" s="27">
        <f t="shared" si="7"/>
        <v>0</v>
      </c>
      <c r="K38" s="27">
        <f t="shared" si="8"/>
        <v>0</v>
      </c>
      <c r="L38" s="27">
        <f t="shared" si="9"/>
        <v>0</v>
      </c>
      <c r="M38" s="27">
        <f t="shared" si="10"/>
        <v>0</v>
      </c>
      <c r="N38" s="27">
        <f t="shared" si="11"/>
        <v>0</v>
      </c>
      <c r="O38" s="27">
        <f t="shared" si="12"/>
        <v>0</v>
      </c>
      <c r="P38" s="27">
        <f t="shared" si="13"/>
        <v>0</v>
      </c>
      <c r="Q38" s="27">
        <f t="shared" si="14"/>
        <v>0</v>
      </c>
      <c r="R38" s="27">
        <f t="shared" si="15"/>
        <v>0</v>
      </c>
    </row>
    <row r="39" spans="4:18" x14ac:dyDescent="0.25">
      <c r="D39" s="9" t="s">
        <v>356</v>
      </c>
      <c r="E39" s="9" t="s">
        <v>302</v>
      </c>
      <c r="F39" s="9" t="s">
        <v>18</v>
      </c>
      <c r="G39" s="9" t="s">
        <v>132</v>
      </c>
      <c r="H39" s="27">
        <v>0</v>
      </c>
      <c r="I39" s="27">
        <f t="shared" si="6"/>
        <v>0</v>
      </c>
      <c r="J39" s="27">
        <f t="shared" si="7"/>
        <v>0</v>
      </c>
      <c r="K39" s="27">
        <f t="shared" si="8"/>
        <v>0</v>
      </c>
      <c r="L39" s="27">
        <f t="shared" si="9"/>
        <v>0</v>
      </c>
      <c r="M39" s="27">
        <f t="shared" si="10"/>
        <v>0</v>
      </c>
      <c r="N39" s="27">
        <f t="shared" si="11"/>
        <v>0</v>
      </c>
      <c r="O39" s="27">
        <f t="shared" si="12"/>
        <v>0</v>
      </c>
      <c r="P39" s="27">
        <f t="shared" si="13"/>
        <v>0</v>
      </c>
      <c r="Q39" s="27">
        <f t="shared" si="14"/>
        <v>0</v>
      </c>
      <c r="R39" s="27">
        <f t="shared" si="15"/>
        <v>0</v>
      </c>
    </row>
    <row r="40" spans="4:18" x14ac:dyDescent="0.25">
      <c r="D40" s="9" t="s">
        <v>356</v>
      </c>
      <c r="E40" s="9" t="s">
        <v>302</v>
      </c>
      <c r="F40" s="9" t="s">
        <v>303</v>
      </c>
      <c r="G40" s="9" t="s">
        <v>132</v>
      </c>
      <c r="H40" s="27">
        <v>1</v>
      </c>
      <c r="I40" s="27">
        <f t="shared" si="6"/>
        <v>1</v>
      </c>
      <c r="J40" s="27">
        <f t="shared" si="7"/>
        <v>1</v>
      </c>
      <c r="K40" s="27">
        <f t="shared" si="8"/>
        <v>1</v>
      </c>
      <c r="L40" s="27">
        <f t="shared" si="9"/>
        <v>1</v>
      </c>
      <c r="M40" s="27">
        <f t="shared" si="10"/>
        <v>1</v>
      </c>
      <c r="N40" s="27">
        <f t="shared" si="11"/>
        <v>1</v>
      </c>
      <c r="O40" s="27">
        <f t="shared" si="12"/>
        <v>1</v>
      </c>
      <c r="P40" s="27">
        <f t="shared" si="13"/>
        <v>1</v>
      </c>
      <c r="Q40" s="27">
        <f t="shared" si="14"/>
        <v>1</v>
      </c>
      <c r="R40" s="27">
        <f t="shared" si="15"/>
        <v>1</v>
      </c>
    </row>
    <row r="41" spans="4:18" x14ac:dyDescent="0.25">
      <c r="D41" s="9"/>
      <c r="E41" s="9"/>
      <c r="F41" s="9"/>
      <c r="G41" s="9"/>
      <c r="H41" s="27"/>
      <c r="I41" s="27" t="str">
        <f t="shared" ref="I41:R50" si="16">IF(H41="","",H41)</f>
        <v/>
      </c>
      <c r="J41" s="27" t="str">
        <f t="shared" si="16"/>
        <v/>
      </c>
      <c r="K41" s="27" t="str">
        <f t="shared" si="16"/>
        <v/>
      </c>
      <c r="L41" s="27" t="str">
        <f t="shared" si="16"/>
        <v/>
      </c>
      <c r="M41" s="27" t="str">
        <f t="shared" si="16"/>
        <v/>
      </c>
      <c r="N41" s="27" t="str">
        <f t="shared" si="16"/>
        <v/>
      </c>
      <c r="O41" s="27" t="str">
        <f t="shared" si="16"/>
        <v/>
      </c>
      <c r="P41" s="27" t="str">
        <f t="shared" si="16"/>
        <v/>
      </c>
      <c r="Q41" s="27" t="str">
        <f t="shared" si="16"/>
        <v/>
      </c>
      <c r="R41" s="27" t="str">
        <f t="shared" si="16"/>
        <v/>
      </c>
    </row>
    <row r="42" spans="4:18" x14ac:dyDescent="0.25">
      <c r="D42" s="9"/>
      <c r="E42" s="9"/>
      <c r="F42" s="9"/>
      <c r="G42" s="9"/>
      <c r="H42" s="27"/>
      <c r="I42" s="27" t="str">
        <f t="shared" si="16"/>
        <v/>
      </c>
      <c r="J42" s="27" t="str">
        <f t="shared" si="16"/>
        <v/>
      </c>
      <c r="K42" s="27" t="str">
        <f t="shared" si="16"/>
        <v/>
      </c>
      <c r="L42" s="27" t="str">
        <f t="shared" si="16"/>
        <v/>
      </c>
      <c r="M42" s="27" t="str">
        <f t="shared" si="16"/>
        <v/>
      </c>
      <c r="N42" s="27" t="str">
        <f t="shared" si="16"/>
        <v/>
      </c>
      <c r="O42" s="27" t="str">
        <f t="shared" si="16"/>
        <v/>
      </c>
      <c r="P42" s="27" t="str">
        <f t="shared" si="16"/>
        <v/>
      </c>
      <c r="Q42" s="27" t="str">
        <f t="shared" si="16"/>
        <v/>
      </c>
      <c r="R42" s="27" t="str">
        <f t="shared" si="16"/>
        <v/>
      </c>
    </row>
    <row r="43" spans="4:18" x14ac:dyDescent="0.25">
      <c r="D43" s="9"/>
      <c r="E43" s="9"/>
      <c r="F43" s="9"/>
      <c r="G43" s="9"/>
      <c r="H43" s="27"/>
      <c r="I43" s="27" t="str">
        <f t="shared" si="16"/>
        <v/>
      </c>
      <c r="J43" s="27" t="str">
        <f t="shared" si="16"/>
        <v/>
      </c>
      <c r="K43" s="27" t="str">
        <f t="shared" si="16"/>
        <v/>
      </c>
      <c r="L43" s="27" t="str">
        <f t="shared" si="16"/>
        <v/>
      </c>
      <c r="M43" s="27" t="str">
        <f t="shared" si="16"/>
        <v/>
      </c>
      <c r="N43" s="27" t="str">
        <f t="shared" si="16"/>
        <v/>
      </c>
      <c r="O43" s="27" t="str">
        <f t="shared" si="16"/>
        <v/>
      </c>
      <c r="P43" s="27" t="str">
        <f t="shared" si="16"/>
        <v/>
      </c>
      <c r="Q43" s="27" t="str">
        <f t="shared" si="16"/>
        <v/>
      </c>
      <c r="R43" s="27" t="str">
        <f t="shared" si="16"/>
        <v/>
      </c>
    </row>
    <row r="44" spans="4:18" x14ac:dyDescent="0.25">
      <c r="D44" s="9"/>
      <c r="E44" s="9"/>
      <c r="F44" s="9"/>
      <c r="G44" s="9"/>
      <c r="H44" s="27"/>
      <c r="I44" s="27" t="str">
        <f t="shared" si="16"/>
        <v/>
      </c>
      <c r="J44" s="27" t="str">
        <f t="shared" si="16"/>
        <v/>
      </c>
      <c r="K44" s="27" t="str">
        <f t="shared" si="16"/>
        <v/>
      </c>
      <c r="L44" s="27" t="str">
        <f t="shared" si="16"/>
        <v/>
      </c>
      <c r="M44" s="27" t="str">
        <f t="shared" si="16"/>
        <v/>
      </c>
      <c r="N44" s="27" t="str">
        <f t="shared" si="16"/>
        <v/>
      </c>
      <c r="O44" s="27" t="str">
        <f t="shared" si="16"/>
        <v/>
      </c>
      <c r="P44" s="27" t="str">
        <f t="shared" si="16"/>
        <v/>
      </c>
      <c r="Q44" s="27" t="str">
        <f t="shared" si="16"/>
        <v/>
      </c>
      <c r="R44" s="27" t="str">
        <f t="shared" si="16"/>
        <v/>
      </c>
    </row>
    <row r="45" spans="4:18" x14ac:dyDescent="0.25">
      <c r="D45" s="9"/>
      <c r="E45" s="9"/>
      <c r="F45" s="9"/>
      <c r="G45" s="9"/>
      <c r="H45" s="27"/>
      <c r="I45" s="27" t="str">
        <f t="shared" si="16"/>
        <v/>
      </c>
      <c r="J45" s="27" t="str">
        <f t="shared" si="16"/>
        <v/>
      </c>
      <c r="K45" s="27" t="str">
        <f t="shared" si="16"/>
        <v/>
      </c>
      <c r="L45" s="27" t="str">
        <f t="shared" si="16"/>
        <v/>
      </c>
      <c r="M45" s="27" t="str">
        <f t="shared" si="16"/>
        <v/>
      </c>
      <c r="N45" s="27" t="str">
        <f t="shared" si="16"/>
        <v/>
      </c>
      <c r="O45" s="27" t="str">
        <f t="shared" si="16"/>
        <v/>
      </c>
      <c r="P45" s="27" t="str">
        <f t="shared" si="16"/>
        <v/>
      </c>
      <c r="Q45" s="27" t="str">
        <f t="shared" si="16"/>
        <v/>
      </c>
      <c r="R45" s="27" t="str">
        <f t="shared" si="16"/>
        <v/>
      </c>
    </row>
    <row r="46" spans="4:18" x14ac:dyDescent="0.25">
      <c r="D46" s="9"/>
      <c r="E46" s="9"/>
      <c r="F46" s="9"/>
      <c r="G46" s="9"/>
      <c r="H46" s="27"/>
      <c r="I46" s="27" t="str">
        <f t="shared" si="16"/>
        <v/>
      </c>
      <c r="J46" s="27" t="str">
        <f t="shared" si="16"/>
        <v/>
      </c>
      <c r="K46" s="27" t="str">
        <f t="shared" si="16"/>
        <v/>
      </c>
      <c r="L46" s="27" t="str">
        <f t="shared" si="16"/>
        <v/>
      </c>
      <c r="M46" s="27" t="str">
        <f t="shared" si="16"/>
        <v/>
      </c>
      <c r="N46" s="27" t="str">
        <f t="shared" si="16"/>
        <v/>
      </c>
      <c r="O46" s="27" t="str">
        <f t="shared" si="16"/>
        <v/>
      </c>
      <c r="P46" s="27" t="str">
        <f t="shared" si="16"/>
        <v/>
      </c>
      <c r="Q46" s="27" t="str">
        <f t="shared" si="16"/>
        <v/>
      </c>
      <c r="R46" s="27" t="str">
        <f t="shared" si="16"/>
        <v/>
      </c>
    </row>
    <row r="47" spans="4:18" x14ac:dyDescent="0.25">
      <c r="D47" s="9"/>
      <c r="E47" s="9"/>
      <c r="F47" s="9"/>
      <c r="G47" s="9"/>
      <c r="H47" s="27"/>
      <c r="I47" s="27" t="str">
        <f t="shared" si="16"/>
        <v/>
      </c>
      <c r="J47" s="27" t="str">
        <f t="shared" si="16"/>
        <v/>
      </c>
      <c r="K47" s="27" t="str">
        <f t="shared" si="16"/>
        <v/>
      </c>
      <c r="L47" s="27" t="str">
        <f t="shared" si="16"/>
        <v/>
      </c>
      <c r="M47" s="27" t="str">
        <f t="shared" si="16"/>
        <v/>
      </c>
      <c r="N47" s="27" t="str">
        <f t="shared" si="16"/>
        <v/>
      </c>
      <c r="O47" s="27" t="str">
        <f t="shared" si="16"/>
        <v/>
      </c>
      <c r="P47" s="27" t="str">
        <f t="shared" si="16"/>
        <v/>
      </c>
      <c r="Q47" s="27" t="str">
        <f t="shared" si="16"/>
        <v/>
      </c>
      <c r="R47" s="27" t="str">
        <f t="shared" si="16"/>
        <v/>
      </c>
    </row>
    <row r="48" spans="4:18" x14ac:dyDescent="0.25">
      <c r="D48" s="9"/>
      <c r="E48" s="9"/>
      <c r="F48" s="9"/>
      <c r="G48" s="9"/>
      <c r="H48" s="27"/>
      <c r="I48" s="27" t="str">
        <f t="shared" si="16"/>
        <v/>
      </c>
      <c r="J48" s="27" t="str">
        <f t="shared" si="16"/>
        <v/>
      </c>
      <c r="K48" s="27" t="str">
        <f t="shared" si="16"/>
        <v/>
      </c>
      <c r="L48" s="27" t="str">
        <f t="shared" si="16"/>
        <v/>
      </c>
      <c r="M48" s="27" t="str">
        <f t="shared" si="16"/>
        <v/>
      </c>
      <c r="N48" s="27" t="str">
        <f t="shared" si="16"/>
        <v/>
      </c>
      <c r="O48" s="27" t="str">
        <f t="shared" si="16"/>
        <v/>
      </c>
      <c r="P48" s="27" t="str">
        <f t="shared" si="16"/>
        <v/>
      </c>
      <c r="Q48" s="27" t="str">
        <f t="shared" si="16"/>
        <v/>
      </c>
      <c r="R48" s="27" t="str">
        <f t="shared" si="16"/>
        <v/>
      </c>
    </row>
    <row r="49" spans="4:18" x14ac:dyDescent="0.25">
      <c r="D49" s="9"/>
      <c r="E49" s="9"/>
      <c r="F49" s="9"/>
      <c r="G49" s="9"/>
      <c r="H49" s="27"/>
      <c r="I49" s="27" t="str">
        <f t="shared" si="16"/>
        <v/>
      </c>
      <c r="J49" s="27" t="str">
        <f t="shared" si="16"/>
        <v/>
      </c>
      <c r="K49" s="27" t="str">
        <f t="shared" si="16"/>
        <v/>
      </c>
      <c r="L49" s="27" t="str">
        <f t="shared" si="16"/>
        <v/>
      </c>
      <c r="M49" s="27" t="str">
        <f t="shared" si="16"/>
        <v/>
      </c>
      <c r="N49" s="27" t="str">
        <f t="shared" si="16"/>
        <v/>
      </c>
      <c r="O49" s="27" t="str">
        <f t="shared" si="16"/>
        <v/>
      </c>
      <c r="P49" s="27" t="str">
        <f t="shared" si="16"/>
        <v/>
      </c>
      <c r="Q49" s="27" t="str">
        <f t="shared" si="16"/>
        <v/>
      </c>
      <c r="R49" s="27" t="str">
        <f t="shared" si="16"/>
        <v/>
      </c>
    </row>
    <row r="50" spans="4:18" ht="15.75" thickBot="1" x14ac:dyDescent="0.3">
      <c r="D50" s="10"/>
      <c r="E50" s="10"/>
      <c r="F50" s="10"/>
      <c r="G50" s="10"/>
      <c r="H50" s="44"/>
      <c r="I50" s="44" t="str">
        <f t="shared" si="16"/>
        <v/>
      </c>
      <c r="J50" s="44" t="str">
        <f t="shared" si="16"/>
        <v/>
      </c>
      <c r="K50" s="44" t="str">
        <f t="shared" si="16"/>
        <v/>
      </c>
      <c r="L50" s="44" t="str">
        <f t="shared" si="16"/>
        <v/>
      </c>
      <c r="M50" s="44" t="str">
        <f t="shared" si="16"/>
        <v/>
      </c>
      <c r="N50" s="44" t="str">
        <f t="shared" si="16"/>
        <v/>
      </c>
      <c r="O50" s="44" t="str">
        <f t="shared" si="16"/>
        <v/>
      </c>
      <c r="P50" s="44" t="str">
        <f t="shared" si="16"/>
        <v/>
      </c>
      <c r="Q50" s="44" t="str">
        <f t="shared" si="16"/>
        <v/>
      </c>
      <c r="R50" s="44" t="str">
        <f t="shared" si="16"/>
        <v/>
      </c>
    </row>
    <row r="51" spans="4:18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3">
    <dataValidation type="list" allowBlank="1" showInputMessage="1" showErrorMessage="1" sqref="F5:F50">
      <formula1>MineQuality</formula1>
    </dataValidation>
    <dataValidation type="list" allowBlank="1" showInputMessage="1" showErrorMessage="1" sqref="D5:D50">
      <formula1>MineName</formula1>
    </dataValidation>
    <dataValidation type="list" allowBlank="1" showInputMessage="1" showErrorMessage="1" sqref="E5:E50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'Common dict'!$H$5:$H$40</xm:f>
          </x14:formula1>
          <xm:sqref>G5:G50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CC9900"/>
  </sheetPr>
  <dimension ref="B1:S50"/>
  <sheetViews>
    <sheetView zoomScaleNormal="100" workbookViewId="0">
      <selection activeCell="F8" sqref="F8"/>
    </sheetView>
  </sheetViews>
  <sheetFormatPr baseColWidth="10" defaultColWidth="11.5703125" defaultRowHeight="15" x14ac:dyDescent="0.25"/>
  <cols>
    <col min="1" max="3" width="3.85546875" style="5" customWidth="1"/>
    <col min="4" max="8" width="15.85546875" style="5" customWidth="1"/>
    <col min="9" max="19" width="8.85546875" style="5" customWidth="1"/>
    <col min="20" max="16384" width="11.5703125" style="5"/>
  </cols>
  <sheetData>
    <row r="1" spans="2:19" s="3" customFormat="1" ht="24.95" customHeight="1" x14ac:dyDescent="0.25">
      <c r="B1" s="2" t="s">
        <v>134</v>
      </c>
    </row>
    <row r="3" spans="2:19" ht="15.75" thickBot="1" x14ac:dyDescent="0.3">
      <c r="D3" s="38" t="str">
        <f>JESA_UploadTable(B1,D4:S50,db)</f>
        <v>MINING opex &amp; specific consumptions @09:45:19</v>
      </c>
    </row>
    <row r="4" spans="2:19" ht="30" customHeight="1" thickBot="1" x14ac:dyDescent="0.3">
      <c r="D4" s="6" t="s">
        <v>30</v>
      </c>
      <c r="E4" s="6" t="s">
        <v>49</v>
      </c>
      <c r="F4" s="4" t="s">
        <v>268</v>
      </c>
      <c r="G4" s="6" t="s">
        <v>12</v>
      </c>
      <c r="H4" s="4" t="s">
        <v>17</v>
      </c>
      <c r="I4" s="21" t="s">
        <v>37</v>
      </c>
      <c r="J4" s="21" t="s">
        <v>38</v>
      </c>
      <c r="K4" s="21" t="s">
        <v>39</v>
      </c>
      <c r="L4" s="21" t="s">
        <v>40</v>
      </c>
      <c r="M4" s="21" t="s">
        <v>41</v>
      </c>
      <c r="N4" s="21" t="s">
        <v>42</v>
      </c>
      <c r="O4" s="21" t="s">
        <v>43</v>
      </c>
      <c r="P4" s="21" t="s">
        <v>44</v>
      </c>
      <c r="Q4" s="21" t="s">
        <v>45</v>
      </c>
      <c r="R4" s="21" t="s">
        <v>46</v>
      </c>
      <c r="S4" s="21" t="s">
        <v>47</v>
      </c>
    </row>
    <row r="5" spans="2:19" x14ac:dyDescent="0.25">
      <c r="D5" s="9" t="s">
        <v>3</v>
      </c>
      <c r="E5" s="9" t="s">
        <v>302</v>
      </c>
      <c r="F5" s="11">
        <v>4</v>
      </c>
      <c r="G5" s="9" t="s">
        <v>22</v>
      </c>
      <c r="H5" s="11" t="s">
        <v>133</v>
      </c>
      <c r="I5" s="17">
        <v>4.84</v>
      </c>
      <c r="J5" s="17">
        <f t="shared" ref="J5:J10" si="0">IF(I5="","",I5)</f>
        <v>4.84</v>
      </c>
      <c r="K5" s="17">
        <f t="shared" ref="K5:K10" si="1">IF(J5="","",J5)</f>
        <v>4.84</v>
      </c>
      <c r="L5" s="17">
        <f t="shared" ref="L5:L10" si="2">IF(K5="","",K5)</f>
        <v>4.84</v>
      </c>
      <c r="M5" s="17">
        <f t="shared" ref="M5:M10" si="3">IF(L5="","",L5)</f>
        <v>4.84</v>
      </c>
      <c r="N5" s="17">
        <f t="shared" ref="N5:N10" si="4">IF(M5="","",M5)</f>
        <v>4.84</v>
      </c>
      <c r="O5" s="17">
        <f t="shared" ref="O5:O10" si="5">IF(N5="","",N5)</f>
        <v>4.84</v>
      </c>
      <c r="P5" s="17">
        <f t="shared" ref="P5:P10" si="6">IF(O5="","",O5)</f>
        <v>4.84</v>
      </c>
      <c r="Q5" s="17">
        <f t="shared" ref="Q5:Q10" si="7">IF(P5="","",P5)</f>
        <v>4.84</v>
      </c>
      <c r="R5" s="17">
        <f t="shared" ref="R5:R10" si="8">IF(Q5="","",Q5)</f>
        <v>4.84</v>
      </c>
      <c r="S5" s="17">
        <f t="shared" ref="S5:S10" si="9">IF(R5="","",R5)</f>
        <v>4.84</v>
      </c>
    </row>
    <row r="6" spans="2:19" x14ac:dyDescent="0.25">
      <c r="D6" s="9" t="s">
        <v>352</v>
      </c>
      <c r="E6" s="9" t="s">
        <v>302</v>
      </c>
      <c r="F6" s="11">
        <v>2.77</v>
      </c>
      <c r="G6" s="9" t="s">
        <v>22</v>
      </c>
      <c r="H6" s="11" t="s">
        <v>133</v>
      </c>
      <c r="I6" s="18">
        <v>7.0849999999999991</v>
      </c>
      <c r="J6" s="18">
        <f t="shared" si="0"/>
        <v>7.0849999999999991</v>
      </c>
      <c r="K6" s="18">
        <f t="shared" si="1"/>
        <v>7.0849999999999991</v>
      </c>
      <c r="L6" s="18">
        <f t="shared" si="2"/>
        <v>7.0849999999999991</v>
      </c>
      <c r="M6" s="18">
        <f t="shared" si="3"/>
        <v>7.0849999999999991</v>
      </c>
      <c r="N6" s="18">
        <f t="shared" si="4"/>
        <v>7.0849999999999991</v>
      </c>
      <c r="O6" s="18">
        <f t="shared" si="5"/>
        <v>7.0849999999999991</v>
      </c>
      <c r="P6" s="18">
        <f t="shared" si="6"/>
        <v>7.0849999999999991</v>
      </c>
      <c r="Q6" s="18">
        <f t="shared" si="7"/>
        <v>7.0849999999999991</v>
      </c>
      <c r="R6" s="18">
        <f t="shared" si="8"/>
        <v>7.0849999999999991</v>
      </c>
      <c r="S6" s="18">
        <f t="shared" si="9"/>
        <v>7.0849999999999991</v>
      </c>
    </row>
    <row r="7" spans="2:19" x14ac:dyDescent="0.25">
      <c r="D7" s="9" t="s">
        <v>352</v>
      </c>
      <c r="E7" s="9" t="s">
        <v>302</v>
      </c>
      <c r="F7" s="11">
        <v>9</v>
      </c>
      <c r="G7" s="9" t="s">
        <v>22</v>
      </c>
      <c r="H7" s="11" t="s">
        <v>133</v>
      </c>
      <c r="I7" s="18">
        <v>6.4349999999999996</v>
      </c>
      <c r="J7" s="18">
        <f t="shared" si="0"/>
        <v>6.4349999999999996</v>
      </c>
      <c r="K7" s="18">
        <f t="shared" si="1"/>
        <v>6.4349999999999996</v>
      </c>
      <c r="L7" s="18">
        <f t="shared" si="2"/>
        <v>6.4349999999999996</v>
      </c>
      <c r="M7" s="18">
        <f t="shared" si="3"/>
        <v>6.4349999999999996</v>
      </c>
      <c r="N7" s="18">
        <f t="shared" si="4"/>
        <v>6.4349999999999996</v>
      </c>
      <c r="O7" s="18">
        <f t="shared" si="5"/>
        <v>6.4349999999999996</v>
      </c>
      <c r="P7" s="18">
        <f t="shared" si="6"/>
        <v>6.4349999999999996</v>
      </c>
      <c r="Q7" s="18">
        <f t="shared" si="7"/>
        <v>6.4349999999999996</v>
      </c>
      <c r="R7" s="18">
        <f t="shared" si="8"/>
        <v>6.4349999999999996</v>
      </c>
      <c r="S7" s="18">
        <f t="shared" si="9"/>
        <v>6.4349999999999996</v>
      </c>
    </row>
    <row r="8" spans="2:19" x14ac:dyDescent="0.25">
      <c r="D8" s="9" t="s">
        <v>6</v>
      </c>
      <c r="E8" s="9" t="s">
        <v>302</v>
      </c>
      <c r="F8" s="11">
        <v>4.5</v>
      </c>
      <c r="G8" s="9" t="s">
        <v>22</v>
      </c>
      <c r="H8" s="11" t="s">
        <v>133</v>
      </c>
      <c r="I8" s="18">
        <v>7.08</v>
      </c>
      <c r="J8" s="18">
        <f t="shared" si="0"/>
        <v>7.08</v>
      </c>
      <c r="K8" s="18">
        <f t="shared" si="1"/>
        <v>7.08</v>
      </c>
      <c r="L8" s="18">
        <f t="shared" si="2"/>
        <v>7.08</v>
      </c>
      <c r="M8" s="18">
        <f t="shared" si="3"/>
        <v>7.08</v>
      </c>
      <c r="N8" s="18">
        <f t="shared" si="4"/>
        <v>7.08</v>
      </c>
      <c r="O8" s="18">
        <f t="shared" si="5"/>
        <v>7.08</v>
      </c>
      <c r="P8" s="18">
        <f t="shared" si="6"/>
        <v>7.08</v>
      </c>
      <c r="Q8" s="18">
        <f t="shared" si="7"/>
        <v>7.08</v>
      </c>
      <c r="R8" s="18">
        <f t="shared" si="8"/>
        <v>7.08</v>
      </c>
      <c r="S8" s="18">
        <f t="shared" si="9"/>
        <v>7.08</v>
      </c>
    </row>
    <row r="9" spans="2:19" x14ac:dyDescent="0.25">
      <c r="D9" s="9" t="s">
        <v>10</v>
      </c>
      <c r="E9" s="9" t="s">
        <v>302</v>
      </c>
      <c r="F9" s="11">
        <v>5.5</v>
      </c>
      <c r="G9" s="9" t="s">
        <v>22</v>
      </c>
      <c r="H9" s="11" t="s">
        <v>133</v>
      </c>
      <c r="I9" s="18">
        <v>7.2799999999999994</v>
      </c>
      <c r="J9" s="18">
        <f t="shared" si="0"/>
        <v>7.2799999999999994</v>
      </c>
      <c r="K9" s="18">
        <f t="shared" si="1"/>
        <v>7.2799999999999994</v>
      </c>
      <c r="L9" s="18">
        <f t="shared" si="2"/>
        <v>7.2799999999999994</v>
      </c>
      <c r="M9" s="18">
        <f t="shared" si="3"/>
        <v>7.2799999999999994</v>
      </c>
      <c r="N9" s="18">
        <f t="shared" si="4"/>
        <v>7.2799999999999994</v>
      </c>
      <c r="O9" s="18">
        <f t="shared" si="5"/>
        <v>7.2799999999999994</v>
      </c>
      <c r="P9" s="18">
        <f t="shared" si="6"/>
        <v>7.2799999999999994</v>
      </c>
      <c r="Q9" s="18">
        <f t="shared" si="7"/>
        <v>7.2799999999999994</v>
      </c>
      <c r="R9" s="18">
        <f t="shared" si="8"/>
        <v>7.2799999999999994</v>
      </c>
      <c r="S9" s="18">
        <f t="shared" si="9"/>
        <v>7.2799999999999994</v>
      </c>
    </row>
    <row r="10" spans="2:19" x14ac:dyDescent="0.25">
      <c r="D10" s="9" t="s">
        <v>354</v>
      </c>
      <c r="E10" s="9" t="s">
        <v>302</v>
      </c>
      <c r="F10" s="11">
        <v>10</v>
      </c>
      <c r="G10" s="9" t="s">
        <v>22</v>
      </c>
      <c r="H10" s="11" t="s">
        <v>133</v>
      </c>
      <c r="I10" s="18">
        <v>4.7450000000000001</v>
      </c>
      <c r="J10" s="18">
        <f t="shared" si="0"/>
        <v>4.7450000000000001</v>
      </c>
      <c r="K10" s="18">
        <f t="shared" si="1"/>
        <v>4.7450000000000001</v>
      </c>
      <c r="L10" s="18">
        <f t="shared" si="2"/>
        <v>4.7450000000000001</v>
      </c>
      <c r="M10" s="18">
        <f t="shared" si="3"/>
        <v>4.7450000000000001</v>
      </c>
      <c r="N10" s="18">
        <f t="shared" si="4"/>
        <v>4.7450000000000001</v>
      </c>
      <c r="O10" s="18">
        <f t="shared" si="5"/>
        <v>4.7450000000000001</v>
      </c>
      <c r="P10" s="18">
        <f t="shared" si="6"/>
        <v>4.7450000000000001</v>
      </c>
      <c r="Q10" s="18">
        <f t="shared" si="7"/>
        <v>4.7450000000000001</v>
      </c>
      <c r="R10" s="18">
        <f t="shared" si="8"/>
        <v>4.7450000000000001</v>
      </c>
      <c r="S10" s="18">
        <f t="shared" si="9"/>
        <v>4.7450000000000001</v>
      </c>
    </row>
    <row r="11" spans="2:19" x14ac:dyDescent="0.25">
      <c r="D11" s="9"/>
      <c r="E11" s="9"/>
      <c r="F11" s="43"/>
      <c r="G11" s="9"/>
      <c r="H11" s="11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</row>
    <row r="12" spans="2:19" x14ac:dyDescent="0.25">
      <c r="D12" s="9"/>
      <c r="E12" s="9"/>
      <c r="F12" s="43"/>
      <c r="G12" s="9"/>
      <c r="H12" s="11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</row>
    <row r="13" spans="2:19" x14ac:dyDescent="0.25">
      <c r="D13" s="9"/>
      <c r="E13" s="9"/>
      <c r="F13" s="43"/>
      <c r="G13" s="9"/>
      <c r="H13" s="11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</row>
    <row r="14" spans="2:19" x14ac:dyDescent="0.25">
      <c r="D14" s="9"/>
      <c r="E14" s="9"/>
      <c r="F14" s="11"/>
      <c r="G14" s="9"/>
      <c r="H14" s="11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</row>
    <row r="15" spans="2:19" x14ac:dyDescent="0.25">
      <c r="D15" s="9"/>
      <c r="E15" s="9"/>
      <c r="F15" s="11"/>
      <c r="G15" s="9"/>
      <c r="H15" s="11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</row>
    <row r="16" spans="2:19" x14ac:dyDescent="0.25">
      <c r="D16" s="9"/>
      <c r="E16" s="9"/>
      <c r="F16" s="11"/>
      <c r="G16" s="9"/>
      <c r="H16" s="11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</row>
    <row r="17" spans="4:19" x14ac:dyDescent="0.25">
      <c r="D17" s="9"/>
      <c r="E17" s="9"/>
      <c r="F17" s="11"/>
      <c r="G17" s="9"/>
      <c r="H17" s="11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</row>
    <row r="18" spans="4:19" x14ac:dyDescent="0.25">
      <c r="D18" s="9"/>
      <c r="E18" s="9"/>
      <c r="F18" s="11"/>
      <c r="G18" s="9"/>
      <c r="H18" s="11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</row>
    <row r="19" spans="4:19" x14ac:dyDescent="0.25">
      <c r="D19" s="9"/>
      <c r="E19" s="9"/>
      <c r="F19" s="11"/>
      <c r="G19" s="9"/>
      <c r="H19" s="11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</row>
    <row r="20" spans="4:19" x14ac:dyDescent="0.25">
      <c r="D20" s="9"/>
      <c r="E20" s="9"/>
      <c r="F20" s="11"/>
      <c r="G20" s="9"/>
      <c r="H20" s="11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</row>
    <row r="21" spans="4:19" x14ac:dyDescent="0.25">
      <c r="D21" s="9"/>
      <c r="E21" s="9"/>
      <c r="F21" s="11"/>
      <c r="G21" s="9"/>
      <c r="H21" s="11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</row>
    <row r="22" spans="4:19" x14ac:dyDescent="0.25">
      <c r="D22" s="9"/>
      <c r="E22" s="9"/>
      <c r="F22" s="11"/>
      <c r="G22" s="9"/>
      <c r="H22" s="11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</row>
    <row r="23" spans="4:19" x14ac:dyDescent="0.25">
      <c r="D23" s="9"/>
      <c r="E23" s="9"/>
      <c r="F23" s="43"/>
      <c r="G23" s="9"/>
      <c r="H23" s="11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</row>
    <row r="24" spans="4:19" x14ac:dyDescent="0.25">
      <c r="D24" s="9"/>
      <c r="E24" s="9"/>
      <c r="F24" s="43"/>
      <c r="G24" s="9"/>
      <c r="H24" s="11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</row>
    <row r="25" spans="4:19" x14ac:dyDescent="0.25">
      <c r="D25" s="9"/>
      <c r="E25" s="9"/>
      <c r="F25" s="43"/>
      <c r="G25" s="9"/>
      <c r="H25" s="11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</row>
    <row r="26" spans="4:19" x14ac:dyDescent="0.25">
      <c r="D26" s="9"/>
      <c r="E26" s="9"/>
      <c r="F26" s="43"/>
      <c r="G26" s="9"/>
      <c r="H26" s="11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</row>
    <row r="27" spans="4:19" x14ac:dyDescent="0.25">
      <c r="D27" s="9"/>
      <c r="E27" s="9"/>
      <c r="F27" s="11"/>
      <c r="G27" s="9"/>
      <c r="H27" s="11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</row>
    <row r="28" spans="4:19" x14ac:dyDescent="0.25">
      <c r="D28" s="9"/>
      <c r="E28" s="9"/>
      <c r="F28" s="11"/>
      <c r="G28" s="9"/>
      <c r="H28" s="11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</row>
    <row r="29" spans="4:19" x14ac:dyDescent="0.25">
      <c r="D29" s="9"/>
      <c r="E29" s="9"/>
      <c r="F29" s="11"/>
      <c r="G29" s="9"/>
      <c r="H29" s="11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</row>
    <row r="30" spans="4:19" x14ac:dyDescent="0.25">
      <c r="D30" s="9"/>
      <c r="E30" s="9"/>
      <c r="F30" s="11"/>
      <c r="G30" s="9"/>
      <c r="H30" s="11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</row>
    <row r="31" spans="4:19" x14ac:dyDescent="0.25">
      <c r="D31" s="9"/>
      <c r="E31" s="9"/>
      <c r="F31" s="11"/>
      <c r="G31" s="9"/>
      <c r="H31" s="11"/>
      <c r="I31" s="18"/>
      <c r="J31" s="18" t="str">
        <f t="shared" ref="J31:S31" si="10">IF(I31="","",I31)</f>
        <v/>
      </c>
      <c r="K31" s="18" t="str">
        <f t="shared" si="10"/>
        <v/>
      </c>
      <c r="L31" s="18" t="str">
        <f t="shared" si="10"/>
        <v/>
      </c>
      <c r="M31" s="18" t="str">
        <f t="shared" si="10"/>
        <v/>
      </c>
      <c r="N31" s="18" t="str">
        <f t="shared" si="10"/>
        <v/>
      </c>
      <c r="O31" s="18" t="str">
        <f t="shared" si="10"/>
        <v/>
      </c>
      <c r="P31" s="18" t="str">
        <f t="shared" si="10"/>
        <v/>
      </c>
      <c r="Q31" s="18" t="str">
        <f t="shared" si="10"/>
        <v/>
      </c>
      <c r="R31" s="18" t="str">
        <f t="shared" si="10"/>
        <v/>
      </c>
      <c r="S31" s="18" t="str">
        <f t="shared" si="10"/>
        <v/>
      </c>
    </row>
    <row r="32" spans="4:19" ht="15.75" thickBot="1" x14ac:dyDescent="0.3">
      <c r="D32" s="9"/>
      <c r="E32" s="9"/>
      <c r="F32" s="11"/>
      <c r="G32" s="9"/>
      <c r="H32" s="11"/>
      <c r="I32" s="18"/>
      <c r="J32" s="18" t="str">
        <f t="shared" ref="J32:S32" si="11">IF(I32="","",I32)</f>
        <v/>
      </c>
      <c r="K32" s="18" t="str">
        <f t="shared" si="11"/>
        <v/>
      </c>
      <c r="L32" s="18" t="str">
        <f t="shared" si="11"/>
        <v/>
      </c>
      <c r="M32" s="18" t="str">
        <f t="shared" si="11"/>
        <v/>
      </c>
      <c r="N32" s="18" t="str">
        <f t="shared" si="11"/>
        <v/>
      </c>
      <c r="O32" s="18" t="str">
        <f t="shared" si="11"/>
        <v/>
      </c>
      <c r="P32" s="18" t="str">
        <f t="shared" si="11"/>
        <v/>
      </c>
      <c r="Q32" s="18" t="str">
        <f t="shared" si="11"/>
        <v/>
      </c>
      <c r="R32" s="18" t="str">
        <f t="shared" si="11"/>
        <v/>
      </c>
      <c r="S32" s="18" t="str">
        <f t="shared" si="11"/>
        <v/>
      </c>
    </row>
    <row r="33" spans="4:19" x14ac:dyDescent="0.25">
      <c r="D33" s="9"/>
      <c r="E33" s="9"/>
      <c r="F33" s="11"/>
      <c r="G33" s="9"/>
      <c r="H33" s="11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</row>
    <row r="34" spans="4:19" x14ac:dyDescent="0.25">
      <c r="D34" s="9"/>
      <c r="E34" s="9"/>
      <c r="F34" s="11"/>
      <c r="G34" s="9"/>
      <c r="H34" s="11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</row>
    <row r="35" spans="4:19" x14ac:dyDescent="0.25">
      <c r="D35" s="9"/>
      <c r="E35" s="9"/>
      <c r="F35" s="11"/>
      <c r="G35" s="9"/>
      <c r="H35" s="11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</row>
    <row r="36" spans="4:19" x14ac:dyDescent="0.25">
      <c r="D36" s="9"/>
      <c r="E36" s="9"/>
      <c r="F36" s="11"/>
      <c r="G36" s="9"/>
      <c r="H36" s="11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</row>
    <row r="37" spans="4:19" x14ac:dyDescent="0.25">
      <c r="D37" s="9"/>
      <c r="E37" s="9"/>
      <c r="F37" s="11"/>
      <c r="G37" s="9"/>
      <c r="H37" s="11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</row>
    <row r="38" spans="4:19" x14ac:dyDescent="0.25">
      <c r="D38" s="9"/>
      <c r="E38" s="9"/>
      <c r="F38" s="11"/>
      <c r="G38" s="9"/>
      <c r="H38" s="11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</row>
    <row r="39" spans="4:19" x14ac:dyDescent="0.25">
      <c r="D39" s="9"/>
      <c r="E39" s="9"/>
      <c r="F39" s="11"/>
      <c r="G39" s="9"/>
      <c r="H39" s="11"/>
      <c r="I39" s="18"/>
      <c r="J39" s="18" t="str">
        <f t="shared" ref="J39:S39" si="12">IF(I39="","",I39)</f>
        <v/>
      </c>
      <c r="K39" s="18" t="str">
        <f t="shared" si="12"/>
        <v/>
      </c>
      <c r="L39" s="18" t="str">
        <f t="shared" si="12"/>
        <v/>
      </c>
      <c r="M39" s="18" t="str">
        <f t="shared" si="12"/>
        <v/>
      </c>
      <c r="N39" s="18" t="str">
        <f t="shared" si="12"/>
        <v/>
      </c>
      <c r="O39" s="18" t="str">
        <f t="shared" si="12"/>
        <v/>
      </c>
      <c r="P39" s="18" t="str">
        <f t="shared" si="12"/>
        <v/>
      </c>
      <c r="Q39" s="18" t="str">
        <f t="shared" si="12"/>
        <v/>
      </c>
      <c r="R39" s="18" t="str">
        <f t="shared" si="12"/>
        <v/>
      </c>
      <c r="S39" s="18" t="str">
        <f t="shared" si="12"/>
        <v/>
      </c>
    </row>
    <row r="40" spans="4:19" x14ac:dyDescent="0.25">
      <c r="D40" s="9"/>
      <c r="E40" s="9"/>
      <c r="F40" s="11"/>
      <c r="G40" s="9"/>
      <c r="H40" s="11"/>
      <c r="I40" s="18"/>
      <c r="J40" s="18" t="str">
        <f t="shared" ref="J40:S40" si="13">IF(I40="","",I40)</f>
        <v/>
      </c>
      <c r="K40" s="18" t="str">
        <f t="shared" si="13"/>
        <v/>
      </c>
      <c r="L40" s="18" t="str">
        <f t="shared" si="13"/>
        <v/>
      </c>
      <c r="M40" s="18" t="str">
        <f t="shared" si="13"/>
        <v/>
      </c>
      <c r="N40" s="18" t="str">
        <f t="shared" si="13"/>
        <v/>
      </c>
      <c r="O40" s="18" t="str">
        <f t="shared" si="13"/>
        <v/>
      </c>
      <c r="P40" s="18" t="str">
        <f t="shared" si="13"/>
        <v/>
      </c>
      <c r="Q40" s="18" t="str">
        <f t="shared" si="13"/>
        <v/>
      </c>
      <c r="R40" s="18" t="str">
        <f t="shared" si="13"/>
        <v/>
      </c>
      <c r="S40" s="18" t="str">
        <f t="shared" si="13"/>
        <v/>
      </c>
    </row>
    <row r="41" spans="4:19" x14ac:dyDescent="0.25">
      <c r="D41" s="9"/>
      <c r="E41" s="9"/>
      <c r="F41" s="11"/>
      <c r="G41" s="9"/>
      <c r="H41" s="11"/>
      <c r="I41" s="18"/>
      <c r="J41" s="18" t="str">
        <f t="shared" ref="J41:S41" si="14">IF(I41="","",I41)</f>
        <v/>
      </c>
      <c r="K41" s="18" t="str">
        <f t="shared" si="14"/>
        <v/>
      </c>
      <c r="L41" s="18" t="str">
        <f t="shared" si="14"/>
        <v/>
      </c>
      <c r="M41" s="18" t="str">
        <f t="shared" si="14"/>
        <v/>
      </c>
      <c r="N41" s="18" t="str">
        <f t="shared" si="14"/>
        <v/>
      </c>
      <c r="O41" s="18" t="str">
        <f t="shared" si="14"/>
        <v/>
      </c>
      <c r="P41" s="18" t="str">
        <f t="shared" si="14"/>
        <v/>
      </c>
      <c r="Q41" s="18" t="str">
        <f t="shared" si="14"/>
        <v/>
      </c>
      <c r="R41" s="18" t="str">
        <f t="shared" si="14"/>
        <v/>
      </c>
      <c r="S41" s="18" t="str">
        <f t="shared" si="14"/>
        <v/>
      </c>
    </row>
    <row r="42" spans="4:19" x14ac:dyDescent="0.25">
      <c r="D42" s="9"/>
      <c r="E42" s="9"/>
      <c r="F42" s="11"/>
      <c r="G42" s="9"/>
      <c r="H42" s="11"/>
      <c r="I42" s="18"/>
      <c r="J42" s="18" t="str">
        <f t="shared" ref="J42:S42" si="15">IF(I42="","",I42)</f>
        <v/>
      </c>
      <c r="K42" s="18" t="str">
        <f t="shared" si="15"/>
        <v/>
      </c>
      <c r="L42" s="18" t="str">
        <f t="shared" si="15"/>
        <v/>
      </c>
      <c r="M42" s="18" t="str">
        <f t="shared" si="15"/>
        <v/>
      </c>
      <c r="N42" s="18" t="str">
        <f t="shared" si="15"/>
        <v/>
      </c>
      <c r="O42" s="18" t="str">
        <f t="shared" si="15"/>
        <v/>
      </c>
      <c r="P42" s="18" t="str">
        <f t="shared" si="15"/>
        <v/>
      </c>
      <c r="Q42" s="18" t="str">
        <f t="shared" si="15"/>
        <v/>
      </c>
      <c r="R42" s="18" t="str">
        <f t="shared" si="15"/>
        <v/>
      </c>
      <c r="S42" s="18" t="str">
        <f t="shared" si="15"/>
        <v/>
      </c>
    </row>
    <row r="43" spans="4:19" x14ac:dyDescent="0.25">
      <c r="D43" s="9"/>
      <c r="E43" s="9"/>
      <c r="F43" s="11"/>
      <c r="G43" s="9"/>
      <c r="H43" s="11"/>
      <c r="I43" s="18"/>
      <c r="J43" s="18" t="str">
        <f t="shared" ref="J43:S43" si="16">IF(I43="","",I43)</f>
        <v/>
      </c>
      <c r="K43" s="18" t="str">
        <f t="shared" si="16"/>
        <v/>
      </c>
      <c r="L43" s="18" t="str">
        <f t="shared" si="16"/>
        <v/>
      </c>
      <c r="M43" s="18" t="str">
        <f t="shared" si="16"/>
        <v/>
      </c>
      <c r="N43" s="18" t="str">
        <f t="shared" si="16"/>
        <v/>
      </c>
      <c r="O43" s="18" t="str">
        <f t="shared" si="16"/>
        <v/>
      </c>
      <c r="P43" s="18" t="str">
        <f t="shared" si="16"/>
        <v/>
      </c>
      <c r="Q43" s="18" t="str">
        <f t="shared" si="16"/>
        <v/>
      </c>
      <c r="R43" s="18" t="str">
        <f t="shared" si="16"/>
        <v/>
      </c>
      <c r="S43" s="18" t="str">
        <f t="shared" si="16"/>
        <v/>
      </c>
    </row>
    <row r="44" spans="4:19" x14ac:dyDescent="0.25">
      <c r="D44" s="9"/>
      <c r="E44" s="9"/>
      <c r="F44" s="11"/>
      <c r="G44" s="9"/>
      <c r="H44" s="11"/>
      <c r="I44" s="18"/>
      <c r="J44" s="18" t="str">
        <f t="shared" ref="J44:S44" si="17">IF(I44="","",I44)</f>
        <v/>
      </c>
      <c r="K44" s="18" t="str">
        <f t="shared" si="17"/>
        <v/>
      </c>
      <c r="L44" s="18" t="str">
        <f t="shared" si="17"/>
        <v/>
      </c>
      <c r="M44" s="18" t="str">
        <f t="shared" si="17"/>
        <v/>
      </c>
      <c r="N44" s="18" t="str">
        <f t="shared" si="17"/>
        <v/>
      </c>
      <c r="O44" s="18" t="str">
        <f t="shared" si="17"/>
        <v/>
      </c>
      <c r="P44" s="18" t="str">
        <f t="shared" si="17"/>
        <v/>
      </c>
      <c r="Q44" s="18" t="str">
        <f t="shared" si="17"/>
        <v/>
      </c>
      <c r="R44" s="18" t="str">
        <f t="shared" si="17"/>
        <v/>
      </c>
      <c r="S44" s="18" t="str">
        <f t="shared" si="17"/>
        <v/>
      </c>
    </row>
    <row r="45" spans="4:19" x14ac:dyDescent="0.25">
      <c r="D45" s="9"/>
      <c r="E45" s="9"/>
      <c r="F45" s="11"/>
      <c r="G45" s="9"/>
      <c r="H45" s="11"/>
      <c r="I45" s="18"/>
      <c r="J45" s="18" t="str">
        <f t="shared" ref="J45:S45" si="18">IF(I45="","",I45)</f>
        <v/>
      </c>
      <c r="K45" s="18" t="str">
        <f t="shared" si="18"/>
        <v/>
      </c>
      <c r="L45" s="18" t="str">
        <f t="shared" si="18"/>
        <v/>
      </c>
      <c r="M45" s="18" t="str">
        <f t="shared" si="18"/>
        <v/>
      </c>
      <c r="N45" s="18" t="str">
        <f t="shared" si="18"/>
        <v/>
      </c>
      <c r="O45" s="18" t="str">
        <f t="shared" si="18"/>
        <v/>
      </c>
      <c r="P45" s="18" t="str">
        <f t="shared" si="18"/>
        <v/>
      </c>
      <c r="Q45" s="18" t="str">
        <f t="shared" si="18"/>
        <v/>
      </c>
      <c r="R45" s="18" t="str">
        <f t="shared" si="18"/>
        <v/>
      </c>
      <c r="S45" s="18" t="str">
        <f t="shared" si="18"/>
        <v/>
      </c>
    </row>
    <row r="46" spans="4:19" x14ac:dyDescent="0.25">
      <c r="D46" s="9"/>
      <c r="E46" s="9"/>
      <c r="F46" s="11"/>
      <c r="G46" s="9"/>
      <c r="H46" s="11"/>
      <c r="I46" s="18"/>
      <c r="J46" s="18" t="str">
        <f t="shared" ref="J46:S46" si="19">IF(I46="","",I46)</f>
        <v/>
      </c>
      <c r="K46" s="18" t="str">
        <f t="shared" si="19"/>
        <v/>
      </c>
      <c r="L46" s="18" t="str">
        <f t="shared" si="19"/>
        <v/>
      </c>
      <c r="M46" s="18" t="str">
        <f t="shared" si="19"/>
        <v/>
      </c>
      <c r="N46" s="18" t="str">
        <f t="shared" si="19"/>
        <v/>
      </c>
      <c r="O46" s="18" t="str">
        <f t="shared" si="19"/>
        <v/>
      </c>
      <c r="P46" s="18" t="str">
        <f t="shared" si="19"/>
        <v/>
      </c>
      <c r="Q46" s="18" t="str">
        <f t="shared" si="19"/>
        <v/>
      </c>
      <c r="R46" s="18" t="str">
        <f t="shared" si="19"/>
        <v/>
      </c>
      <c r="S46" s="18" t="str">
        <f t="shared" si="19"/>
        <v/>
      </c>
    </row>
    <row r="47" spans="4:19" x14ac:dyDescent="0.25">
      <c r="D47" s="9"/>
      <c r="E47" s="9"/>
      <c r="F47" s="11"/>
      <c r="G47" s="9"/>
      <c r="H47" s="11"/>
      <c r="I47" s="18"/>
      <c r="J47" s="18" t="str">
        <f t="shared" ref="J47:S47" si="20">IF(I47="","",I47)</f>
        <v/>
      </c>
      <c r="K47" s="18" t="str">
        <f t="shared" si="20"/>
        <v/>
      </c>
      <c r="L47" s="18" t="str">
        <f t="shared" si="20"/>
        <v/>
      </c>
      <c r="M47" s="18" t="str">
        <f t="shared" si="20"/>
        <v/>
      </c>
      <c r="N47" s="18" t="str">
        <f t="shared" si="20"/>
        <v/>
      </c>
      <c r="O47" s="18" t="str">
        <f t="shared" si="20"/>
        <v/>
      </c>
      <c r="P47" s="18" t="str">
        <f t="shared" si="20"/>
        <v/>
      </c>
      <c r="Q47" s="18" t="str">
        <f t="shared" si="20"/>
        <v/>
      </c>
      <c r="R47" s="18" t="str">
        <f t="shared" si="20"/>
        <v/>
      </c>
      <c r="S47" s="18" t="str">
        <f t="shared" si="20"/>
        <v/>
      </c>
    </row>
    <row r="48" spans="4:19" x14ac:dyDescent="0.25">
      <c r="D48" s="9"/>
      <c r="E48" s="9"/>
      <c r="F48" s="11"/>
      <c r="G48" s="9"/>
      <c r="H48" s="11"/>
      <c r="I48" s="18"/>
      <c r="J48" s="18" t="str">
        <f t="shared" ref="J48:S48" si="21">IF(I48="","",I48)</f>
        <v/>
      </c>
      <c r="K48" s="18" t="str">
        <f t="shared" si="21"/>
        <v/>
      </c>
      <c r="L48" s="18" t="str">
        <f t="shared" si="21"/>
        <v/>
      </c>
      <c r="M48" s="18" t="str">
        <f t="shared" si="21"/>
        <v/>
      </c>
      <c r="N48" s="18" t="str">
        <f t="shared" si="21"/>
        <v/>
      </c>
      <c r="O48" s="18" t="str">
        <f t="shared" si="21"/>
        <v/>
      </c>
      <c r="P48" s="18" t="str">
        <f t="shared" si="21"/>
        <v/>
      </c>
      <c r="Q48" s="18" t="str">
        <f t="shared" si="21"/>
        <v/>
      </c>
      <c r="R48" s="18" t="str">
        <f t="shared" si="21"/>
        <v/>
      </c>
      <c r="S48" s="18" t="str">
        <f t="shared" si="21"/>
        <v/>
      </c>
    </row>
    <row r="49" spans="4:19" x14ac:dyDescent="0.25">
      <c r="D49" s="9"/>
      <c r="E49" s="9"/>
      <c r="F49" s="11"/>
      <c r="G49" s="9"/>
      <c r="H49" s="11"/>
      <c r="I49" s="18"/>
      <c r="J49" s="18" t="str">
        <f t="shared" ref="J49:S49" si="22">IF(I49="","",I49)</f>
        <v/>
      </c>
      <c r="K49" s="18" t="str">
        <f t="shared" si="22"/>
        <v/>
      </c>
      <c r="L49" s="18" t="str">
        <f t="shared" si="22"/>
        <v/>
      </c>
      <c r="M49" s="18" t="str">
        <f t="shared" si="22"/>
        <v/>
      </c>
      <c r="N49" s="18" t="str">
        <f t="shared" si="22"/>
        <v/>
      </c>
      <c r="O49" s="18" t="str">
        <f t="shared" si="22"/>
        <v/>
      </c>
      <c r="P49" s="18" t="str">
        <f t="shared" si="22"/>
        <v/>
      </c>
      <c r="Q49" s="18" t="str">
        <f t="shared" si="22"/>
        <v/>
      </c>
      <c r="R49" s="18" t="str">
        <f t="shared" si="22"/>
        <v/>
      </c>
      <c r="S49" s="18" t="str">
        <f t="shared" si="22"/>
        <v/>
      </c>
    </row>
    <row r="50" spans="4:19" ht="15.75" thickBot="1" x14ac:dyDescent="0.3">
      <c r="D50" s="10"/>
      <c r="E50" s="10"/>
      <c r="F50" s="12"/>
      <c r="G50" s="10"/>
      <c r="H50" s="10"/>
      <c r="I50" s="46"/>
      <c r="J50" s="46" t="str">
        <f t="shared" ref="J50:S50" si="23">IF(I50="","",I50)</f>
        <v/>
      </c>
      <c r="K50" s="46" t="str">
        <f t="shared" si="23"/>
        <v/>
      </c>
      <c r="L50" s="46" t="str">
        <f t="shared" si="23"/>
        <v/>
      </c>
      <c r="M50" s="46" t="str">
        <f t="shared" si="23"/>
        <v/>
      </c>
      <c r="N50" s="46" t="str">
        <f t="shared" si="23"/>
        <v/>
      </c>
      <c r="O50" s="46" t="str">
        <f t="shared" si="23"/>
        <v/>
      </c>
      <c r="P50" s="46" t="str">
        <f t="shared" si="23"/>
        <v/>
      </c>
      <c r="Q50" s="46" t="str">
        <f t="shared" si="23"/>
        <v/>
      </c>
      <c r="R50" s="46" t="str">
        <f t="shared" si="23"/>
        <v/>
      </c>
      <c r="S50" s="46" t="str">
        <f t="shared" si="23"/>
        <v/>
      </c>
    </row>
  </sheetData>
  <dataValidations count="4">
    <dataValidation type="list" allowBlank="1" showInputMessage="1" showErrorMessage="1" sqref="G5:G50">
      <formula1>OPEX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E5:E50">
      <formula1>MineProcess</formula1>
    </dataValidation>
    <dataValidation type="list" allowBlank="1" showInputMessage="1" showErrorMessage="1" sqref="D5:D50">
      <formula1>MineName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CC9900"/>
  </sheetPr>
  <dimension ref="B1:S48"/>
  <sheetViews>
    <sheetView zoomScaleNormal="100" workbookViewId="0">
      <selection activeCell="N15" sqref="N15"/>
    </sheetView>
  </sheetViews>
  <sheetFormatPr baseColWidth="10" defaultColWidth="11.5703125" defaultRowHeight="15" x14ac:dyDescent="0.25"/>
  <cols>
    <col min="1" max="3" width="3.85546875" style="5" customWidth="1"/>
    <col min="4" max="9" width="15.85546875" style="5" customWidth="1"/>
    <col min="10" max="20" width="8.85546875" style="5" customWidth="1"/>
    <col min="21" max="16384" width="11.5703125" style="5"/>
  </cols>
  <sheetData>
    <row r="1" spans="2:19" s="3" customFormat="1" ht="24.95" customHeight="1" x14ac:dyDescent="0.25">
      <c r="B1" s="2" t="s">
        <v>21</v>
      </c>
    </row>
    <row r="3" spans="2:19" ht="15.75" thickBot="1" x14ac:dyDescent="0.3">
      <c r="D3" s="38" t="str">
        <f>JESA_UploadTable(B1,D4:S48,db)</f>
        <v>MINING capex @09:45:17</v>
      </c>
    </row>
    <row r="4" spans="2:19" ht="30" customHeight="1" thickBot="1" x14ac:dyDescent="0.3">
      <c r="D4" s="6" t="s">
        <v>30</v>
      </c>
      <c r="E4" s="6" t="s">
        <v>49</v>
      </c>
      <c r="F4" s="4" t="s">
        <v>268</v>
      </c>
      <c r="G4" s="6" t="s">
        <v>12</v>
      </c>
      <c r="H4" s="4" t="s">
        <v>17</v>
      </c>
      <c r="I4" s="21" t="s">
        <v>145</v>
      </c>
      <c r="J4" s="21" t="s">
        <v>71</v>
      </c>
      <c r="K4" s="21" t="s">
        <v>72</v>
      </c>
      <c r="L4" s="21" t="s">
        <v>73</v>
      </c>
      <c r="M4" s="21" t="s">
        <v>74</v>
      </c>
      <c r="N4" s="21" t="s">
        <v>75</v>
      </c>
      <c r="O4" s="21" t="s">
        <v>362</v>
      </c>
      <c r="P4" s="21" t="s">
        <v>76</v>
      </c>
      <c r="Q4" s="21" t="s">
        <v>77</v>
      </c>
      <c r="R4" s="21" t="s">
        <v>78</v>
      </c>
      <c r="S4" s="21" t="s">
        <v>79</v>
      </c>
    </row>
    <row r="5" spans="2:19" ht="15.75" thickBot="1" x14ac:dyDescent="0.3">
      <c r="D5" s="8" t="s">
        <v>3</v>
      </c>
      <c r="E5" s="8" t="s">
        <v>302</v>
      </c>
      <c r="F5" s="13">
        <v>4</v>
      </c>
      <c r="G5" s="8" t="s">
        <v>22</v>
      </c>
      <c r="H5" s="9" t="s">
        <v>375</v>
      </c>
      <c r="I5" s="108">
        <v>58800000</v>
      </c>
      <c r="J5" s="26"/>
      <c r="K5" s="26"/>
      <c r="L5" s="26">
        <v>0.3</v>
      </c>
      <c r="M5" s="26">
        <v>0.3</v>
      </c>
      <c r="N5" s="26">
        <v>0.3</v>
      </c>
      <c r="O5" s="26">
        <v>0.1</v>
      </c>
      <c r="P5" s="26"/>
      <c r="Q5" s="26"/>
      <c r="R5" s="26"/>
      <c r="S5" s="26"/>
    </row>
    <row r="6" spans="2:19" ht="15.75" thickBot="1" x14ac:dyDescent="0.3">
      <c r="D6" s="9" t="s">
        <v>352</v>
      </c>
      <c r="E6" s="9" t="s">
        <v>302</v>
      </c>
      <c r="F6" s="11">
        <v>9</v>
      </c>
      <c r="G6" s="9" t="s">
        <v>22</v>
      </c>
      <c r="H6" s="9" t="s">
        <v>375</v>
      </c>
      <c r="I6" s="109">
        <v>281000000</v>
      </c>
      <c r="J6" s="27"/>
      <c r="K6" s="27"/>
      <c r="L6" s="26">
        <v>0.3</v>
      </c>
      <c r="M6" s="26">
        <v>0.3</v>
      </c>
      <c r="N6" s="26">
        <v>0.3</v>
      </c>
      <c r="O6" s="26">
        <v>0.1</v>
      </c>
      <c r="P6" s="27"/>
      <c r="Q6" s="27"/>
      <c r="R6" s="27"/>
      <c r="S6" s="27"/>
    </row>
    <row r="7" spans="2:19" ht="15.75" thickBot="1" x14ac:dyDescent="0.3">
      <c r="D7" s="9" t="s">
        <v>6</v>
      </c>
      <c r="E7" s="9" t="s">
        <v>302</v>
      </c>
      <c r="F7" s="11">
        <v>4.5</v>
      </c>
      <c r="G7" s="9" t="s">
        <v>22</v>
      </c>
      <c r="H7" s="9" t="s">
        <v>375</v>
      </c>
      <c r="I7" s="109">
        <v>138000000</v>
      </c>
      <c r="J7" s="27"/>
      <c r="K7" s="27"/>
      <c r="L7" s="26">
        <v>0.3</v>
      </c>
      <c r="M7" s="26">
        <v>0.3</v>
      </c>
      <c r="N7" s="26">
        <v>0.3</v>
      </c>
      <c r="O7" s="26">
        <v>0.1</v>
      </c>
      <c r="P7" s="27"/>
      <c r="Q7" s="27"/>
      <c r="R7" s="27"/>
      <c r="S7" s="27"/>
    </row>
    <row r="8" spans="2:19" ht="15.75" thickBot="1" x14ac:dyDescent="0.3">
      <c r="D8" s="9" t="s">
        <v>10</v>
      </c>
      <c r="E8" s="9" t="s">
        <v>302</v>
      </c>
      <c r="F8" s="11">
        <v>5.5</v>
      </c>
      <c r="G8" s="9" t="s">
        <v>22</v>
      </c>
      <c r="H8" s="9" t="s">
        <v>375</v>
      </c>
      <c r="I8" s="109">
        <v>40900000</v>
      </c>
      <c r="J8" s="27"/>
      <c r="K8" s="27"/>
      <c r="L8" s="26">
        <v>0.3</v>
      </c>
      <c r="M8" s="26">
        <v>0.3</v>
      </c>
      <c r="N8" s="26">
        <v>0.3</v>
      </c>
      <c r="O8" s="26">
        <v>0.1</v>
      </c>
      <c r="P8" s="27"/>
      <c r="Q8" s="27"/>
      <c r="R8" s="27"/>
      <c r="S8" s="27"/>
    </row>
    <row r="9" spans="2:19" x14ac:dyDescent="0.25">
      <c r="D9" s="9" t="s">
        <v>354</v>
      </c>
      <c r="E9" s="9" t="s">
        <v>302</v>
      </c>
      <c r="F9" s="11">
        <v>10</v>
      </c>
      <c r="G9" s="9" t="s">
        <v>22</v>
      </c>
      <c r="H9" s="9" t="s">
        <v>375</v>
      </c>
      <c r="I9" s="109">
        <v>232600000</v>
      </c>
      <c r="J9" s="27"/>
      <c r="K9" s="27"/>
      <c r="L9" s="26">
        <v>0.3</v>
      </c>
      <c r="M9" s="26">
        <v>0.3</v>
      </c>
      <c r="N9" s="26">
        <v>0.3</v>
      </c>
      <c r="O9" s="26">
        <v>0.1</v>
      </c>
      <c r="P9" s="27"/>
      <c r="Q9" s="27"/>
      <c r="R9" s="27"/>
      <c r="S9" s="27"/>
    </row>
    <row r="10" spans="2:19" x14ac:dyDescent="0.25">
      <c r="D10" s="9"/>
      <c r="E10" s="9"/>
      <c r="F10" s="11"/>
      <c r="G10" s="9"/>
      <c r="H10" s="9"/>
      <c r="I10" s="109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2:19" x14ac:dyDescent="0.25">
      <c r="D11" s="9"/>
      <c r="E11" s="9"/>
      <c r="F11" s="11"/>
      <c r="G11" s="9"/>
      <c r="H11" s="9"/>
      <c r="I11" s="109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25">
      <c r="D12" s="9"/>
      <c r="E12" s="9"/>
      <c r="F12" s="11"/>
      <c r="G12" s="9"/>
      <c r="H12" s="9"/>
      <c r="I12" s="109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25">
      <c r="D13" s="9"/>
      <c r="E13" s="9"/>
      <c r="F13" s="11"/>
      <c r="G13" s="9"/>
      <c r="H13" s="9"/>
      <c r="I13" s="109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25">
      <c r="D14" s="9"/>
      <c r="E14" s="9"/>
      <c r="F14" s="11"/>
      <c r="G14" s="9"/>
      <c r="H14" s="9"/>
      <c r="I14" s="109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25">
      <c r="D15" s="9"/>
      <c r="E15" s="9"/>
      <c r="F15" s="11"/>
      <c r="G15" s="9"/>
      <c r="H15" s="9"/>
      <c r="I15" s="109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25">
      <c r="D16" s="9"/>
      <c r="E16" s="9"/>
      <c r="F16" s="11"/>
      <c r="G16" s="9"/>
      <c r="H16" s="9"/>
      <c r="I16" s="109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25">
      <c r="D17" s="9"/>
      <c r="E17" s="9"/>
      <c r="F17" s="11"/>
      <c r="G17" s="9"/>
      <c r="H17" s="9"/>
      <c r="I17" s="109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25">
      <c r="D18" s="9"/>
      <c r="E18" s="9"/>
      <c r="F18" s="11"/>
      <c r="G18" s="9"/>
      <c r="H18" s="9"/>
      <c r="I18" s="109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25">
      <c r="D19" s="9"/>
      <c r="E19" s="9"/>
      <c r="F19" s="11"/>
      <c r="G19" s="9"/>
      <c r="H19" s="9"/>
      <c r="I19" s="109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25">
      <c r="D20" s="9"/>
      <c r="E20" s="9"/>
      <c r="F20" s="11"/>
      <c r="G20" s="9"/>
      <c r="H20" s="9"/>
      <c r="I20" s="109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25">
      <c r="D21" s="9"/>
      <c r="E21" s="9"/>
      <c r="F21" s="11"/>
      <c r="G21" s="9"/>
      <c r="H21" s="9"/>
      <c r="I21" s="109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25">
      <c r="D22" s="9"/>
      <c r="E22" s="9"/>
      <c r="F22" s="11"/>
      <c r="G22" s="9"/>
      <c r="H22" s="9"/>
      <c r="I22" s="109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25">
      <c r="D23" s="9"/>
      <c r="E23" s="9"/>
      <c r="F23" s="11"/>
      <c r="G23" s="9"/>
      <c r="H23" s="9"/>
      <c r="I23" s="109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25">
      <c r="D24" s="9"/>
      <c r="E24" s="9"/>
      <c r="F24" s="11"/>
      <c r="G24" s="9"/>
      <c r="H24" s="9"/>
      <c r="I24" s="109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25">
      <c r="D25" s="9"/>
      <c r="E25" s="9"/>
      <c r="F25" s="11"/>
      <c r="G25" s="9"/>
      <c r="H25" s="9"/>
      <c r="I25" s="109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25">
      <c r="D26" s="9"/>
      <c r="E26" s="9"/>
      <c r="F26" s="11"/>
      <c r="G26" s="9"/>
      <c r="H26" s="9"/>
      <c r="I26" s="109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25">
      <c r="D27" s="9"/>
      <c r="E27" s="9"/>
      <c r="F27" s="11"/>
      <c r="G27" s="9"/>
      <c r="H27" s="9"/>
      <c r="I27" s="109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25">
      <c r="D28" s="9"/>
      <c r="E28" s="9"/>
      <c r="F28" s="11"/>
      <c r="G28" s="9"/>
      <c r="H28" s="9"/>
      <c r="I28" s="109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25">
      <c r="D29" s="9"/>
      <c r="E29" s="9"/>
      <c r="F29" s="11"/>
      <c r="G29" s="9"/>
      <c r="H29" s="9"/>
      <c r="I29" s="109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25">
      <c r="D30" s="9"/>
      <c r="E30" s="9"/>
      <c r="F30" s="11"/>
      <c r="G30" s="9"/>
      <c r="H30" s="9"/>
      <c r="I30" s="109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25">
      <c r="D31" s="9"/>
      <c r="E31" s="9"/>
      <c r="F31" s="11"/>
      <c r="G31" s="9"/>
      <c r="H31" s="9"/>
      <c r="I31" s="109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25">
      <c r="D32" s="9"/>
      <c r="E32" s="9"/>
      <c r="F32" s="11"/>
      <c r="G32" s="9"/>
      <c r="H32" s="9"/>
      <c r="I32" s="109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25">
      <c r="D33" s="9"/>
      <c r="E33" s="9"/>
      <c r="F33" s="11"/>
      <c r="G33" s="9"/>
      <c r="H33" s="9"/>
      <c r="I33" s="39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25">
      <c r="D34" s="9"/>
      <c r="E34" s="9"/>
      <c r="F34" s="11"/>
      <c r="G34" s="9"/>
      <c r="H34" s="9"/>
      <c r="I34" s="39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25">
      <c r="D35" s="9"/>
      <c r="E35" s="9"/>
      <c r="F35" s="11"/>
      <c r="G35" s="9"/>
      <c r="H35" s="9"/>
      <c r="I35" s="39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25">
      <c r="D36" s="9"/>
      <c r="E36" s="9"/>
      <c r="F36" s="11"/>
      <c r="G36" s="9"/>
      <c r="H36" s="9"/>
      <c r="I36" s="39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25">
      <c r="D37" s="9"/>
      <c r="E37" s="9"/>
      <c r="F37" s="11"/>
      <c r="G37" s="9"/>
      <c r="H37" s="9"/>
      <c r="I37" s="39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25">
      <c r="D38" s="9"/>
      <c r="E38" s="9"/>
      <c r="F38" s="11"/>
      <c r="G38" s="9"/>
      <c r="H38" s="9"/>
      <c r="I38" s="39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25">
      <c r="D39" s="9"/>
      <c r="E39" s="9"/>
      <c r="F39" s="11"/>
      <c r="G39" s="9"/>
      <c r="H39" s="9"/>
      <c r="I39" s="39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25">
      <c r="D40" s="9"/>
      <c r="E40" s="9"/>
      <c r="F40" s="11"/>
      <c r="G40" s="9"/>
      <c r="H40" s="9"/>
      <c r="I40" s="39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25">
      <c r="D41" s="9"/>
      <c r="E41" s="9"/>
      <c r="F41" s="11"/>
      <c r="G41" s="9"/>
      <c r="H41" s="9"/>
      <c r="I41" s="39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25">
      <c r="D42" s="9"/>
      <c r="E42" s="9"/>
      <c r="F42" s="11"/>
      <c r="G42" s="9"/>
      <c r="H42" s="9"/>
      <c r="I42" s="39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25">
      <c r="D43" s="9"/>
      <c r="E43" s="9"/>
      <c r="F43" s="11"/>
      <c r="G43" s="9"/>
      <c r="H43" s="9"/>
      <c r="I43" s="39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25">
      <c r="D44" s="9"/>
      <c r="E44" s="9"/>
      <c r="F44" s="11"/>
      <c r="G44" s="9"/>
      <c r="H44" s="9"/>
      <c r="I44" s="39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25">
      <c r="D45" s="9"/>
      <c r="E45" s="9"/>
      <c r="F45" s="11"/>
      <c r="G45" s="9"/>
      <c r="H45" s="9"/>
      <c r="I45" s="39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25">
      <c r="D46" s="9"/>
      <c r="E46" s="9"/>
      <c r="F46" s="9"/>
      <c r="G46" s="9"/>
      <c r="H46" s="9"/>
      <c r="I46" s="39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25">
      <c r="D47" s="9"/>
      <c r="E47" s="9"/>
      <c r="F47" s="9"/>
      <c r="G47" s="9"/>
      <c r="H47" s="9"/>
      <c r="I47" s="39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25">
      <c r="D48" s="9"/>
      <c r="E48" s="9"/>
      <c r="F48" s="9"/>
      <c r="G48" s="9"/>
      <c r="H48" s="9"/>
      <c r="I48" s="39"/>
      <c r="J48" s="27"/>
      <c r="K48" s="27"/>
      <c r="L48" s="27"/>
      <c r="M48" s="27"/>
      <c r="N48" s="27"/>
      <c r="O48" s="27"/>
      <c r="P48" s="27"/>
      <c r="Q48" s="27"/>
      <c r="R48" s="27"/>
      <c r="S48" s="27"/>
    </row>
  </sheetData>
  <dataValidations count="3">
    <dataValidation type="list" allowBlank="1" showInputMessage="1" showErrorMessage="1" sqref="H5:H48">
      <formula1>Currency</formula1>
    </dataValidation>
    <dataValidation type="list" allowBlank="1" showInputMessage="1" showErrorMessage="1" sqref="D5:D48">
      <formula1>MineName</formula1>
    </dataValidation>
    <dataValidation type="list" allowBlank="1" showInputMessage="1" showErrorMessage="1" sqref="E5:E48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'MINING &gt;&gt;&gt;'!$J$5:$J$40</xm:f>
          </x14:formula1>
          <xm:sqref>G5:G48</xm:sqref>
        </x14:dataValidation>
        <x14:dataValidation type="list" allowBlank="1" showInputMessage="1" showErrorMessage="1">
          <x14:formula1>
            <xm:f>'MINING options'!$G$9:$G$46</xm:f>
          </x14:formula1>
          <xm:sqref>F5:F45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1"/>
  </sheetPr>
  <dimension ref="B1:S19"/>
  <sheetViews>
    <sheetView zoomScaleNormal="100" workbookViewId="0">
      <selection activeCell="D3" sqref="D3"/>
    </sheetView>
  </sheetViews>
  <sheetFormatPr baseColWidth="10" defaultColWidth="11.5703125" defaultRowHeight="15" x14ac:dyDescent="0.25"/>
  <cols>
    <col min="1" max="3" width="3.85546875" style="5" customWidth="1"/>
    <col min="4" max="12" width="10.85546875" style="5" customWidth="1"/>
    <col min="13" max="19" width="9.85546875" style="5" customWidth="1"/>
    <col min="20" max="20" width="8.85546875" style="5" customWidth="1"/>
    <col min="21" max="16384" width="11.5703125" style="5"/>
  </cols>
  <sheetData>
    <row r="1" spans="2:19" s="62" customFormat="1" ht="24.95" customHeight="1" x14ac:dyDescent="0.25">
      <c r="B1" s="61" t="s">
        <v>358</v>
      </c>
    </row>
    <row r="3" spans="2:19" ht="15.75" thickBot="1" x14ac:dyDescent="0.3">
      <c r="D3" s="38" t="str">
        <f>JESA_UploadTable("mining_wp_connections",D4:L12,db)</f>
        <v>mining_wp_connections @09:45:17</v>
      </c>
    </row>
    <row r="4" spans="2:19" ht="30" customHeight="1" thickBot="1" x14ac:dyDescent="0.3">
      <c r="D4" s="133" t="s">
        <v>359</v>
      </c>
      <c r="E4" s="123" t="s">
        <v>9</v>
      </c>
      <c r="F4" s="124" t="s">
        <v>2</v>
      </c>
      <c r="G4" s="123" t="s">
        <v>3</v>
      </c>
      <c r="H4" s="124" t="s">
        <v>10</v>
      </c>
      <c r="I4" s="125" t="s">
        <v>4</v>
      </c>
      <c r="J4" s="125" t="s">
        <v>6</v>
      </c>
      <c r="K4" s="125" t="s">
        <v>26</v>
      </c>
      <c r="L4" s="125" t="s">
        <v>90</v>
      </c>
      <c r="M4" s="125"/>
      <c r="N4" s="125"/>
      <c r="O4" s="125"/>
      <c r="P4" s="125"/>
      <c r="Q4" s="125"/>
      <c r="R4" s="125"/>
      <c r="S4" s="125"/>
    </row>
    <row r="5" spans="2:19" ht="30" customHeight="1" thickBot="1" x14ac:dyDescent="0.3">
      <c r="D5" s="126" t="s">
        <v>90</v>
      </c>
      <c r="E5" s="127"/>
      <c r="F5" s="127"/>
      <c r="G5" s="127"/>
      <c r="H5" s="127"/>
      <c r="I5" s="127"/>
      <c r="J5" s="128"/>
      <c r="K5" s="128"/>
      <c r="L5" s="128">
        <v>1</v>
      </c>
      <c r="M5" s="128"/>
      <c r="N5" s="128"/>
      <c r="O5" s="128"/>
      <c r="P5" s="128"/>
      <c r="Q5" s="128"/>
      <c r="R5" s="128"/>
      <c r="S5" s="128"/>
    </row>
    <row r="6" spans="2:19" ht="30" customHeight="1" thickBot="1" x14ac:dyDescent="0.3">
      <c r="D6" s="126" t="s">
        <v>26</v>
      </c>
      <c r="E6" s="129"/>
      <c r="F6" s="129"/>
      <c r="G6" s="129"/>
      <c r="H6" s="129"/>
      <c r="I6" s="129"/>
      <c r="J6" s="130"/>
      <c r="K6" s="130">
        <v>1</v>
      </c>
      <c r="L6" s="130"/>
      <c r="M6" s="130"/>
      <c r="N6" s="130"/>
      <c r="O6" s="130"/>
      <c r="P6" s="130"/>
      <c r="Q6" s="130"/>
      <c r="R6" s="130"/>
      <c r="S6" s="130"/>
    </row>
    <row r="7" spans="2:19" ht="30" customHeight="1" thickBot="1" x14ac:dyDescent="0.3">
      <c r="D7" s="126" t="s">
        <v>6</v>
      </c>
      <c r="E7" s="129"/>
      <c r="F7" s="129"/>
      <c r="G7" s="129"/>
      <c r="H7" s="129"/>
      <c r="I7" s="129"/>
      <c r="J7" s="130">
        <v>1</v>
      </c>
      <c r="K7" s="130"/>
      <c r="L7" s="130"/>
      <c r="M7" s="130"/>
      <c r="N7" s="130"/>
      <c r="O7" s="130"/>
      <c r="P7" s="130"/>
      <c r="Q7" s="130"/>
      <c r="R7" s="130"/>
      <c r="S7" s="130"/>
    </row>
    <row r="8" spans="2:19" ht="30" customHeight="1" thickBot="1" x14ac:dyDescent="0.3">
      <c r="D8" s="126" t="s">
        <v>4</v>
      </c>
      <c r="E8" s="129"/>
      <c r="F8" s="129"/>
      <c r="G8" s="129"/>
      <c r="H8" s="129"/>
      <c r="I8" s="129">
        <v>1</v>
      </c>
      <c r="J8" s="130"/>
      <c r="K8" s="130"/>
      <c r="L8" s="130"/>
      <c r="M8" s="130"/>
      <c r="N8" s="130"/>
      <c r="O8" s="130"/>
      <c r="P8" s="130"/>
      <c r="Q8" s="130"/>
      <c r="R8" s="130"/>
      <c r="S8" s="130"/>
    </row>
    <row r="9" spans="2:19" ht="30" customHeight="1" thickBot="1" x14ac:dyDescent="0.3">
      <c r="D9" s="126" t="s">
        <v>10</v>
      </c>
      <c r="E9" s="129">
        <v>1</v>
      </c>
      <c r="F9" s="129"/>
      <c r="G9" s="129"/>
      <c r="H9" s="129">
        <v>1</v>
      </c>
      <c r="I9" s="129"/>
      <c r="J9" s="130"/>
      <c r="K9" s="130"/>
      <c r="L9" s="130"/>
      <c r="M9" s="130"/>
      <c r="N9" s="130"/>
      <c r="O9" s="130"/>
      <c r="P9" s="130"/>
      <c r="Q9" s="130"/>
      <c r="R9" s="130"/>
      <c r="S9" s="130"/>
    </row>
    <row r="10" spans="2:19" ht="30" customHeight="1" thickBot="1" x14ac:dyDescent="0.3">
      <c r="D10" s="126" t="s">
        <v>3</v>
      </c>
      <c r="E10" s="129"/>
      <c r="F10" s="129"/>
      <c r="G10" s="129"/>
      <c r="H10" s="129"/>
      <c r="I10" s="129"/>
      <c r="J10" s="130"/>
      <c r="K10" s="130"/>
      <c r="L10" s="130">
        <v>1</v>
      </c>
      <c r="M10" s="130"/>
      <c r="N10" s="130"/>
      <c r="O10" s="130"/>
      <c r="P10" s="130"/>
      <c r="Q10" s="130"/>
      <c r="R10" s="130"/>
      <c r="S10" s="130"/>
    </row>
    <row r="11" spans="2:19" ht="30" customHeight="1" thickBot="1" x14ac:dyDescent="0.3">
      <c r="D11" s="126" t="s">
        <v>2</v>
      </c>
      <c r="E11" s="129"/>
      <c r="F11" s="129">
        <v>1</v>
      </c>
      <c r="G11" s="129"/>
      <c r="H11" s="129"/>
      <c r="I11" s="129"/>
      <c r="J11" s="130"/>
      <c r="K11" s="130"/>
      <c r="L11" s="130">
        <v>1</v>
      </c>
      <c r="M11" s="130"/>
      <c r="N11" s="130"/>
      <c r="O11" s="130"/>
      <c r="P11" s="130"/>
      <c r="Q11" s="130"/>
      <c r="R11" s="130"/>
      <c r="S11" s="130"/>
    </row>
    <row r="12" spans="2:19" ht="30" customHeight="1" thickBot="1" x14ac:dyDescent="0.3">
      <c r="D12" s="126" t="s">
        <v>9</v>
      </c>
      <c r="E12" s="129">
        <v>1</v>
      </c>
      <c r="F12" s="129"/>
      <c r="G12" s="129"/>
      <c r="H12" s="129"/>
      <c r="I12" s="129"/>
      <c r="J12" s="130"/>
      <c r="K12" s="130"/>
      <c r="L12" s="130"/>
      <c r="M12" s="130"/>
      <c r="N12" s="130"/>
      <c r="O12" s="130"/>
      <c r="P12" s="130"/>
      <c r="Q12" s="130"/>
      <c r="R12" s="130"/>
      <c r="S12" s="130"/>
    </row>
    <row r="13" spans="2:19" ht="30" customHeight="1" thickBot="1" x14ac:dyDescent="0.3">
      <c r="D13" s="126"/>
      <c r="E13" s="129"/>
      <c r="F13" s="129"/>
      <c r="G13" s="129"/>
      <c r="H13" s="129"/>
      <c r="I13" s="129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2:19" ht="30" customHeight="1" thickBot="1" x14ac:dyDescent="0.3">
      <c r="D14" s="126"/>
      <c r="E14" s="129"/>
      <c r="F14" s="129"/>
      <c r="G14" s="129"/>
      <c r="H14" s="129"/>
      <c r="I14" s="129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2:19" ht="30" customHeight="1" thickBot="1" x14ac:dyDescent="0.3">
      <c r="D15" s="126"/>
      <c r="E15" s="129"/>
      <c r="F15" s="129"/>
      <c r="G15" s="129"/>
      <c r="H15" s="129"/>
      <c r="I15" s="129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2:19" ht="30" customHeight="1" thickBot="1" x14ac:dyDescent="0.3">
      <c r="D16" s="126"/>
      <c r="E16" s="129"/>
      <c r="F16" s="129"/>
      <c r="G16" s="129"/>
      <c r="H16" s="129"/>
      <c r="I16" s="129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4:19" ht="30" customHeight="1" thickBot="1" x14ac:dyDescent="0.3">
      <c r="D17" s="126"/>
      <c r="E17" s="129"/>
      <c r="F17" s="129"/>
      <c r="G17" s="129"/>
      <c r="H17" s="129"/>
      <c r="I17" s="129"/>
      <c r="J17" s="130"/>
      <c r="K17" s="130"/>
      <c r="L17" s="130"/>
      <c r="M17" s="130"/>
      <c r="N17" s="130"/>
      <c r="O17" s="130"/>
      <c r="P17" s="130"/>
      <c r="Q17" s="130"/>
      <c r="R17" s="130"/>
      <c r="S17" s="130"/>
    </row>
    <row r="18" spans="4:19" ht="30" customHeight="1" thickBot="1" x14ac:dyDescent="0.3">
      <c r="D18" s="126"/>
      <c r="E18" s="129"/>
      <c r="F18" s="129"/>
      <c r="G18" s="129"/>
      <c r="H18" s="129"/>
      <c r="I18" s="129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4:19" ht="30" customHeight="1" thickBot="1" x14ac:dyDescent="0.3">
      <c r="D19" s="126"/>
      <c r="E19" s="131"/>
      <c r="F19" s="131"/>
      <c r="G19" s="131"/>
      <c r="H19" s="131"/>
      <c r="I19" s="131"/>
      <c r="J19" s="132"/>
      <c r="K19" s="132"/>
      <c r="L19" s="132"/>
      <c r="M19" s="132"/>
      <c r="N19" s="132"/>
      <c r="O19" s="132"/>
      <c r="P19" s="132"/>
      <c r="Q19" s="132"/>
      <c r="R19" s="132"/>
      <c r="S19" s="132"/>
    </row>
  </sheetData>
  <dataValidations count="3">
    <dataValidation type="list" allowBlank="1" showInputMessage="1" showErrorMessage="1" sqref="D5:D19">
      <formula1>Location</formula1>
    </dataValidation>
    <dataValidation type="list" allowBlank="1" showInputMessage="1" showErrorMessage="1" sqref="E4:S4">
      <formula1>Location</formula1>
    </dataValidation>
    <dataValidation type="list" allowBlank="1" showInputMessage="1" showErrorMessage="1" sqref="E5:S19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rgb="FF996633"/>
  </sheetPr>
  <dimension ref="B1:J41"/>
  <sheetViews>
    <sheetView workbookViewId="0">
      <selection activeCell="D4" sqref="D4"/>
    </sheetView>
  </sheetViews>
  <sheetFormatPr baseColWidth="10" defaultColWidth="11.5703125" defaultRowHeight="15" x14ac:dyDescent="0.25"/>
  <cols>
    <col min="1" max="3" width="3.85546875" style="1" customWidth="1"/>
    <col min="4" max="4" width="20.85546875" style="1" customWidth="1"/>
    <col min="5" max="5" width="1.85546875" style="1" customWidth="1"/>
    <col min="6" max="6" width="20.85546875" style="1" customWidth="1"/>
    <col min="7" max="7" width="1.85546875" style="1" customWidth="1"/>
    <col min="8" max="8" width="20.85546875" style="1" customWidth="1"/>
    <col min="9" max="9" width="1.85546875" style="1" customWidth="1"/>
    <col min="10" max="10" width="20.85546875" style="1" customWidth="1"/>
    <col min="11" max="11" width="1.85546875" style="1" customWidth="1"/>
    <col min="12" max="16384" width="11.5703125" style="1"/>
  </cols>
  <sheetData>
    <row r="1" spans="2:10" s="95" customFormat="1" ht="24.95" customHeight="1" x14ac:dyDescent="0.25">
      <c r="B1" s="94" t="s">
        <v>273</v>
      </c>
    </row>
    <row r="3" spans="2:10" ht="15.75" thickBot="1" x14ac:dyDescent="0.3">
      <c r="D3" s="38" t="str">
        <f>JESA_UploadTable(D4,D4:D40,db)</f>
        <v>Beneficiation/Name @09:45:18</v>
      </c>
      <c r="E3" s="38"/>
      <c r="F3" s="38" t="str">
        <f>JESA_UploadTable(F4,F4:F40,db)</f>
        <v>Beneficiation/Process @09:45:17</v>
      </c>
      <c r="G3" s="38"/>
      <c r="H3" s="38" t="str">
        <f>JESA_UploadTable(H4,H4:H40,db)</f>
        <v>Beneficiation/Quality @09:45:17</v>
      </c>
      <c r="I3" s="38"/>
      <c r="J3" s="38" t="str">
        <f>JESA_UploadTable(J4,J4:J40,db)</f>
        <v>Beneficiation/CAPEX @09:45:18</v>
      </c>
    </row>
    <row r="4" spans="2:10" ht="30" customHeight="1" thickBot="1" x14ac:dyDescent="0.3">
      <c r="D4" s="96" t="s">
        <v>274</v>
      </c>
      <c r="E4" s="31"/>
      <c r="F4" s="96" t="s">
        <v>275</v>
      </c>
      <c r="G4" s="31"/>
      <c r="H4" s="96" t="s">
        <v>276</v>
      </c>
      <c r="I4" s="31"/>
      <c r="J4" s="96" t="s">
        <v>277</v>
      </c>
    </row>
    <row r="5" spans="2:10" x14ac:dyDescent="0.25">
      <c r="D5" s="81" t="s">
        <v>296</v>
      </c>
      <c r="F5" s="81" t="s">
        <v>286</v>
      </c>
      <c r="H5" s="81" t="s">
        <v>278</v>
      </c>
      <c r="J5" s="81" t="s">
        <v>22</v>
      </c>
    </row>
    <row r="6" spans="2:10" x14ac:dyDescent="0.25">
      <c r="D6" s="82" t="s">
        <v>285</v>
      </c>
      <c r="F6" s="82" t="s">
        <v>287</v>
      </c>
      <c r="H6" s="82" t="s">
        <v>304</v>
      </c>
      <c r="J6" s="82"/>
    </row>
    <row r="7" spans="2:10" x14ac:dyDescent="0.25">
      <c r="D7" s="82" t="s">
        <v>288</v>
      </c>
      <c r="F7" s="82" t="s">
        <v>289</v>
      </c>
      <c r="H7" s="82" t="s">
        <v>290</v>
      </c>
      <c r="J7" s="82"/>
    </row>
    <row r="8" spans="2:10" x14ac:dyDescent="0.25">
      <c r="D8" s="82" t="s">
        <v>291</v>
      </c>
      <c r="F8" s="82" t="s">
        <v>292</v>
      </c>
      <c r="H8" s="82" t="s">
        <v>303</v>
      </c>
      <c r="J8" s="82"/>
    </row>
    <row r="9" spans="2:10" x14ac:dyDescent="0.25">
      <c r="D9" s="82" t="s">
        <v>293</v>
      </c>
      <c r="F9" s="82" t="s">
        <v>294</v>
      </c>
      <c r="H9" s="82"/>
      <c r="J9" s="82"/>
    </row>
    <row r="10" spans="2:10" x14ac:dyDescent="0.25">
      <c r="D10" s="82" t="s">
        <v>305</v>
      </c>
      <c r="F10" s="82" t="s">
        <v>295</v>
      </c>
      <c r="H10" s="82"/>
      <c r="J10" s="82"/>
    </row>
    <row r="11" spans="2:10" x14ac:dyDescent="0.25">
      <c r="D11" s="82"/>
      <c r="F11" s="82"/>
      <c r="H11" s="82"/>
      <c r="J11" s="82"/>
    </row>
    <row r="12" spans="2:10" x14ac:dyDescent="0.25">
      <c r="D12" s="82"/>
      <c r="F12" s="82"/>
      <c r="H12" s="82"/>
      <c r="J12" s="82"/>
    </row>
    <row r="13" spans="2:10" x14ac:dyDescent="0.25">
      <c r="D13" s="82"/>
      <c r="F13" s="82"/>
      <c r="H13" s="82"/>
      <c r="J13" s="82"/>
    </row>
    <row r="14" spans="2:10" x14ac:dyDescent="0.25">
      <c r="D14" s="82"/>
      <c r="F14" s="82"/>
      <c r="H14" s="82"/>
      <c r="J14" s="82"/>
    </row>
    <row r="15" spans="2:10" x14ac:dyDescent="0.25">
      <c r="D15" s="82"/>
      <c r="F15" s="82"/>
      <c r="H15" s="82"/>
      <c r="J15" s="82"/>
    </row>
    <row r="16" spans="2:10" x14ac:dyDescent="0.25">
      <c r="D16" s="82"/>
      <c r="F16" s="82"/>
      <c r="H16" s="82"/>
      <c r="J16" s="82"/>
    </row>
    <row r="17" spans="4:10" x14ac:dyDescent="0.25">
      <c r="D17" s="82"/>
      <c r="F17" s="82"/>
      <c r="H17" s="82"/>
      <c r="J17" s="82"/>
    </row>
    <row r="18" spans="4:10" x14ac:dyDescent="0.25">
      <c r="D18" s="82"/>
      <c r="F18" s="82"/>
      <c r="H18" s="82"/>
      <c r="J18" s="82"/>
    </row>
    <row r="19" spans="4:10" x14ac:dyDescent="0.25">
      <c r="D19" s="82"/>
      <c r="F19" s="82"/>
      <c r="H19" s="82"/>
      <c r="J19" s="82"/>
    </row>
    <row r="20" spans="4:10" x14ac:dyDescent="0.25">
      <c r="D20" s="82"/>
      <c r="F20" s="82"/>
      <c r="H20" s="82"/>
      <c r="J20" s="82"/>
    </row>
    <row r="21" spans="4:10" x14ac:dyDescent="0.25">
      <c r="D21" s="82"/>
      <c r="F21" s="82"/>
      <c r="H21" s="82"/>
      <c r="J21" s="82"/>
    </row>
    <row r="22" spans="4:10" x14ac:dyDescent="0.25">
      <c r="D22" s="82"/>
      <c r="F22" s="82"/>
      <c r="H22" s="82"/>
      <c r="J22" s="82"/>
    </row>
    <row r="23" spans="4:10" x14ac:dyDescent="0.25">
      <c r="D23" s="82"/>
      <c r="F23" s="82"/>
      <c r="H23" s="82"/>
      <c r="J23" s="82"/>
    </row>
    <row r="24" spans="4:10" x14ac:dyDescent="0.25">
      <c r="D24" s="82"/>
      <c r="F24" s="82"/>
      <c r="H24" s="82"/>
      <c r="J24" s="82"/>
    </row>
    <row r="25" spans="4:10" x14ac:dyDescent="0.25">
      <c r="D25" s="82"/>
      <c r="F25" s="82"/>
      <c r="H25" s="82"/>
      <c r="J25" s="82"/>
    </row>
    <row r="26" spans="4:10" x14ac:dyDescent="0.25">
      <c r="D26" s="82"/>
      <c r="F26" s="82"/>
      <c r="H26" s="82"/>
      <c r="J26" s="82"/>
    </row>
    <row r="27" spans="4:10" x14ac:dyDescent="0.25">
      <c r="D27" s="82"/>
      <c r="F27" s="82"/>
      <c r="H27" s="82"/>
      <c r="J27" s="82"/>
    </row>
    <row r="28" spans="4:10" x14ac:dyDescent="0.25">
      <c r="D28" s="82"/>
      <c r="F28" s="82"/>
      <c r="H28" s="82"/>
      <c r="J28" s="82"/>
    </row>
    <row r="29" spans="4:10" x14ac:dyDescent="0.25">
      <c r="D29" s="82"/>
      <c r="F29" s="82"/>
      <c r="H29" s="82"/>
      <c r="J29" s="82"/>
    </row>
    <row r="30" spans="4:10" x14ac:dyDescent="0.25">
      <c r="D30" s="82"/>
      <c r="F30" s="82"/>
      <c r="H30" s="82"/>
      <c r="J30" s="82"/>
    </row>
    <row r="31" spans="4:10" x14ac:dyDescent="0.25">
      <c r="D31" s="82"/>
      <c r="F31" s="82"/>
      <c r="H31" s="82"/>
      <c r="J31" s="82"/>
    </row>
    <row r="32" spans="4:10" x14ac:dyDescent="0.25">
      <c r="D32" s="82"/>
      <c r="F32" s="82"/>
      <c r="H32" s="82"/>
      <c r="J32" s="82"/>
    </row>
    <row r="33" spans="4:10" x14ac:dyDescent="0.25">
      <c r="D33" s="82"/>
      <c r="F33" s="82"/>
      <c r="H33" s="82"/>
      <c r="J33" s="82"/>
    </row>
    <row r="34" spans="4:10" x14ac:dyDescent="0.25">
      <c r="D34" s="82"/>
      <c r="F34" s="82"/>
      <c r="H34" s="82"/>
      <c r="J34" s="82"/>
    </row>
    <row r="35" spans="4:10" x14ac:dyDescent="0.25">
      <c r="D35" s="82"/>
      <c r="F35" s="82"/>
      <c r="H35" s="82"/>
      <c r="J35" s="82"/>
    </row>
    <row r="36" spans="4:10" x14ac:dyDescent="0.25">
      <c r="D36" s="82"/>
      <c r="F36" s="82"/>
      <c r="H36" s="82"/>
      <c r="J36" s="82"/>
    </row>
    <row r="37" spans="4:10" x14ac:dyDescent="0.25">
      <c r="D37" s="82"/>
      <c r="F37" s="82"/>
      <c r="H37" s="82"/>
      <c r="J37" s="82"/>
    </row>
    <row r="38" spans="4:10" x14ac:dyDescent="0.25">
      <c r="D38" s="82"/>
      <c r="F38" s="82"/>
      <c r="H38" s="82"/>
      <c r="J38" s="82"/>
    </row>
    <row r="39" spans="4:10" x14ac:dyDescent="0.25">
      <c r="D39" s="82"/>
      <c r="F39" s="82"/>
      <c r="H39" s="82"/>
      <c r="J39" s="82"/>
    </row>
    <row r="40" spans="4:10" ht="15.75" thickBot="1" x14ac:dyDescent="0.3">
      <c r="D40" s="83"/>
      <c r="F40" s="83"/>
      <c r="H40" s="83"/>
      <c r="J40" s="83"/>
    </row>
    <row r="41" spans="4:10" x14ac:dyDescent="0.25">
      <c r="D41" s="1" t="s">
        <v>92</v>
      </c>
      <c r="F41" s="1" t="s">
        <v>92</v>
      </c>
      <c r="H41" s="1" t="s">
        <v>92</v>
      </c>
      <c r="J41" s="1" t="s">
        <v>92</v>
      </c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rgb="FF996633"/>
  </sheetPr>
  <dimension ref="B1:L17"/>
  <sheetViews>
    <sheetView zoomScaleNormal="100" workbookViewId="0">
      <selection activeCell="G9" sqref="G9"/>
    </sheetView>
  </sheetViews>
  <sheetFormatPr baseColWidth="10" defaultColWidth="11.5703125" defaultRowHeight="15" x14ac:dyDescent="0.25"/>
  <cols>
    <col min="1" max="3" width="3.85546875" style="5" customWidth="1"/>
    <col min="4" max="4" width="15.85546875" style="5" customWidth="1"/>
    <col min="5" max="5" width="17.42578125" style="5" bestFit="1" customWidth="1"/>
    <col min="6" max="6" width="20.85546875" style="5" customWidth="1"/>
    <col min="7" max="11" width="15.85546875" style="5" customWidth="1"/>
    <col min="12" max="12" width="74.140625" style="5" bestFit="1" customWidth="1"/>
    <col min="13" max="16384" width="11.5703125" style="5"/>
  </cols>
  <sheetData>
    <row r="1" spans="2:12" s="95" customFormat="1" ht="24.95" customHeight="1" x14ac:dyDescent="0.25">
      <c r="B1" s="97" t="s">
        <v>279</v>
      </c>
      <c r="H1" s="98"/>
      <c r="I1" s="98"/>
      <c r="J1" s="98"/>
      <c r="K1" s="98"/>
    </row>
    <row r="3" spans="2:12" ht="15.75" thickBot="1" x14ac:dyDescent="0.3">
      <c r="D3" s="38" t="str">
        <f>JESA_UploadTable(B1,D4:L17,db)</f>
        <v>Beneficiation options @09:45:19</v>
      </c>
    </row>
    <row r="4" spans="2:12" ht="30" customHeight="1" thickBot="1" x14ac:dyDescent="0.3">
      <c r="D4" s="99" t="s">
        <v>8</v>
      </c>
      <c r="E4" s="99" t="s">
        <v>30</v>
      </c>
      <c r="F4" s="100" t="s">
        <v>25</v>
      </c>
      <c r="G4" s="100" t="s">
        <v>268</v>
      </c>
      <c r="H4" s="101" t="s">
        <v>17</v>
      </c>
      <c r="I4" s="101" t="s">
        <v>70</v>
      </c>
      <c r="J4" s="101" t="s">
        <v>144</v>
      </c>
      <c r="K4" s="101" t="s">
        <v>148</v>
      </c>
      <c r="L4" s="99" t="s">
        <v>149</v>
      </c>
    </row>
    <row r="5" spans="2:12" x14ac:dyDescent="0.25">
      <c r="D5" s="8" t="s">
        <v>90</v>
      </c>
      <c r="E5" s="8" t="s">
        <v>296</v>
      </c>
      <c r="F5" s="8" t="s">
        <v>296</v>
      </c>
      <c r="G5" s="17">
        <v>4</v>
      </c>
      <c r="H5" s="13" t="s">
        <v>139</v>
      </c>
      <c r="I5" s="13" t="s">
        <v>36</v>
      </c>
      <c r="J5" s="14">
        <v>2018</v>
      </c>
      <c r="K5" s="14">
        <v>2050</v>
      </c>
      <c r="L5" s="8" t="str">
        <f>IF(D5="","","/WP/"&amp;CONCATENATE(D5,"/",E5,"/",F5,"/",G5,"/",I5,"/",J5,"/",K5))</f>
        <v>/WP/Youssoufia/Youssoufia WP/Youssoufia WP/4/Existing/2018/2050</v>
      </c>
    </row>
    <row r="6" spans="2:12" x14ac:dyDescent="0.25">
      <c r="D6" s="9" t="s">
        <v>9</v>
      </c>
      <c r="E6" s="9" t="s">
        <v>285</v>
      </c>
      <c r="F6" s="110" t="s">
        <v>285</v>
      </c>
      <c r="G6" s="18">
        <v>3</v>
      </c>
      <c r="H6" s="11" t="s">
        <v>139</v>
      </c>
      <c r="I6" s="11" t="s">
        <v>36</v>
      </c>
      <c r="J6" s="15">
        <v>2020</v>
      </c>
      <c r="K6" s="15">
        <v>2050</v>
      </c>
      <c r="L6" s="9" t="str">
        <f t="shared" ref="L6:L17" si="0">IF(D6="","","/WP/"&amp;CONCATENATE(D6,"/",E6,"/",F6,"/",G6,"/",I6,"/",J6,"/",K6))</f>
        <v>/WP/Benguerir/BG WP/BG WP/3/Existing/2020/2050</v>
      </c>
    </row>
    <row r="7" spans="2:12" x14ac:dyDescent="0.25">
      <c r="D7" s="9" t="s">
        <v>9</v>
      </c>
      <c r="E7" s="9" t="s">
        <v>285</v>
      </c>
      <c r="F7" s="110" t="s">
        <v>285</v>
      </c>
      <c r="G7" s="18">
        <v>9</v>
      </c>
      <c r="H7" s="11" t="s">
        <v>139</v>
      </c>
      <c r="I7" s="11" t="s">
        <v>472</v>
      </c>
      <c r="J7" s="15">
        <v>2024</v>
      </c>
      <c r="K7" s="15">
        <v>2050</v>
      </c>
      <c r="L7" s="9" t="str">
        <f t="shared" si="0"/>
        <v>/WP/Benguerir/BG WP/BG WP/9/Extension/2024/2050</v>
      </c>
    </row>
    <row r="8" spans="2:12" x14ac:dyDescent="0.25">
      <c r="D8" s="9" t="s">
        <v>9</v>
      </c>
      <c r="E8" s="9" t="s">
        <v>285</v>
      </c>
      <c r="F8" s="110" t="s">
        <v>285</v>
      </c>
      <c r="G8" s="18">
        <v>14.5</v>
      </c>
      <c r="H8" s="11" t="s">
        <v>139</v>
      </c>
      <c r="I8" s="11" t="s">
        <v>472</v>
      </c>
      <c r="J8" s="15">
        <v>2024</v>
      </c>
      <c r="K8" s="15">
        <v>2050</v>
      </c>
      <c r="L8" s="9" t="str">
        <f t="shared" si="0"/>
        <v>/WP/Benguerir/BG WP/BG WP/14,5/Extension/2024/2050</v>
      </c>
    </row>
    <row r="9" spans="2:12" x14ac:dyDescent="0.25">
      <c r="D9" s="9" t="s">
        <v>6</v>
      </c>
      <c r="E9" s="9" t="s">
        <v>293</v>
      </c>
      <c r="F9" s="9" t="s">
        <v>293</v>
      </c>
      <c r="G9" s="18">
        <v>4.5</v>
      </c>
      <c r="H9" s="11" t="s">
        <v>139</v>
      </c>
      <c r="I9" s="9" t="s">
        <v>146</v>
      </c>
      <c r="J9" s="9">
        <v>2024</v>
      </c>
      <c r="K9" s="9">
        <v>2050</v>
      </c>
      <c r="L9" s="9" t="str">
        <f t="shared" si="0"/>
        <v>/WP/Louta/Louta WP/Louta WP/4,5/New/2024/2050</v>
      </c>
    </row>
    <row r="10" spans="2:12" x14ac:dyDescent="0.25">
      <c r="D10" s="9" t="s">
        <v>4</v>
      </c>
      <c r="E10" s="9" t="s">
        <v>291</v>
      </c>
      <c r="F10" s="9" t="s">
        <v>291</v>
      </c>
      <c r="G10" s="18">
        <v>10</v>
      </c>
      <c r="H10" s="11" t="s">
        <v>139</v>
      </c>
      <c r="I10" s="11" t="s">
        <v>146</v>
      </c>
      <c r="J10" s="15">
        <v>2024</v>
      </c>
      <c r="K10" s="15">
        <v>2050</v>
      </c>
      <c r="L10" s="9" t="str">
        <f t="shared" si="0"/>
        <v>/WP/Tassaout/Tassaout WP/Tassaout WP/10/New/2024/2050</v>
      </c>
    </row>
    <row r="11" spans="2:12" x14ac:dyDescent="0.25">
      <c r="D11" s="9"/>
      <c r="E11" s="9"/>
      <c r="F11" s="9"/>
      <c r="G11" s="18"/>
      <c r="H11" s="11"/>
      <c r="I11" s="11"/>
      <c r="J11" s="15"/>
      <c r="K11" s="15"/>
      <c r="L11" s="9" t="str">
        <f t="shared" si="0"/>
        <v/>
      </c>
    </row>
    <row r="12" spans="2:12" x14ac:dyDescent="0.25">
      <c r="D12" s="9"/>
      <c r="E12" s="9"/>
      <c r="F12" s="9"/>
      <c r="G12" s="18"/>
      <c r="H12" s="11"/>
      <c r="I12" s="11"/>
      <c r="J12" s="15"/>
      <c r="K12" s="15"/>
      <c r="L12" s="9" t="str">
        <f t="shared" si="0"/>
        <v/>
      </c>
    </row>
    <row r="13" spans="2:12" x14ac:dyDescent="0.25">
      <c r="D13" s="9"/>
      <c r="E13" s="9"/>
      <c r="F13" s="9"/>
      <c r="G13" s="18"/>
      <c r="H13" s="11"/>
      <c r="I13" s="11"/>
      <c r="J13" s="15"/>
      <c r="K13" s="15"/>
      <c r="L13" s="9" t="str">
        <f t="shared" si="0"/>
        <v/>
      </c>
    </row>
    <row r="14" spans="2:12" x14ac:dyDescent="0.25">
      <c r="D14" s="9"/>
      <c r="E14" s="9"/>
      <c r="F14" s="9"/>
      <c r="G14" s="18"/>
      <c r="H14" s="11"/>
      <c r="I14" s="11"/>
      <c r="J14" s="15"/>
      <c r="K14" s="15"/>
      <c r="L14" s="9" t="str">
        <f t="shared" si="0"/>
        <v/>
      </c>
    </row>
    <row r="15" spans="2:12" x14ac:dyDescent="0.25">
      <c r="D15" s="9"/>
      <c r="E15" s="9"/>
      <c r="F15" s="9"/>
      <c r="G15" s="18"/>
      <c r="H15" s="11"/>
      <c r="I15" s="11"/>
      <c r="J15" s="15"/>
      <c r="K15" s="15"/>
      <c r="L15" s="9" t="str">
        <f t="shared" si="0"/>
        <v/>
      </c>
    </row>
    <row r="16" spans="2:12" x14ac:dyDescent="0.25">
      <c r="D16" s="9"/>
      <c r="E16" s="9"/>
      <c r="F16" s="9"/>
      <c r="G16" s="18"/>
      <c r="H16" s="11"/>
      <c r="I16" s="11"/>
      <c r="J16" s="15"/>
      <c r="K16" s="15"/>
      <c r="L16" s="9" t="str">
        <f t="shared" si="0"/>
        <v/>
      </c>
    </row>
    <row r="17" spans="4:12" ht="15.75" thickBot="1" x14ac:dyDescent="0.3">
      <c r="D17" s="10"/>
      <c r="E17" s="10"/>
      <c r="F17" s="10"/>
      <c r="G17" s="46"/>
      <c r="H17" s="12"/>
      <c r="I17" s="12"/>
      <c r="J17" s="16"/>
      <c r="K17" s="16"/>
      <c r="L17" s="10" t="str">
        <f t="shared" si="0"/>
        <v/>
      </c>
    </row>
  </sheetData>
  <dataValidations count="7">
    <dataValidation type="list" allowBlank="1" showInputMessage="1" showErrorMessage="1" sqref="E5 E9:E17">
      <formula1>BeneficiationNames</formula1>
    </dataValidation>
    <dataValidation type="list" allowBlank="1" showInputMessage="1" showErrorMessage="1" sqref="F5 F9:F17">
      <formula1>BeneficiationProcess</formula1>
    </dataValidation>
    <dataValidation type="list" allowBlank="1" showInputMessage="1" showErrorMessage="1" sqref="F6:F8">
      <formula1>WPProcess</formula1>
    </dataValidation>
    <dataValidation type="list" allowBlank="1" showInputMessage="1" showErrorMessage="1" sqref="E6:E8">
      <formula1>WPName</formula1>
    </dataValidation>
    <dataValidation type="list" allowBlank="1" showInputMessage="1" showErrorMessage="1" sqref="D5:D17">
      <formula1>Location</formula1>
    </dataValidation>
    <dataValidation type="list" allowBlank="1" showInputMessage="1" showErrorMessage="1" sqref="H5:H17">
      <formula1>Unit</formula1>
    </dataValidation>
    <dataValidation type="list" allowBlank="1" showInputMessage="1" showErrorMessage="1" sqref="I5:I17">
      <formula1>"New,Extension,Existing"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rgb="FF996633"/>
  </sheetPr>
  <dimension ref="B1:S51"/>
  <sheetViews>
    <sheetView zoomScaleNormal="100" workbookViewId="0">
      <selection activeCell="F26" sqref="F26"/>
    </sheetView>
  </sheetViews>
  <sheetFormatPr baseColWidth="10" defaultColWidth="11.5703125" defaultRowHeight="15" x14ac:dyDescent="0.25"/>
  <cols>
    <col min="1" max="3" width="3.85546875" style="5" customWidth="1"/>
    <col min="4" max="4" width="20.85546875" style="5" customWidth="1"/>
    <col min="5" max="6" width="15.85546875" style="5" customWidth="1"/>
    <col min="7" max="7" width="10.5703125" style="5" customWidth="1"/>
    <col min="8" max="18" width="8.85546875" style="5" customWidth="1"/>
    <col min="19" max="16384" width="11.5703125" style="5"/>
  </cols>
  <sheetData>
    <row r="1" spans="2:19" s="95" customFormat="1" ht="24.95" customHeight="1" x14ac:dyDescent="0.25">
      <c r="B1" s="97" t="s">
        <v>280</v>
      </c>
    </row>
    <row r="2" spans="2:19" x14ac:dyDescent="0.25">
      <c r="G2" s="103"/>
    </row>
    <row r="3" spans="2:19" ht="15.75" thickBot="1" x14ac:dyDescent="0.3">
      <c r="D3" s="38" t="str">
        <f>JESA_UploadTable(B1,D4:S50,db)</f>
        <v>Beneficiation production @09:45:19</v>
      </c>
    </row>
    <row r="4" spans="2:19" ht="30" customHeight="1" thickBot="1" x14ac:dyDescent="0.3">
      <c r="D4" s="100" t="s">
        <v>25</v>
      </c>
      <c r="E4" s="100" t="s">
        <v>281</v>
      </c>
      <c r="F4" s="99" t="s">
        <v>282</v>
      </c>
      <c r="G4" s="99" t="s">
        <v>297</v>
      </c>
      <c r="H4" s="99" t="s">
        <v>17</v>
      </c>
      <c r="I4" s="112" t="s">
        <v>37</v>
      </c>
      <c r="J4" s="112" t="s">
        <v>38</v>
      </c>
      <c r="K4" s="112" t="s">
        <v>39</v>
      </c>
      <c r="L4" s="112" t="s">
        <v>40</v>
      </c>
      <c r="M4" s="112" t="s">
        <v>41</v>
      </c>
      <c r="N4" s="112" t="s">
        <v>42</v>
      </c>
      <c r="O4" s="112" t="s">
        <v>43</v>
      </c>
      <c r="P4" s="112" t="s">
        <v>44</v>
      </c>
      <c r="Q4" s="112" t="s">
        <v>45</v>
      </c>
      <c r="R4" s="112" t="s">
        <v>46</v>
      </c>
      <c r="S4" s="112" t="s">
        <v>47</v>
      </c>
    </row>
    <row r="5" spans="2:19" x14ac:dyDescent="0.25">
      <c r="D5" s="8" t="s">
        <v>296</v>
      </c>
      <c r="E5" s="8" t="s">
        <v>20</v>
      </c>
      <c r="F5" s="8" t="s">
        <v>290</v>
      </c>
      <c r="G5" s="8" t="s">
        <v>298</v>
      </c>
      <c r="H5" s="8" t="s">
        <v>147</v>
      </c>
      <c r="I5" s="113">
        <v>0</v>
      </c>
      <c r="J5" s="17">
        <f>IF(I5="","",I5)</f>
        <v>0</v>
      </c>
      <c r="K5" s="17">
        <f t="shared" ref="K5:S5" si="0">IF(J5="","",J5)</f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  <c r="R5" s="17">
        <f t="shared" si="0"/>
        <v>0</v>
      </c>
      <c r="S5" s="17">
        <f t="shared" si="0"/>
        <v>0</v>
      </c>
    </row>
    <row r="6" spans="2:19" x14ac:dyDescent="0.25">
      <c r="D6" s="9" t="s">
        <v>296</v>
      </c>
      <c r="E6" s="9" t="s">
        <v>19</v>
      </c>
      <c r="F6" s="9" t="s">
        <v>290</v>
      </c>
      <c r="G6" s="9" t="s">
        <v>298</v>
      </c>
      <c r="H6" s="9" t="s">
        <v>147</v>
      </c>
      <c r="I6" s="111">
        <v>0</v>
      </c>
      <c r="J6" s="18">
        <f t="shared" ref="J6:S6" si="1">IF(I6="","",I6)</f>
        <v>0</v>
      </c>
      <c r="K6" s="18">
        <f t="shared" si="1"/>
        <v>0</v>
      </c>
      <c r="L6" s="18">
        <f t="shared" si="1"/>
        <v>0</v>
      </c>
      <c r="M6" s="18">
        <f t="shared" si="1"/>
        <v>0</v>
      </c>
      <c r="N6" s="18">
        <f t="shared" si="1"/>
        <v>0</v>
      </c>
      <c r="O6" s="18">
        <f t="shared" si="1"/>
        <v>0</v>
      </c>
      <c r="P6" s="18">
        <f t="shared" si="1"/>
        <v>0</v>
      </c>
      <c r="Q6" s="18">
        <f t="shared" si="1"/>
        <v>0</v>
      </c>
      <c r="R6" s="18">
        <f t="shared" si="1"/>
        <v>0</v>
      </c>
      <c r="S6" s="18">
        <f t="shared" si="1"/>
        <v>0</v>
      </c>
    </row>
    <row r="7" spans="2:19" x14ac:dyDescent="0.25">
      <c r="D7" s="9" t="s">
        <v>296</v>
      </c>
      <c r="E7" s="9" t="s">
        <v>18</v>
      </c>
      <c r="F7" s="9" t="s">
        <v>290</v>
      </c>
      <c r="G7" s="9" t="s">
        <v>298</v>
      </c>
      <c r="H7" s="9" t="s">
        <v>147</v>
      </c>
      <c r="I7" s="111">
        <v>0</v>
      </c>
      <c r="J7" s="18">
        <f t="shared" ref="J7:S7" si="2">IF(I7="","",I7)</f>
        <v>0</v>
      </c>
      <c r="K7" s="18">
        <f t="shared" si="2"/>
        <v>0</v>
      </c>
      <c r="L7" s="18">
        <f t="shared" si="2"/>
        <v>0</v>
      </c>
      <c r="M7" s="18">
        <f t="shared" si="2"/>
        <v>0</v>
      </c>
      <c r="N7" s="18">
        <f t="shared" si="2"/>
        <v>0</v>
      </c>
      <c r="O7" s="18">
        <f t="shared" si="2"/>
        <v>0</v>
      </c>
      <c r="P7" s="18">
        <f t="shared" si="2"/>
        <v>0</v>
      </c>
      <c r="Q7" s="18">
        <f t="shared" si="2"/>
        <v>0</v>
      </c>
      <c r="R7" s="18">
        <f t="shared" si="2"/>
        <v>0</v>
      </c>
      <c r="S7" s="18">
        <f t="shared" si="2"/>
        <v>0</v>
      </c>
    </row>
    <row r="8" spans="2:19" x14ac:dyDescent="0.25">
      <c r="D8" s="9" t="s">
        <v>296</v>
      </c>
      <c r="E8" s="9" t="s">
        <v>303</v>
      </c>
      <c r="F8" s="9" t="s">
        <v>290</v>
      </c>
      <c r="G8" s="9" t="s">
        <v>298</v>
      </c>
      <c r="H8" s="9" t="s">
        <v>147</v>
      </c>
      <c r="I8" s="111">
        <v>1</v>
      </c>
      <c r="J8" s="18">
        <f t="shared" ref="J8:S8" si="3">IF(I8="","",I8)</f>
        <v>1</v>
      </c>
      <c r="K8" s="18">
        <f t="shared" si="3"/>
        <v>1</v>
      </c>
      <c r="L8" s="18">
        <f t="shared" si="3"/>
        <v>1</v>
      </c>
      <c r="M8" s="18">
        <f t="shared" si="3"/>
        <v>1</v>
      </c>
      <c r="N8" s="18">
        <f t="shared" si="3"/>
        <v>1</v>
      </c>
      <c r="O8" s="18">
        <f t="shared" si="3"/>
        <v>1</v>
      </c>
      <c r="P8" s="18">
        <f t="shared" si="3"/>
        <v>1</v>
      </c>
      <c r="Q8" s="18">
        <f t="shared" si="3"/>
        <v>1</v>
      </c>
      <c r="R8" s="18">
        <f t="shared" si="3"/>
        <v>1</v>
      </c>
      <c r="S8" s="18">
        <f t="shared" si="3"/>
        <v>1</v>
      </c>
    </row>
    <row r="9" spans="2:19" x14ac:dyDescent="0.25">
      <c r="D9" s="9" t="s">
        <v>285</v>
      </c>
      <c r="E9" s="9" t="s">
        <v>20</v>
      </c>
      <c r="F9" s="9" t="s">
        <v>290</v>
      </c>
      <c r="G9" s="9" t="s">
        <v>298</v>
      </c>
      <c r="H9" s="9" t="s">
        <v>147</v>
      </c>
      <c r="I9" s="111">
        <v>0</v>
      </c>
      <c r="J9" s="18">
        <f t="shared" ref="J9:S9" si="4">IF(I9="","",I9)</f>
        <v>0</v>
      </c>
      <c r="K9" s="18">
        <f t="shared" si="4"/>
        <v>0</v>
      </c>
      <c r="L9" s="18">
        <f t="shared" si="4"/>
        <v>0</v>
      </c>
      <c r="M9" s="18">
        <f t="shared" si="4"/>
        <v>0</v>
      </c>
      <c r="N9" s="18">
        <f t="shared" si="4"/>
        <v>0</v>
      </c>
      <c r="O9" s="18">
        <f t="shared" si="4"/>
        <v>0</v>
      </c>
      <c r="P9" s="18">
        <f t="shared" si="4"/>
        <v>0</v>
      </c>
      <c r="Q9" s="18">
        <f t="shared" si="4"/>
        <v>0</v>
      </c>
      <c r="R9" s="18">
        <f t="shared" si="4"/>
        <v>0</v>
      </c>
      <c r="S9" s="18">
        <f t="shared" si="4"/>
        <v>0</v>
      </c>
    </row>
    <row r="10" spans="2:19" x14ac:dyDescent="0.25">
      <c r="D10" s="9" t="s">
        <v>285</v>
      </c>
      <c r="E10" s="9" t="s">
        <v>19</v>
      </c>
      <c r="F10" s="9" t="s">
        <v>290</v>
      </c>
      <c r="G10" s="9" t="s">
        <v>298</v>
      </c>
      <c r="H10" s="9" t="s">
        <v>147</v>
      </c>
      <c r="I10" s="111">
        <v>0</v>
      </c>
      <c r="J10" s="18">
        <f t="shared" ref="J10:S10" si="5">IF(I10="","",I10)</f>
        <v>0</v>
      </c>
      <c r="K10" s="18">
        <f t="shared" si="5"/>
        <v>0</v>
      </c>
      <c r="L10" s="18">
        <f t="shared" si="5"/>
        <v>0</v>
      </c>
      <c r="M10" s="18">
        <f t="shared" si="5"/>
        <v>0</v>
      </c>
      <c r="N10" s="18">
        <f t="shared" si="5"/>
        <v>0</v>
      </c>
      <c r="O10" s="18">
        <f t="shared" si="5"/>
        <v>0</v>
      </c>
      <c r="P10" s="18">
        <f t="shared" si="5"/>
        <v>0</v>
      </c>
      <c r="Q10" s="18">
        <f t="shared" si="5"/>
        <v>0</v>
      </c>
      <c r="R10" s="18">
        <f t="shared" si="5"/>
        <v>0</v>
      </c>
      <c r="S10" s="18">
        <f t="shared" si="5"/>
        <v>0</v>
      </c>
    </row>
    <row r="11" spans="2:19" x14ac:dyDescent="0.25">
      <c r="D11" s="9" t="s">
        <v>285</v>
      </c>
      <c r="E11" s="9" t="s">
        <v>18</v>
      </c>
      <c r="F11" s="9" t="s">
        <v>290</v>
      </c>
      <c r="G11" s="9" t="s">
        <v>298</v>
      </c>
      <c r="H11" s="9" t="s">
        <v>147</v>
      </c>
      <c r="I11" s="111">
        <v>0</v>
      </c>
      <c r="J11" s="18">
        <f t="shared" ref="J11:S11" si="6">IF(I11="","",I11)</f>
        <v>0</v>
      </c>
      <c r="K11" s="18">
        <f t="shared" si="6"/>
        <v>0</v>
      </c>
      <c r="L11" s="18">
        <f t="shared" si="6"/>
        <v>0</v>
      </c>
      <c r="M11" s="18">
        <f t="shared" si="6"/>
        <v>0</v>
      </c>
      <c r="N11" s="18">
        <f t="shared" si="6"/>
        <v>0</v>
      </c>
      <c r="O11" s="18">
        <f t="shared" si="6"/>
        <v>0</v>
      </c>
      <c r="P11" s="18">
        <f t="shared" si="6"/>
        <v>0</v>
      </c>
      <c r="Q11" s="18">
        <f t="shared" si="6"/>
        <v>0</v>
      </c>
      <c r="R11" s="18">
        <f t="shared" si="6"/>
        <v>0</v>
      </c>
      <c r="S11" s="18">
        <f t="shared" si="6"/>
        <v>0</v>
      </c>
    </row>
    <row r="12" spans="2:19" x14ac:dyDescent="0.25">
      <c r="D12" s="9" t="s">
        <v>285</v>
      </c>
      <c r="E12" s="9" t="s">
        <v>303</v>
      </c>
      <c r="F12" s="9" t="s">
        <v>290</v>
      </c>
      <c r="G12" s="9" t="s">
        <v>298</v>
      </c>
      <c r="H12" s="9" t="s">
        <v>147</v>
      </c>
      <c r="I12" s="111">
        <v>1</v>
      </c>
      <c r="J12" s="18">
        <f t="shared" ref="J12:S12" si="7">IF(I12="","",I12)</f>
        <v>1</v>
      </c>
      <c r="K12" s="18">
        <f t="shared" si="7"/>
        <v>1</v>
      </c>
      <c r="L12" s="18">
        <f t="shared" si="7"/>
        <v>1</v>
      </c>
      <c r="M12" s="18">
        <f t="shared" si="7"/>
        <v>1</v>
      </c>
      <c r="N12" s="18">
        <f t="shared" si="7"/>
        <v>1</v>
      </c>
      <c r="O12" s="18">
        <f t="shared" si="7"/>
        <v>1</v>
      </c>
      <c r="P12" s="18">
        <f t="shared" si="7"/>
        <v>1</v>
      </c>
      <c r="Q12" s="18">
        <f t="shared" si="7"/>
        <v>1</v>
      </c>
      <c r="R12" s="18">
        <f t="shared" si="7"/>
        <v>1</v>
      </c>
      <c r="S12" s="18">
        <f t="shared" si="7"/>
        <v>1</v>
      </c>
    </row>
    <row r="13" spans="2:19" x14ac:dyDescent="0.25">
      <c r="D13" s="9" t="s">
        <v>288</v>
      </c>
      <c r="E13" s="9" t="s">
        <v>20</v>
      </c>
      <c r="F13" s="9" t="s">
        <v>290</v>
      </c>
      <c r="G13" s="9" t="s">
        <v>298</v>
      </c>
      <c r="H13" s="9" t="s">
        <v>147</v>
      </c>
      <c r="I13" s="111">
        <v>0</v>
      </c>
      <c r="J13" s="18">
        <f t="shared" ref="J13:S13" si="8">IF(I13="","",I13)</f>
        <v>0</v>
      </c>
      <c r="K13" s="18">
        <f t="shared" si="8"/>
        <v>0</v>
      </c>
      <c r="L13" s="18">
        <f t="shared" si="8"/>
        <v>0</v>
      </c>
      <c r="M13" s="18">
        <f t="shared" si="8"/>
        <v>0</v>
      </c>
      <c r="N13" s="18">
        <f t="shared" si="8"/>
        <v>0</v>
      </c>
      <c r="O13" s="18">
        <f t="shared" si="8"/>
        <v>0</v>
      </c>
      <c r="P13" s="18">
        <f t="shared" si="8"/>
        <v>0</v>
      </c>
      <c r="Q13" s="18">
        <f t="shared" si="8"/>
        <v>0</v>
      </c>
      <c r="R13" s="18">
        <f t="shared" si="8"/>
        <v>0</v>
      </c>
      <c r="S13" s="18">
        <f t="shared" si="8"/>
        <v>0</v>
      </c>
    </row>
    <row r="14" spans="2:19" x14ac:dyDescent="0.25">
      <c r="D14" s="9" t="s">
        <v>288</v>
      </c>
      <c r="E14" s="9" t="s">
        <v>19</v>
      </c>
      <c r="F14" s="9" t="s">
        <v>290</v>
      </c>
      <c r="G14" s="9" t="s">
        <v>298</v>
      </c>
      <c r="H14" s="9" t="s">
        <v>147</v>
      </c>
      <c r="I14" s="111">
        <v>0</v>
      </c>
      <c r="J14" s="18">
        <f t="shared" ref="J14:S14" si="9">IF(I14="","",I14)</f>
        <v>0</v>
      </c>
      <c r="K14" s="18">
        <f t="shared" si="9"/>
        <v>0</v>
      </c>
      <c r="L14" s="18">
        <f t="shared" si="9"/>
        <v>0</v>
      </c>
      <c r="M14" s="18">
        <f t="shared" si="9"/>
        <v>0</v>
      </c>
      <c r="N14" s="18">
        <f t="shared" si="9"/>
        <v>0</v>
      </c>
      <c r="O14" s="18">
        <f t="shared" si="9"/>
        <v>0</v>
      </c>
      <c r="P14" s="18">
        <f t="shared" si="9"/>
        <v>0</v>
      </c>
      <c r="Q14" s="18">
        <f t="shared" si="9"/>
        <v>0</v>
      </c>
      <c r="R14" s="18">
        <f t="shared" si="9"/>
        <v>0</v>
      </c>
      <c r="S14" s="18">
        <f t="shared" si="9"/>
        <v>0</v>
      </c>
    </row>
    <row r="15" spans="2:19" x14ac:dyDescent="0.25">
      <c r="D15" s="9" t="s">
        <v>288</v>
      </c>
      <c r="E15" s="9" t="s">
        <v>18</v>
      </c>
      <c r="F15" s="9" t="s">
        <v>290</v>
      </c>
      <c r="G15" s="9" t="s">
        <v>298</v>
      </c>
      <c r="H15" s="9" t="s">
        <v>147</v>
      </c>
      <c r="I15" s="111">
        <v>0</v>
      </c>
      <c r="J15" s="18">
        <f t="shared" ref="J15:S15" si="10">IF(I15="","",I15)</f>
        <v>0</v>
      </c>
      <c r="K15" s="18">
        <f t="shared" si="10"/>
        <v>0</v>
      </c>
      <c r="L15" s="18">
        <f t="shared" si="10"/>
        <v>0</v>
      </c>
      <c r="M15" s="18">
        <f t="shared" si="10"/>
        <v>0</v>
      </c>
      <c r="N15" s="18">
        <f t="shared" si="10"/>
        <v>0</v>
      </c>
      <c r="O15" s="18">
        <f t="shared" si="10"/>
        <v>0</v>
      </c>
      <c r="P15" s="18">
        <f t="shared" si="10"/>
        <v>0</v>
      </c>
      <c r="Q15" s="18">
        <f t="shared" si="10"/>
        <v>0</v>
      </c>
      <c r="R15" s="18">
        <f t="shared" si="10"/>
        <v>0</v>
      </c>
      <c r="S15" s="18">
        <f t="shared" si="10"/>
        <v>0</v>
      </c>
    </row>
    <row r="16" spans="2:19" x14ac:dyDescent="0.25">
      <c r="D16" s="9" t="s">
        <v>288</v>
      </c>
      <c r="E16" s="9" t="s">
        <v>303</v>
      </c>
      <c r="F16" s="9" t="s">
        <v>290</v>
      </c>
      <c r="G16" s="9" t="s">
        <v>298</v>
      </c>
      <c r="H16" s="9" t="s">
        <v>147</v>
      </c>
      <c r="I16" s="111">
        <v>1</v>
      </c>
      <c r="J16" s="18">
        <f t="shared" ref="J16:S16" si="11">IF(I16="","",I16)</f>
        <v>1</v>
      </c>
      <c r="K16" s="18">
        <f t="shared" si="11"/>
        <v>1</v>
      </c>
      <c r="L16" s="18">
        <f t="shared" si="11"/>
        <v>1</v>
      </c>
      <c r="M16" s="18">
        <f t="shared" si="11"/>
        <v>1</v>
      </c>
      <c r="N16" s="18">
        <f t="shared" si="11"/>
        <v>1</v>
      </c>
      <c r="O16" s="18">
        <f t="shared" si="11"/>
        <v>1</v>
      </c>
      <c r="P16" s="18">
        <f t="shared" si="11"/>
        <v>1</v>
      </c>
      <c r="Q16" s="18">
        <f t="shared" si="11"/>
        <v>1</v>
      </c>
      <c r="R16" s="18">
        <f t="shared" si="11"/>
        <v>1</v>
      </c>
      <c r="S16" s="18">
        <f t="shared" si="11"/>
        <v>1</v>
      </c>
    </row>
    <row r="17" spans="4:19" x14ac:dyDescent="0.25">
      <c r="D17" s="9" t="s">
        <v>291</v>
      </c>
      <c r="E17" s="9" t="s">
        <v>20</v>
      </c>
      <c r="F17" s="9" t="s">
        <v>290</v>
      </c>
      <c r="G17" s="9" t="s">
        <v>298</v>
      </c>
      <c r="H17" s="9" t="s">
        <v>147</v>
      </c>
      <c r="I17" s="111">
        <v>0</v>
      </c>
      <c r="J17" s="18">
        <f t="shared" ref="J17:S17" si="12">IF(I17="","",I17)</f>
        <v>0</v>
      </c>
      <c r="K17" s="18">
        <f t="shared" si="12"/>
        <v>0</v>
      </c>
      <c r="L17" s="18">
        <f t="shared" si="12"/>
        <v>0</v>
      </c>
      <c r="M17" s="18">
        <f t="shared" si="12"/>
        <v>0</v>
      </c>
      <c r="N17" s="18">
        <f t="shared" si="12"/>
        <v>0</v>
      </c>
      <c r="O17" s="18">
        <f t="shared" si="12"/>
        <v>0</v>
      </c>
      <c r="P17" s="18">
        <f t="shared" si="12"/>
        <v>0</v>
      </c>
      <c r="Q17" s="18">
        <f t="shared" si="12"/>
        <v>0</v>
      </c>
      <c r="R17" s="18">
        <f t="shared" si="12"/>
        <v>0</v>
      </c>
      <c r="S17" s="18">
        <f t="shared" si="12"/>
        <v>0</v>
      </c>
    </row>
    <row r="18" spans="4:19" x14ac:dyDescent="0.25">
      <c r="D18" s="9" t="s">
        <v>291</v>
      </c>
      <c r="E18" s="9" t="s">
        <v>19</v>
      </c>
      <c r="F18" s="9" t="s">
        <v>290</v>
      </c>
      <c r="G18" s="9" t="s">
        <v>298</v>
      </c>
      <c r="H18" s="9" t="s">
        <v>147</v>
      </c>
      <c r="I18" s="111">
        <v>0</v>
      </c>
      <c r="J18" s="18">
        <f t="shared" ref="J18:S18" si="13">IF(I18="","",I18)</f>
        <v>0</v>
      </c>
      <c r="K18" s="18">
        <f t="shared" si="13"/>
        <v>0</v>
      </c>
      <c r="L18" s="18">
        <f t="shared" si="13"/>
        <v>0</v>
      </c>
      <c r="M18" s="18">
        <f t="shared" si="13"/>
        <v>0</v>
      </c>
      <c r="N18" s="18">
        <f t="shared" si="13"/>
        <v>0</v>
      </c>
      <c r="O18" s="18">
        <f t="shared" si="13"/>
        <v>0</v>
      </c>
      <c r="P18" s="18">
        <f t="shared" si="13"/>
        <v>0</v>
      </c>
      <c r="Q18" s="18">
        <f t="shared" si="13"/>
        <v>0</v>
      </c>
      <c r="R18" s="18">
        <f t="shared" si="13"/>
        <v>0</v>
      </c>
      <c r="S18" s="18">
        <f t="shared" si="13"/>
        <v>0</v>
      </c>
    </row>
    <row r="19" spans="4:19" x14ac:dyDescent="0.25">
      <c r="D19" s="9" t="s">
        <v>291</v>
      </c>
      <c r="E19" s="9" t="s">
        <v>18</v>
      </c>
      <c r="F19" s="9" t="s">
        <v>290</v>
      </c>
      <c r="G19" s="9" t="s">
        <v>298</v>
      </c>
      <c r="H19" s="9" t="s">
        <v>147</v>
      </c>
      <c r="I19" s="111">
        <v>0</v>
      </c>
      <c r="J19" s="18">
        <f t="shared" ref="J19:S19" si="14">IF(I19="","",I19)</f>
        <v>0</v>
      </c>
      <c r="K19" s="18">
        <f t="shared" si="14"/>
        <v>0</v>
      </c>
      <c r="L19" s="18">
        <f t="shared" si="14"/>
        <v>0</v>
      </c>
      <c r="M19" s="18">
        <f t="shared" si="14"/>
        <v>0</v>
      </c>
      <c r="N19" s="18">
        <f t="shared" si="14"/>
        <v>0</v>
      </c>
      <c r="O19" s="18">
        <f t="shared" si="14"/>
        <v>0</v>
      </c>
      <c r="P19" s="18">
        <f t="shared" si="14"/>
        <v>0</v>
      </c>
      <c r="Q19" s="18">
        <f t="shared" si="14"/>
        <v>0</v>
      </c>
      <c r="R19" s="18">
        <f t="shared" si="14"/>
        <v>0</v>
      </c>
      <c r="S19" s="18">
        <f t="shared" si="14"/>
        <v>0</v>
      </c>
    </row>
    <row r="20" spans="4:19" x14ac:dyDescent="0.25">
      <c r="D20" s="9" t="s">
        <v>291</v>
      </c>
      <c r="E20" s="9" t="s">
        <v>303</v>
      </c>
      <c r="F20" s="9" t="s">
        <v>290</v>
      </c>
      <c r="G20" s="9" t="s">
        <v>298</v>
      </c>
      <c r="H20" s="9" t="s">
        <v>147</v>
      </c>
      <c r="I20" s="111">
        <v>1</v>
      </c>
      <c r="J20" s="18">
        <f t="shared" ref="J20:S20" si="15">IF(I20="","",I20)</f>
        <v>1</v>
      </c>
      <c r="K20" s="18">
        <f t="shared" si="15"/>
        <v>1</v>
      </c>
      <c r="L20" s="18">
        <f t="shared" si="15"/>
        <v>1</v>
      </c>
      <c r="M20" s="18">
        <f t="shared" si="15"/>
        <v>1</v>
      </c>
      <c r="N20" s="18">
        <f t="shared" si="15"/>
        <v>1</v>
      </c>
      <c r="O20" s="18">
        <f t="shared" si="15"/>
        <v>1</v>
      </c>
      <c r="P20" s="18">
        <f t="shared" si="15"/>
        <v>1</v>
      </c>
      <c r="Q20" s="18">
        <f t="shared" si="15"/>
        <v>1</v>
      </c>
      <c r="R20" s="18">
        <f t="shared" si="15"/>
        <v>1</v>
      </c>
      <c r="S20" s="18">
        <f t="shared" si="15"/>
        <v>1</v>
      </c>
    </row>
    <row r="21" spans="4:19" x14ac:dyDescent="0.25">
      <c r="D21" s="9" t="s">
        <v>293</v>
      </c>
      <c r="E21" s="9" t="s">
        <v>20</v>
      </c>
      <c r="F21" s="9" t="s">
        <v>290</v>
      </c>
      <c r="G21" s="9" t="s">
        <v>298</v>
      </c>
      <c r="H21" s="9" t="s">
        <v>147</v>
      </c>
      <c r="I21" s="111">
        <v>0</v>
      </c>
      <c r="J21" s="18">
        <f t="shared" ref="J21:S21" si="16">IF(I21="","",I21)</f>
        <v>0</v>
      </c>
      <c r="K21" s="18">
        <f t="shared" si="16"/>
        <v>0</v>
      </c>
      <c r="L21" s="18">
        <f t="shared" si="16"/>
        <v>0</v>
      </c>
      <c r="M21" s="18">
        <f t="shared" si="16"/>
        <v>0</v>
      </c>
      <c r="N21" s="18">
        <f t="shared" si="16"/>
        <v>0</v>
      </c>
      <c r="O21" s="18">
        <f t="shared" si="16"/>
        <v>0</v>
      </c>
      <c r="P21" s="18">
        <f t="shared" si="16"/>
        <v>0</v>
      </c>
      <c r="Q21" s="18">
        <f t="shared" si="16"/>
        <v>0</v>
      </c>
      <c r="R21" s="18">
        <f t="shared" si="16"/>
        <v>0</v>
      </c>
      <c r="S21" s="18">
        <f t="shared" si="16"/>
        <v>0</v>
      </c>
    </row>
    <row r="22" spans="4:19" x14ac:dyDescent="0.25">
      <c r="D22" s="9" t="s">
        <v>293</v>
      </c>
      <c r="E22" s="9" t="s">
        <v>19</v>
      </c>
      <c r="F22" s="9" t="s">
        <v>290</v>
      </c>
      <c r="G22" s="9" t="s">
        <v>298</v>
      </c>
      <c r="H22" s="9" t="s">
        <v>147</v>
      </c>
      <c r="I22" s="111">
        <v>0</v>
      </c>
      <c r="J22" s="18">
        <f t="shared" ref="J22:S22" si="17">IF(I22="","",I22)</f>
        <v>0</v>
      </c>
      <c r="K22" s="18">
        <f t="shared" si="17"/>
        <v>0</v>
      </c>
      <c r="L22" s="18">
        <f t="shared" si="17"/>
        <v>0</v>
      </c>
      <c r="M22" s="18">
        <f t="shared" si="17"/>
        <v>0</v>
      </c>
      <c r="N22" s="18">
        <f t="shared" si="17"/>
        <v>0</v>
      </c>
      <c r="O22" s="18">
        <f t="shared" si="17"/>
        <v>0</v>
      </c>
      <c r="P22" s="18">
        <f t="shared" si="17"/>
        <v>0</v>
      </c>
      <c r="Q22" s="18">
        <f t="shared" si="17"/>
        <v>0</v>
      </c>
      <c r="R22" s="18">
        <f t="shared" si="17"/>
        <v>0</v>
      </c>
      <c r="S22" s="18">
        <f t="shared" si="17"/>
        <v>0</v>
      </c>
    </row>
    <row r="23" spans="4:19" x14ac:dyDescent="0.25">
      <c r="D23" s="9" t="s">
        <v>293</v>
      </c>
      <c r="E23" s="9" t="s">
        <v>18</v>
      </c>
      <c r="F23" s="9" t="s">
        <v>290</v>
      </c>
      <c r="G23" s="9" t="s">
        <v>298</v>
      </c>
      <c r="H23" s="9" t="s">
        <v>147</v>
      </c>
      <c r="I23" s="111">
        <v>0</v>
      </c>
      <c r="J23" s="18">
        <f t="shared" ref="J23:S23" si="18">IF(I23="","",I23)</f>
        <v>0</v>
      </c>
      <c r="K23" s="18">
        <f t="shared" si="18"/>
        <v>0</v>
      </c>
      <c r="L23" s="18">
        <f t="shared" si="18"/>
        <v>0</v>
      </c>
      <c r="M23" s="18">
        <f t="shared" si="18"/>
        <v>0</v>
      </c>
      <c r="N23" s="18">
        <f t="shared" si="18"/>
        <v>0</v>
      </c>
      <c r="O23" s="18">
        <f t="shared" si="18"/>
        <v>0</v>
      </c>
      <c r="P23" s="18">
        <f t="shared" si="18"/>
        <v>0</v>
      </c>
      <c r="Q23" s="18">
        <f t="shared" si="18"/>
        <v>0</v>
      </c>
      <c r="R23" s="18">
        <f t="shared" si="18"/>
        <v>0</v>
      </c>
      <c r="S23" s="18">
        <f t="shared" si="18"/>
        <v>0</v>
      </c>
    </row>
    <row r="24" spans="4:19" x14ac:dyDescent="0.25">
      <c r="D24" s="9" t="s">
        <v>293</v>
      </c>
      <c r="E24" s="9" t="s">
        <v>303</v>
      </c>
      <c r="F24" s="9" t="s">
        <v>290</v>
      </c>
      <c r="G24" s="9" t="s">
        <v>298</v>
      </c>
      <c r="H24" s="9" t="s">
        <v>147</v>
      </c>
      <c r="I24" s="111">
        <v>1</v>
      </c>
      <c r="J24" s="18">
        <f t="shared" ref="J24:S24" si="19">IF(I24="","",I24)</f>
        <v>1</v>
      </c>
      <c r="K24" s="18">
        <f t="shared" si="19"/>
        <v>1</v>
      </c>
      <c r="L24" s="18">
        <f t="shared" si="19"/>
        <v>1</v>
      </c>
      <c r="M24" s="18">
        <f t="shared" si="19"/>
        <v>1</v>
      </c>
      <c r="N24" s="18">
        <f t="shared" si="19"/>
        <v>1</v>
      </c>
      <c r="O24" s="18">
        <f t="shared" si="19"/>
        <v>1</v>
      </c>
      <c r="P24" s="18">
        <f t="shared" si="19"/>
        <v>1</v>
      </c>
      <c r="Q24" s="18">
        <f t="shared" si="19"/>
        <v>1</v>
      </c>
      <c r="R24" s="18">
        <f t="shared" si="19"/>
        <v>1</v>
      </c>
      <c r="S24" s="18">
        <f t="shared" si="19"/>
        <v>1</v>
      </c>
    </row>
    <row r="25" spans="4:19" x14ac:dyDescent="0.25">
      <c r="D25" s="9"/>
      <c r="E25" s="9"/>
      <c r="F25" s="9"/>
      <c r="G25" s="9"/>
      <c r="H25" s="9"/>
      <c r="I25" s="18"/>
      <c r="J25" s="18" t="str">
        <f t="shared" ref="J25:S25" si="20">IF(I25="","",I25)</f>
        <v/>
      </c>
      <c r="K25" s="18" t="str">
        <f t="shared" si="20"/>
        <v/>
      </c>
      <c r="L25" s="18" t="str">
        <f t="shared" si="20"/>
        <v/>
      </c>
      <c r="M25" s="18" t="str">
        <f t="shared" si="20"/>
        <v/>
      </c>
      <c r="N25" s="18" t="str">
        <f t="shared" si="20"/>
        <v/>
      </c>
      <c r="O25" s="18" t="str">
        <f t="shared" si="20"/>
        <v/>
      </c>
      <c r="P25" s="18" t="str">
        <f t="shared" si="20"/>
        <v/>
      </c>
      <c r="Q25" s="18" t="str">
        <f t="shared" si="20"/>
        <v/>
      </c>
      <c r="R25" s="18" t="str">
        <f t="shared" si="20"/>
        <v/>
      </c>
      <c r="S25" s="18" t="str">
        <f t="shared" si="20"/>
        <v/>
      </c>
    </row>
    <row r="26" spans="4:19" x14ac:dyDescent="0.25">
      <c r="D26" s="9"/>
      <c r="E26" s="9"/>
      <c r="F26" s="9"/>
      <c r="G26" s="9"/>
      <c r="H26" s="9"/>
      <c r="I26" s="18"/>
      <c r="J26" s="18" t="str">
        <f t="shared" ref="J26:S26" si="21">IF(I26="","",I26)</f>
        <v/>
      </c>
      <c r="K26" s="18" t="str">
        <f t="shared" si="21"/>
        <v/>
      </c>
      <c r="L26" s="18" t="str">
        <f t="shared" si="21"/>
        <v/>
      </c>
      <c r="M26" s="18" t="str">
        <f t="shared" si="21"/>
        <v/>
      </c>
      <c r="N26" s="18" t="str">
        <f t="shared" si="21"/>
        <v/>
      </c>
      <c r="O26" s="18" t="str">
        <f t="shared" si="21"/>
        <v/>
      </c>
      <c r="P26" s="18" t="str">
        <f t="shared" si="21"/>
        <v/>
      </c>
      <c r="Q26" s="18" t="str">
        <f t="shared" si="21"/>
        <v/>
      </c>
      <c r="R26" s="18" t="str">
        <f t="shared" si="21"/>
        <v/>
      </c>
      <c r="S26" s="18" t="str">
        <f t="shared" si="21"/>
        <v/>
      </c>
    </row>
    <row r="27" spans="4:19" x14ac:dyDescent="0.25">
      <c r="D27" s="9"/>
      <c r="E27" s="9"/>
      <c r="F27" s="9"/>
      <c r="G27" s="9"/>
      <c r="H27" s="9"/>
      <c r="I27" s="18"/>
      <c r="J27" s="18" t="str">
        <f t="shared" ref="J27:S27" si="22">IF(I27="","",I27)</f>
        <v/>
      </c>
      <c r="K27" s="18" t="str">
        <f t="shared" si="22"/>
        <v/>
      </c>
      <c r="L27" s="18" t="str">
        <f t="shared" si="22"/>
        <v/>
      </c>
      <c r="M27" s="18" t="str">
        <f t="shared" si="22"/>
        <v/>
      </c>
      <c r="N27" s="18" t="str">
        <f t="shared" si="22"/>
        <v/>
      </c>
      <c r="O27" s="18" t="str">
        <f t="shared" si="22"/>
        <v/>
      </c>
      <c r="P27" s="18" t="str">
        <f t="shared" si="22"/>
        <v/>
      </c>
      <c r="Q27" s="18" t="str">
        <f t="shared" si="22"/>
        <v/>
      </c>
      <c r="R27" s="18" t="str">
        <f t="shared" si="22"/>
        <v/>
      </c>
      <c r="S27" s="18" t="str">
        <f t="shared" si="22"/>
        <v/>
      </c>
    </row>
    <row r="28" spans="4:19" x14ac:dyDescent="0.25">
      <c r="D28" s="9"/>
      <c r="E28" s="9"/>
      <c r="F28" s="9"/>
      <c r="G28" s="9"/>
      <c r="H28" s="9"/>
      <c r="I28" s="18"/>
      <c r="J28" s="18" t="str">
        <f t="shared" ref="J28:S28" si="23">IF(I28="","",I28)</f>
        <v/>
      </c>
      <c r="K28" s="18" t="str">
        <f t="shared" si="23"/>
        <v/>
      </c>
      <c r="L28" s="18" t="str">
        <f t="shared" si="23"/>
        <v/>
      </c>
      <c r="M28" s="18" t="str">
        <f t="shared" si="23"/>
        <v/>
      </c>
      <c r="N28" s="18" t="str">
        <f t="shared" si="23"/>
        <v/>
      </c>
      <c r="O28" s="18" t="str">
        <f t="shared" si="23"/>
        <v/>
      </c>
      <c r="P28" s="18" t="str">
        <f t="shared" si="23"/>
        <v/>
      </c>
      <c r="Q28" s="18" t="str">
        <f t="shared" si="23"/>
        <v/>
      </c>
      <c r="R28" s="18" t="str">
        <f t="shared" si="23"/>
        <v/>
      </c>
      <c r="S28" s="18" t="str">
        <f t="shared" si="23"/>
        <v/>
      </c>
    </row>
    <row r="29" spans="4:19" x14ac:dyDescent="0.25">
      <c r="D29" s="9"/>
      <c r="E29" s="9"/>
      <c r="F29" s="9"/>
      <c r="G29" s="9"/>
      <c r="H29" s="9"/>
      <c r="I29" s="18"/>
      <c r="J29" s="18" t="str">
        <f t="shared" ref="J29:S29" si="24">IF(I29="","",I29)</f>
        <v/>
      </c>
      <c r="K29" s="18" t="str">
        <f t="shared" si="24"/>
        <v/>
      </c>
      <c r="L29" s="18" t="str">
        <f t="shared" si="24"/>
        <v/>
      </c>
      <c r="M29" s="18" t="str">
        <f t="shared" si="24"/>
        <v/>
      </c>
      <c r="N29" s="18" t="str">
        <f t="shared" si="24"/>
        <v/>
      </c>
      <c r="O29" s="18" t="str">
        <f t="shared" si="24"/>
        <v/>
      </c>
      <c r="P29" s="18" t="str">
        <f t="shared" si="24"/>
        <v/>
      </c>
      <c r="Q29" s="18" t="str">
        <f t="shared" si="24"/>
        <v/>
      </c>
      <c r="R29" s="18" t="str">
        <f t="shared" si="24"/>
        <v/>
      </c>
      <c r="S29" s="18" t="str">
        <f t="shared" si="24"/>
        <v/>
      </c>
    </row>
    <row r="30" spans="4:19" x14ac:dyDescent="0.25">
      <c r="D30" s="9"/>
      <c r="E30" s="9"/>
      <c r="F30" s="9"/>
      <c r="G30" s="9"/>
      <c r="H30" s="9"/>
      <c r="I30" s="18"/>
      <c r="J30" s="18" t="str">
        <f t="shared" ref="J30:S30" si="25">IF(I30="","",I30)</f>
        <v/>
      </c>
      <c r="K30" s="18" t="str">
        <f t="shared" si="25"/>
        <v/>
      </c>
      <c r="L30" s="18" t="str">
        <f t="shared" si="25"/>
        <v/>
      </c>
      <c r="M30" s="18" t="str">
        <f t="shared" si="25"/>
        <v/>
      </c>
      <c r="N30" s="18" t="str">
        <f t="shared" si="25"/>
        <v/>
      </c>
      <c r="O30" s="18" t="str">
        <f t="shared" si="25"/>
        <v/>
      </c>
      <c r="P30" s="18" t="str">
        <f t="shared" si="25"/>
        <v/>
      </c>
      <c r="Q30" s="18" t="str">
        <f t="shared" si="25"/>
        <v/>
      </c>
      <c r="R30" s="18" t="str">
        <f t="shared" si="25"/>
        <v/>
      </c>
      <c r="S30" s="18" t="str">
        <f t="shared" si="25"/>
        <v/>
      </c>
    </row>
    <row r="31" spans="4:19" x14ac:dyDescent="0.25">
      <c r="D31" s="9"/>
      <c r="E31" s="9"/>
      <c r="F31" s="9"/>
      <c r="G31" s="9"/>
      <c r="H31" s="9"/>
      <c r="I31" s="18"/>
      <c r="J31" s="18" t="str">
        <f t="shared" ref="J31:S31" si="26">IF(I31="","",I31)</f>
        <v/>
      </c>
      <c r="K31" s="18" t="str">
        <f t="shared" si="26"/>
        <v/>
      </c>
      <c r="L31" s="18" t="str">
        <f t="shared" si="26"/>
        <v/>
      </c>
      <c r="M31" s="18" t="str">
        <f t="shared" si="26"/>
        <v/>
      </c>
      <c r="N31" s="18" t="str">
        <f t="shared" si="26"/>
        <v/>
      </c>
      <c r="O31" s="18" t="str">
        <f t="shared" si="26"/>
        <v/>
      </c>
      <c r="P31" s="18" t="str">
        <f t="shared" si="26"/>
        <v/>
      </c>
      <c r="Q31" s="18" t="str">
        <f t="shared" si="26"/>
        <v/>
      </c>
      <c r="R31" s="18" t="str">
        <f t="shared" si="26"/>
        <v/>
      </c>
      <c r="S31" s="18" t="str">
        <f t="shared" si="26"/>
        <v/>
      </c>
    </row>
    <row r="32" spans="4:19" x14ac:dyDescent="0.25">
      <c r="D32" s="9"/>
      <c r="E32" s="9"/>
      <c r="F32" s="9"/>
      <c r="G32" s="9"/>
      <c r="H32" s="9"/>
      <c r="I32" s="18"/>
      <c r="J32" s="18" t="str">
        <f t="shared" ref="J32:S32" si="27">IF(I32="","",I32)</f>
        <v/>
      </c>
      <c r="K32" s="18" t="str">
        <f t="shared" si="27"/>
        <v/>
      </c>
      <c r="L32" s="18" t="str">
        <f t="shared" si="27"/>
        <v/>
      </c>
      <c r="M32" s="18" t="str">
        <f t="shared" si="27"/>
        <v/>
      </c>
      <c r="N32" s="18" t="str">
        <f t="shared" si="27"/>
        <v/>
      </c>
      <c r="O32" s="18" t="str">
        <f t="shared" si="27"/>
        <v/>
      </c>
      <c r="P32" s="18" t="str">
        <f t="shared" si="27"/>
        <v/>
      </c>
      <c r="Q32" s="18" t="str">
        <f t="shared" si="27"/>
        <v/>
      </c>
      <c r="R32" s="18" t="str">
        <f t="shared" si="27"/>
        <v/>
      </c>
      <c r="S32" s="18" t="str">
        <f t="shared" si="27"/>
        <v/>
      </c>
    </row>
    <row r="33" spans="4:19" x14ac:dyDescent="0.25">
      <c r="D33" s="9"/>
      <c r="E33" s="9"/>
      <c r="F33" s="9"/>
      <c r="G33" s="9"/>
      <c r="H33" s="9"/>
      <c r="I33" s="18"/>
      <c r="J33" s="18" t="str">
        <f t="shared" ref="J33:S33" si="28">IF(I33="","",I33)</f>
        <v/>
      </c>
      <c r="K33" s="18" t="str">
        <f t="shared" si="28"/>
        <v/>
      </c>
      <c r="L33" s="18" t="str">
        <f t="shared" si="28"/>
        <v/>
      </c>
      <c r="M33" s="18" t="str">
        <f t="shared" si="28"/>
        <v/>
      </c>
      <c r="N33" s="18" t="str">
        <f t="shared" si="28"/>
        <v/>
      </c>
      <c r="O33" s="18" t="str">
        <f t="shared" si="28"/>
        <v/>
      </c>
      <c r="P33" s="18" t="str">
        <f t="shared" si="28"/>
        <v/>
      </c>
      <c r="Q33" s="18" t="str">
        <f t="shared" si="28"/>
        <v/>
      </c>
      <c r="R33" s="18" t="str">
        <f t="shared" si="28"/>
        <v/>
      </c>
      <c r="S33" s="18" t="str">
        <f t="shared" si="28"/>
        <v/>
      </c>
    </row>
    <row r="34" spans="4:19" x14ac:dyDescent="0.25">
      <c r="D34" s="9"/>
      <c r="E34" s="9"/>
      <c r="F34" s="9"/>
      <c r="G34" s="9"/>
      <c r="H34" s="9"/>
      <c r="I34" s="18"/>
      <c r="J34" s="18" t="str">
        <f t="shared" ref="J34:S34" si="29">IF(I34="","",I34)</f>
        <v/>
      </c>
      <c r="K34" s="18" t="str">
        <f t="shared" si="29"/>
        <v/>
      </c>
      <c r="L34" s="18" t="str">
        <f t="shared" si="29"/>
        <v/>
      </c>
      <c r="M34" s="18" t="str">
        <f t="shared" si="29"/>
        <v/>
      </c>
      <c r="N34" s="18" t="str">
        <f t="shared" si="29"/>
        <v/>
      </c>
      <c r="O34" s="18" t="str">
        <f t="shared" si="29"/>
        <v/>
      </c>
      <c r="P34" s="18" t="str">
        <f t="shared" si="29"/>
        <v/>
      </c>
      <c r="Q34" s="18" t="str">
        <f t="shared" si="29"/>
        <v/>
      </c>
      <c r="R34" s="18" t="str">
        <f t="shared" si="29"/>
        <v/>
      </c>
      <c r="S34" s="18" t="str">
        <f t="shared" si="29"/>
        <v/>
      </c>
    </row>
    <row r="35" spans="4:19" x14ac:dyDescent="0.25">
      <c r="D35" s="9"/>
      <c r="E35" s="9"/>
      <c r="F35" s="9"/>
      <c r="G35" s="9"/>
      <c r="H35" s="9"/>
      <c r="I35" s="18"/>
      <c r="J35" s="18" t="str">
        <f t="shared" ref="J35:S35" si="30">IF(I35="","",I35)</f>
        <v/>
      </c>
      <c r="K35" s="18" t="str">
        <f t="shared" si="30"/>
        <v/>
      </c>
      <c r="L35" s="18" t="str">
        <f t="shared" si="30"/>
        <v/>
      </c>
      <c r="M35" s="18" t="str">
        <f t="shared" si="30"/>
        <v/>
      </c>
      <c r="N35" s="18" t="str">
        <f t="shared" si="30"/>
        <v/>
      </c>
      <c r="O35" s="18" t="str">
        <f t="shared" si="30"/>
        <v/>
      </c>
      <c r="P35" s="18" t="str">
        <f t="shared" si="30"/>
        <v/>
      </c>
      <c r="Q35" s="18" t="str">
        <f t="shared" si="30"/>
        <v/>
      </c>
      <c r="R35" s="18" t="str">
        <f t="shared" si="30"/>
        <v/>
      </c>
      <c r="S35" s="18" t="str">
        <f t="shared" si="30"/>
        <v/>
      </c>
    </row>
    <row r="36" spans="4:19" x14ac:dyDescent="0.25">
      <c r="D36" s="9"/>
      <c r="E36" s="9"/>
      <c r="F36" s="9"/>
      <c r="G36" s="9"/>
      <c r="H36" s="9"/>
      <c r="I36" s="18"/>
      <c r="J36" s="18" t="str">
        <f t="shared" ref="J36:S36" si="31">IF(I36="","",I36)</f>
        <v/>
      </c>
      <c r="K36" s="18" t="str">
        <f t="shared" si="31"/>
        <v/>
      </c>
      <c r="L36" s="18" t="str">
        <f t="shared" si="31"/>
        <v/>
      </c>
      <c r="M36" s="18" t="str">
        <f t="shared" si="31"/>
        <v/>
      </c>
      <c r="N36" s="18" t="str">
        <f t="shared" si="31"/>
        <v/>
      </c>
      <c r="O36" s="18" t="str">
        <f t="shared" si="31"/>
        <v/>
      </c>
      <c r="P36" s="18" t="str">
        <f t="shared" si="31"/>
        <v/>
      </c>
      <c r="Q36" s="18" t="str">
        <f t="shared" si="31"/>
        <v/>
      </c>
      <c r="R36" s="18" t="str">
        <f t="shared" si="31"/>
        <v/>
      </c>
      <c r="S36" s="18" t="str">
        <f t="shared" si="31"/>
        <v/>
      </c>
    </row>
    <row r="37" spans="4:19" x14ac:dyDescent="0.25">
      <c r="D37" s="9"/>
      <c r="E37" s="9"/>
      <c r="F37" s="9"/>
      <c r="G37" s="9"/>
      <c r="H37" s="9"/>
      <c r="I37" s="18"/>
      <c r="J37" s="18" t="str">
        <f t="shared" ref="J37:S37" si="32">IF(I37="","",I37)</f>
        <v/>
      </c>
      <c r="K37" s="18" t="str">
        <f t="shared" si="32"/>
        <v/>
      </c>
      <c r="L37" s="18" t="str">
        <f t="shared" si="32"/>
        <v/>
      </c>
      <c r="M37" s="18" t="str">
        <f t="shared" si="32"/>
        <v/>
      </c>
      <c r="N37" s="18" t="str">
        <f t="shared" si="32"/>
        <v/>
      </c>
      <c r="O37" s="18" t="str">
        <f t="shared" si="32"/>
        <v/>
      </c>
      <c r="P37" s="18" t="str">
        <f t="shared" si="32"/>
        <v/>
      </c>
      <c r="Q37" s="18" t="str">
        <f t="shared" si="32"/>
        <v/>
      </c>
      <c r="R37" s="18" t="str">
        <f t="shared" si="32"/>
        <v/>
      </c>
      <c r="S37" s="18" t="str">
        <f t="shared" si="32"/>
        <v/>
      </c>
    </row>
    <row r="38" spans="4:19" x14ac:dyDescent="0.25">
      <c r="D38" s="9"/>
      <c r="E38" s="9"/>
      <c r="F38" s="9"/>
      <c r="G38" s="9"/>
      <c r="H38" s="9"/>
      <c r="I38" s="18"/>
      <c r="J38" s="18" t="str">
        <f t="shared" ref="J38:S38" si="33">IF(I38="","",I38)</f>
        <v/>
      </c>
      <c r="K38" s="18" t="str">
        <f t="shared" si="33"/>
        <v/>
      </c>
      <c r="L38" s="18" t="str">
        <f t="shared" si="33"/>
        <v/>
      </c>
      <c r="M38" s="18" t="str">
        <f t="shared" si="33"/>
        <v/>
      </c>
      <c r="N38" s="18" t="str">
        <f t="shared" si="33"/>
        <v/>
      </c>
      <c r="O38" s="18" t="str">
        <f t="shared" si="33"/>
        <v/>
      </c>
      <c r="P38" s="18" t="str">
        <f t="shared" si="33"/>
        <v/>
      </c>
      <c r="Q38" s="18" t="str">
        <f t="shared" si="33"/>
        <v/>
      </c>
      <c r="R38" s="18" t="str">
        <f t="shared" si="33"/>
        <v/>
      </c>
      <c r="S38" s="18" t="str">
        <f t="shared" si="33"/>
        <v/>
      </c>
    </row>
    <row r="39" spans="4:19" x14ac:dyDescent="0.25">
      <c r="D39" s="9"/>
      <c r="E39" s="9"/>
      <c r="F39" s="9"/>
      <c r="G39" s="9"/>
      <c r="H39" s="9"/>
      <c r="I39" s="18"/>
      <c r="J39" s="18" t="str">
        <f t="shared" ref="J39:S39" si="34">IF(I39="","",I39)</f>
        <v/>
      </c>
      <c r="K39" s="18" t="str">
        <f t="shared" si="34"/>
        <v/>
      </c>
      <c r="L39" s="18" t="str">
        <f t="shared" si="34"/>
        <v/>
      </c>
      <c r="M39" s="18" t="str">
        <f t="shared" si="34"/>
        <v/>
      </c>
      <c r="N39" s="18" t="str">
        <f t="shared" si="34"/>
        <v/>
      </c>
      <c r="O39" s="18" t="str">
        <f t="shared" si="34"/>
        <v/>
      </c>
      <c r="P39" s="18" t="str">
        <f t="shared" si="34"/>
        <v/>
      </c>
      <c r="Q39" s="18" t="str">
        <f t="shared" si="34"/>
        <v/>
      </c>
      <c r="R39" s="18" t="str">
        <f t="shared" si="34"/>
        <v/>
      </c>
      <c r="S39" s="18" t="str">
        <f t="shared" si="34"/>
        <v/>
      </c>
    </row>
    <row r="40" spans="4:19" x14ac:dyDescent="0.25">
      <c r="D40" s="9"/>
      <c r="E40" s="9"/>
      <c r="F40" s="9"/>
      <c r="G40" s="9"/>
      <c r="H40" s="9"/>
      <c r="I40" s="18"/>
      <c r="J40" s="18" t="str">
        <f t="shared" ref="J40:S40" si="35">IF(I40="","",I40)</f>
        <v/>
      </c>
      <c r="K40" s="18" t="str">
        <f t="shared" si="35"/>
        <v/>
      </c>
      <c r="L40" s="18" t="str">
        <f t="shared" si="35"/>
        <v/>
      </c>
      <c r="M40" s="18" t="str">
        <f t="shared" si="35"/>
        <v/>
      </c>
      <c r="N40" s="18" t="str">
        <f t="shared" si="35"/>
        <v/>
      </c>
      <c r="O40" s="18" t="str">
        <f t="shared" si="35"/>
        <v/>
      </c>
      <c r="P40" s="18" t="str">
        <f t="shared" si="35"/>
        <v/>
      </c>
      <c r="Q40" s="18" t="str">
        <f t="shared" si="35"/>
        <v/>
      </c>
      <c r="R40" s="18" t="str">
        <f t="shared" si="35"/>
        <v/>
      </c>
      <c r="S40" s="18" t="str">
        <f t="shared" si="35"/>
        <v/>
      </c>
    </row>
    <row r="41" spans="4:19" x14ac:dyDescent="0.25">
      <c r="D41" s="9"/>
      <c r="E41" s="9"/>
      <c r="F41" s="9"/>
      <c r="G41" s="9"/>
      <c r="H41" s="9"/>
      <c r="I41" s="18"/>
      <c r="J41" s="18" t="str">
        <f t="shared" ref="J41:S41" si="36">IF(I41="","",I41)</f>
        <v/>
      </c>
      <c r="K41" s="18" t="str">
        <f t="shared" si="36"/>
        <v/>
      </c>
      <c r="L41" s="18" t="str">
        <f t="shared" si="36"/>
        <v/>
      </c>
      <c r="M41" s="18" t="str">
        <f t="shared" si="36"/>
        <v/>
      </c>
      <c r="N41" s="18" t="str">
        <f t="shared" si="36"/>
        <v/>
      </c>
      <c r="O41" s="18" t="str">
        <f t="shared" si="36"/>
        <v/>
      </c>
      <c r="P41" s="18" t="str">
        <f t="shared" si="36"/>
        <v/>
      </c>
      <c r="Q41" s="18" t="str">
        <f t="shared" si="36"/>
        <v/>
      </c>
      <c r="R41" s="18" t="str">
        <f t="shared" si="36"/>
        <v/>
      </c>
      <c r="S41" s="18" t="str">
        <f t="shared" si="36"/>
        <v/>
      </c>
    </row>
    <row r="42" spans="4:19" x14ac:dyDescent="0.25">
      <c r="D42" s="9"/>
      <c r="E42" s="9"/>
      <c r="F42" s="9"/>
      <c r="G42" s="9"/>
      <c r="H42" s="9"/>
      <c r="I42" s="18"/>
      <c r="J42" s="18" t="str">
        <f t="shared" ref="J42:S42" si="37">IF(I42="","",I42)</f>
        <v/>
      </c>
      <c r="K42" s="18" t="str">
        <f t="shared" si="37"/>
        <v/>
      </c>
      <c r="L42" s="18" t="str">
        <f t="shared" si="37"/>
        <v/>
      </c>
      <c r="M42" s="18" t="str">
        <f t="shared" si="37"/>
        <v/>
      </c>
      <c r="N42" s="18" t="str">
        <f t="shared" si="37"/>
        <v/>
      </c>
      <c r="O42" s="18" t="str">
        <f t="shared" si="37"/>
        <v/>
      </c>
      <c r="P42" s="18" t="str">
        <f t="shared" si="37"/>
        <v/>
      </c>
      <c r="Q42" s="18" t="str">
        <f t="shared" si="37"/>
        <v/>
      </c>
      <c r="R42" s="18" t="str">
        <f t="shared" si="37"/>
        <v/>
      </c>
      <c r="S42" s="18" t="str">
        <f t="shared" si="37"/>
        <v/>
      </c>
    </row>
    <row r="43" spans="4:19" x14ac:dyDescent="0.25">
      <c r="D43" s="9"/>
      <c r="E43" s="9"/>
      <c r="F43" s="9"/>
      <c r="G43" s="9"/>
      <c r="H43" s="9"/>
      <c r="I43" s="18"/>
      <c r="J43" s="18" t="str">
        <f t="shared" ref="J43:S43" si="38">IF(I43="","",I43)</f>
        <v/>
      </c>
      <c r="K43" s="18" t="str">
        <f t="shared" si="38"/>
        <v/>
      </c>
      <c r="L43" s="18" t="str">
        <f t="shared" si="38"/>
        <v/>
      </c>
      <c r="M43" s="18" t="str">
        <f t="shared" si="38"/>
        <v/>
      </c>
      <c r="N43" s="18" t="str">
        <f t="shared" si="38"/>
        <v/>
      </c>
      <c r="O43" s="18" t="str">
        <f t="shared" si="38"/>
        <v/>
      </c>
      <c r="P43" s="18" t="str">
        <f t="shared" si="38"/>
        <v/>
      </c>
      <c r="Q43" s="18" t="str">
        <f t="shared" si="38"/>
        <v/>
      </c>
      <c r="R43" s="18" t="str">
        <f t="shared" si="38"/>
        <v/>
      </c>
      <c r="S43" s="18" t="str">
        <f t="shared" si="38"/>
        <v/>
      </c>
    </row>
    <row r="44" spans="4:19" x14ac:dyDescent="0.25">
      <c r="D44" s="9"/>
      <c r="E44" s="9"/>
      <c r="F44" s="9"/>
      <c r="G44" s="9"/>
      <c r="H44" s="9"/>
      <c r="I44" s="18"/>
      <c r="J44" s="18" t="str">
        <f t="shared" ref="J44:S44" si="39">IF(I44="","",I44)</f>
        <v/>
      </c>
      <c r="K44" s="18" t="str">
        <f t="shared" si="39"/>
        <v/>
      </c>
      <c r="L44" s="18" t="str">
        <f t="shared" si="39"/>
        <v/>
      </c>
      <c r="M44" s="18" t="str">
        <f t="shared" si="39"/>
        <v/>
      </c>
      <c r="N44" s="18" t="str">
        <f t="shared" si="39"/>
        <v/>
      </c>
      <c r="O44" s="18" t="str">
        <f t="shared" si="39"/>
        <v/>
      </c>
      <c r="P44" s="18" t="str">
        <f t="shared" si="39"/>
        <v/>
      </c>
      <c r="Q44" s="18" t="str">
        <f t="shared" si="39"/>
        <v/>
      </c>
      <c r="R44" s="18" t="str">
        <f t="shared" si="39"/>
        <v/>
      </c>
      <c r="S44" s="18" t="str">
        <f t="shared" si="39"/>
        <v/>
      </c>
    </row>
    <row r="45" spans="4:19" x14ac:dyDescent="0.25">
      <c r="D45" s="9"/>
      <c r="E45" s="9"/>
      <c r="F45" s="9"/>
      <c r="G45" s="9"/>
      <c r="H45" s="9"/>
      <c r="I45" s="18"/>
      <c r="J45" s="18" t="str">
        <f t="shared" ref="J45:S45" si="40">IF(I45="","",I45)</f>
        <v/>
      </c>
      <c r="K45" s="18" t="str">
        <f t="shared" si="40"/>
        <v/>
      </c>
      <c r="L45" s="18" t="str">
        <f t="shared" si="40"/>
        <v/>
      </c>
      <c r="M45" s="18" t="str">
        <f t="shared" si="40"/>
        <v/>
      </c>
      <c r="N45" s="18" t="str">
        <f t="shared" si="40"/>
        <v/>
      </c>
      <c r="O45" s="18" t="str">
        <f t="shared" si="40"/>
        <v/>
      </c>
      <c r="P45" s="18" t="str">
        <f t="shared" si="40"/>
        <v/>
      </c>
      <c r="Q45" s="18" t="str">
        <f t="shared" si="40"/>
        <v/>
      </c>
      <c r="R45" s="18" t="str">
        <f t="shared" si="40"/>
        <v/>
      </c>
      <c r="S45" s="18" t="str">
        <f t="shared" si="40"/>
        <v/>
      </c>
    </row>
    <row r="46" spans="4:19" x14ac:dyDescent="0.25">
      <c r="D46" s="9"/>
      <c r="E46" s="9"/>
      <c r="F46" s="9"/>
      <c r="G46" s="9"/>
      <c r="H46" s="9"/>
      <c r="I46" s="18"/>
      <c r="J46" s="18" t="str">
        <f t="shared" ref="J46:S46" si="41">IF(I46="","",I46)</f>
        <v/>
      </c>
      <c r="K46" s="18" t="str">
        <f t="shared" si="41"/>
        <v/>
      </c>
      <c r="L46" s="18" t="str">
        <f t="shared" si="41"/>
        <v/>
      </c>
      <c r="M46" s="18" t="str">
        <f t="shared" si="41"/>
        <v/>
      </c>
      <c r="N46" s="18" t="str">
        <f t="shared" si="41"/>
        <v/>
      </c>
      <c r="O46" s="18" t="str">
        <f t="shared" si="41"/>
        <v/>
      </c>
      <c r="P46" s="18" t="str">
        <f t="shared" si="41"/>
        <v/>
      </c>
      <c r="Q46" s="18" t="str">
        <f t="shared" si="41"/>
        <v/>
      </c>
      <c r="R46" s="18" t="str">
        <f t="shared" si="41"/>
        <v/>
      </c>
      <c r="S46" s="18" t="str">
        <f t="shared" si="41"/>
        <v/>
      </c>
    </row>
    <row r="47" spans="4:19" x14ac:dyDescent="0.25">
      <c r="D47" s="9"/>
      <c r="E47" s="9"/>
      <c r="F47" s="9"/>
      <c r="G47" s="9"/>
      <c r="H47" s="9"/>
      <c r="I47" s="18"/>
      <c r="J47" s="18" t="str">
        <f t="shared" ref="J47:S47" si="42">IF(I47="","",I47)</f>
        <v/>
      </c>
      <c r="K47" s="18" t="str">
        <f t="shared" si="42"/>
        <v/>
      </c>
      <c r="L47" s="18" t="str">
        <f t="shared" si="42"/>
        <v/>
      </c>
      <c r="M47" s="18" t="str">
        <f t="shared" si="42"/>
        <v/>
      </c>
      <c r="N47" s="18" t="str">
        <f t="shared" si="42"/>
        <v/>
      </c>
      <c r="O47" s="18" t="str">
        <f t="shared" si="42"/>
        <v/>
      </c>
      <c r="P47" s="18" t="str">
        <f t="shared" si="42"/>
        <v/>
      </c>
      <c r="Q47" s="18" t="str">
        <f t="shared" si="42"/>
        <v/>
      </c>
      <c r="R47" s="18" t="str">
        <f t="shared" si="42"/>
        <v/>
      </c>
      <c r="S47" s="18" t="str">
        <f t="shared" si="42"/>
        <v/>
      </c>
    </row>
    <row r="48" spans="4:19" x14ac:dyDescent="0.25">
      <c r="D48" s="9"/>
      <c r="E48" s="9"/>
      <c r="F48" s="9"/>
      <c r="G48" s="9"/>
      <c r="H48" s="9"/>
      <c r="I48" s="18"/>
      <c r="J48" s="18" t="str">
        <f t="shared" ref="J48:S48" si="43">IF(I48="","",I48)</f>
        <v/>
      </c>
      <c r="K48" s="18" t="str">
        <f t="shared" si="43"/>
        <v/>
      </c>
      <c r="L48" s="18" t="str">
        <f t="shared" si="43"/>
        <v/>
      </c>
      <c r="M48" s="18" t="str">
        <f t="shared" si="43"/>
        <v/>
      </c>
      <c r="N48" s="18" t="str">
        <f t="shared" si="43"/>
        <v/>
      </c>
      <c r="O48" s="18" t="str">
        <f t="shared" si="43"/>
        <v/>
      </c>
      <c r="P48" s="18" t="str">
        <f t="shared" si="43"/>
        <v/>
      </c>
      <c r="Q48" s="18" t="str">
        <f t="shared" si="43"/>
        <v/>
      </c>
      <c r="R48" s="18" t="str">
        <f t="shared" si="43"/>
        <v/>
      </c>
      <c r="S48" s="18" t="str">
        <f t="shared" si="43"/>
        <v/>
      </c>
    </row>
    <row r="49" spans="4:19" x14ac:dyDescent="0.25">
      <c r="D49" s="9"/>
      <c r="E49" s="9"/>
      <c r="F49" s="9"/>
      <c r="G49" s="9"/>
      <c r="H49" s="9"/>
      <c r="I49" s="18"/>
      <c r="J49" s="18" t="str">
        <f t="shared" ref="J49:S49" si="44">IF(I49="","",I49)</f>
        <v/>
      </c>
      <c r="K49" s="18" t="str">
        <f t="shared" si="44"/>
        <v/>
      </c>
      <c r="L49" s="18" t="str">
        <f t="shared" si="44"/>
        <v/>
      </c>
      <c r="M49" s="18" t="str">
        <f t="shared" si="44"/>
        <v/>
      </c>
      <c r="N49" s="18" t="str">
        <f t="shared" si="44"/>
        <v/>
      </c>
      <c r="O49" s="18" t="str">
        <f t="shared" si="44"/>
        <v/>
      </c>
      <c r="P49" s="18" t="str">
        <f t="shared" si="44"/>
        <v/>
      </c>
      <c r="Q49" s="18" t="str">
        <f t="shared" si="44"/>
        <v/>
      </c>
      <c r="R49" s="18" t="str">
        <f t="shared" si="44"/>
        <v/>
      </c>
      <c r="S49" s="18" t="str">
        <f t="shared" si="44"/>
        <v/>
      </c>
    </row>
    <row r="50" spans="4:19" ht="15.75" thickBot="1" x14ac:dyDescent="0.3">
      <c r="D50" s="10"/>
      <c r="E50" s="10"/>
      <c r="F50" s="10"/>
      <c r="G50" s="10"/>
      <c r="H50" s="10"/>
      <c r="I50" s="46"/>
      <c r="J50" s="46" t="str">
        <f t="shared" ref="J50:S50" si="45">IF(I50="","",I50)</f>
        <v/>
      </c>
      <c r="K50" s="46" t="str">
        <f t="shared" si="45"/>
        <v/>
      </c>
      <c r="L50" s="46" t="str">
        <f t="shared" si="45"/>
        <v/>
      </c>
      <c r="M50" s="46" t="str">
        <f t="shared" si="45"/>
        <v/>
      </c>
      <c r="N50" s="46" t="str">
        <f t="shared" si="45"/>
        <v/>
      </c>
      <c r="O50" s="46" t="str">
        <f t="shared" si="45"/>
        <v/>
      </c>
      <c r="P50" s="46" t="str">
        <f t="shared" si="45"/>
        <v/>
      </c>
      <c r="Q50" s="46" t="str">
        <f t="shared" si="45"/>
        <v/>
      </c>
      <c r="R50" s="46" t="str">
        <f t="shared" si="45"/>
        <v/>
      </c>
      <c r="S50" s="46" t="str">
        <f t="shared" si="45"/>
        <v/>
      </c>
    </row>
    <row r="51" spans="4:19" x14ac:dyDescent="0.25">
      <c r="D51" s="5" t="e">
        <v>#N/A</v>
      </c>
      <c r="E51" s="5" t="e">
        <v>#N/A</v>
      </c>
      <c r="F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6">
    <dataValidation type="list" allowBlank="1" showInputMessage="1" showErrorMessage="1" sqref="E5:E50">
      <formula1>MineQuality</formula1>
    </dataValidation>
    <dataValidation type="list" allowBlank="1" showInputMessage="1" showErrorMessage="1" sqref="D25:D50">
      <formula1>BeneficiationProcess</formula1>
    </dataValidation>
    <dataValidation type="list" allowBlank="1" showInputMessage="1" showErrorMessage="1" sqref="F5:F50">
      <formula1>WPQuality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"Wet,Dry,Calciné"</formula1>
    </dataValidation>
    <dataValidation type="list" allowBlank="1" showInputMessage="1" showErrorMessage="1" sqref="D5:D24">
      <formula1>WPProcess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rgb="FF996633"/>
  </sheetPr>
  <dimension ref="B1:S53"/>
  <sheetViews>
    <sheetView workbookViewId="0">
      <selection activeCell="I1" sqref="I1:S1048576"/>
    </sheetView>
  </sheetViews>
  <sheetFormatPr baseColWidth="10" defaultColWidth="11.5703125" defaultRowHeight="15" x14ac:dyDescent="0.25"/>
  <cols>
    <col min="1" max="3" width="3.85546875" style="5" customWidth="1"/>
    <col min="4" max="4" width="20.85546875" style="5" customWidth="1"/>
    <col min="5" max="8" width="15.85546875" style="5" customWidth="1"/>
    <col min="9" max="18" width="8.85546875" style="5" customWidth="1"/>
    <col min="19" max="16384" width="11.5703125" style="5"/>
  </cols>
  <sheetData>
    <row r="1" spans="2:19" s="95" customFormat="1" ht="24.95" customHeight="1" x14ac:dyDescent="0.25">
      <c r="B1" s="97" t="s">
        <v>283</v>
      </c>
    </row>
    <row r="3" spans="2:19" ht="15.75" thickBot="1" x14ac:dyDescent="0.3">
      <c r="D3" s="38" t="str">
        <f>JESA_UploadTable(B1,D4:S70,db)</f>
        <v>Beneficiation opex &amp; specific consumptions @09:45:19</v>
      </c>
    </row>
    <row r="4" spans="2:19" ht="30" customHeight="1" thickBot="1" x14ac:dyDescent="0.3">
      <c r="D4" s="100" t="s">
        <v>25</v>
      </c>
      <c r="E4" s="100" t="s">
        <v>281</v>
      </c>
      <c r="F4" s="99" t="s">
        <v>282</v>
      </c>
      <c r="G4" s="99" t="s">
        <v>12</v>
      </c>
      <c r="H4" s="99" t="s">
        <v>17</v>
      </c>
      <c r="I4" s="112" t="s">
        <v>37</v>
      </c>
      <c r="J4" s="112" t="s">
        <v>38</v>
      </c>
      <c r="K4" s="112" t="s">
        <v>39</v>
      </c>
      <c r="L4" s="112" t="s">
        <v>40</v>
      </c>
      <c r="M4" s="112" t="s">
        <v>41</v>
      </c>
      <c r="N4" s="112" t="s">
        <v>42</v>
      </c>
      <c r="O4" s="112" t="s">
        <v>43</v>
      </c>
      <c r="P4" s="112" t="s">
        <v>44</v>
      </c>
      <c r="Q4" s="112" t="s">
        <v>45</v>
      </c>
      <c r="R4" s="112" t="s">
        <v>46</v>
      </c>
      <c r="S4" s="112" t="s">
        <v>47</v>
      </c>
    </row>
    <row r="5" spans="2:19" x14ac:dyDescent="0.25">
      <c r="D5" s="8" t="s">
        <v>296</v>
      </c>
      <c r="E5" s="8" t="s">
        <v>20</v>
      </c>
      <c r="F5" s="8" t="s">
        <v>290</v>
      </c>
      <c r="G5" s="8" t="s">
        <v>22</v>
      </c>
      <c r="H5" s="8" t="s">
        <v>133</v>
      </c>
      <c r="I5" s="17">
        <v>5</v>
      </c>
      <c r="J5" s="17">
        <f>IF(I5="","",I5)</f>
        <v>5</v>
      </c>
      <c r="K5" s="17">
        <f t="shared" ref="K5:S5" si="0">IF(J5="","",J5)</f>
        <v>5</v>
      </c>
      <c r="L5" s="17">
        <f t="shared" si="0"/>
        <v>5</v>
      </c>
      <c r="M5" s="17">
        <f t="shared" si="0"/>
        <v>5</v>
      </c>
      <c r="N5" s="17">
        <f t="shared" si="0"/>
        <v>5</v>
      </c>
      <c r="O5" s="17">
        <f t="shared" si="0"/>
        <v>5</v>
      </c>
      <c r="P5" s="17">
        <f t="shared" si="0"/>
        <v>5</v>
      </c>
      <c r="Q5" s="17">
        <f t="shared" si="0"/>
        <v>5</v>
      </c>
      <c r="R5" s="17">
        <f t="shared" si="0"/>
        <v>5</v>
      </c>
      <c r="S5" s="17">
        <f t="shared" si="0"/>
        <v>5</v>
      </c>
    </row>
    <row r="6" spans="2:19" x14ac:dyDescent="0.25">
      <c r="D6" s="9" t="s">
        <v>296</v>
      </c>
      <c r="E6" s="9" t="s">
        <v>303</v>
      </c>
      <c r="F6" s="9" t="s">
        <v>290</v>
      </c>
      <c r="G6" s="9" t="s">
        <v>22</v>
      </c>
      <c r="H6" s="9" t="s">
        <v>133</v>
      </c>
      <c r="I6" s="18">
        <v>5</v>
      </c>
      <c r="J6" s="18">
        <v>5</v>
      </c>
      <c r="K6" s="18">
        <v>5</v>
      </c>
      <c r="L6" s="18">
        <v>5</v>
      </c>
      <c r="M6" s="18">
        <v>5</v>
      </c>
      <c r="N6" s="18">
        <v>5</v>
      </c>
      <c r="O6" s="18">
        <v>5</v>
      </c>
      <c r="P6" s="18">
        <v>5</v>
      </c>
      <c r="Q6" s="18">
        <v>5</v>
      </c>
      <c r="R6" s="18">
        <v>5</v>
      </c>
      <c r="S6" s="18">
        <v>5</v>
      </c>
    </row>
    <row r="7" spans="2:19" x14ac:dyDescent="0.25">
      <c r="D7" s="9" t="s">
        <v>285</v>
      </c>
      <c r="E7" s="9" t="s">
        <v>20</v>
      </c>
      <c r="F7" s="9" t="s">
        <v>290</v>
      </c>
      <c r="G7" s="9" t="s">
        <v>22</v>
      </c>
      <c r="H7" s="9" t="s">
        <v>133</v>
      </c>
      <c r="I7" s="18">
        <v>5</v>
      </c>
      <c r="J7" s="18">
        <v>5</v>
      </c>
      <c r="K7" s="18">
        <v>5</v>
      </c>
      <c r="L7" s="18">
        <v>5</v>
      </c>
      <c r="M7" s="18">
        <v>5</v>
      </c>
      <c r="N7" s="18">
        <v>5</v>
      </c>
      <c r="O7" s="18">
        <v>5</v>
      </c>
      <c r="P7" s="18">
        <v>5</v>
      </c>
      <c r="Q7" s="18">
        <v>5</v>
      </c>
      <c r="R7" s="18">
        <v>5</v>
      </c>
      <c r="S7" s="18">
        <v>5</v>
      </c>
    </row>
    <row r="8" spans="2:19" x14ac:dyDescent="0.25">
      <c r="D8" s="9" t="s">
        <v>285</v>
      </c>
      <c r="E8" s="9" t="s">
        <v>19</v>
      </c>
      <c r="F8" s="9" t="s">
        <v>290</v>
      </c>
      <c r="G8" s="9" t="s">
        <v>22</v>
      </c>
      <c r="H8" s="9" t="s">
        <v>133</v>
      </c>
      <c r="I8" s="18">
        <v>5</v>
      </c>
      <c r="J8" s="18">
        <v>5</v>
      </c>
      <c r="K8" s="18">
        <v>5</v>
      </c>
      <c r="L8" s="18">
        <v>5</v>
      </c>
      <c r="M8" s="18">
        <v>5</v>
      </c>
      <c r="N8" s="18">
        <v>5</v>
      </c>
      <c r="O8" s="18">
        <v>5</v>
      </c>
      <c r="P8" s="18">
        <v>5</v>
      </c>
      <c r="Q8" s="18">
        <v>5</v>
      </c>
      <c r="R8" s="18">
        <v>5</v>
      </c>
      <c r="S8" s="18">
        <v>5</v>
      </c>
    </row>
    <row r="9" spans="2:19" x14ac:dyDescent="0.25">
      <c r="D9" s="9" t="s">
        <v>285</v>
      </c>
      <c r="E9" s="9" t="s">
        <v>303</v>
      </c>
      <c r="F9" s="9" t="s">
        <v>290</v>
      </c>
      <c r="G9" s="9" t="s">
        <v>22</v>
      </c>
      <c r="H9" s="9" t="s">
        <v>133</v>
      </c>
      <c r="I9" s="18">
        <v>5</v>
      </c>
      <c r="J9" s="18">
        <v>5</v>
      </c>
      <c r="K9" s="18">
        <v>5</v>
      </c>
      <c r="L9" s="18">
        <v>5</v>
      </c>
      <c r="M9" s="18">
        <v>5</v>
      </c>
      <c r="N9" s="18">
        <v>5</v>
      </c>
      <c r="O9" s="18">
        <v>5</v>
      </c>
      <c r="P9" s="18">
        <v>5</v>
      </c>
      <c r="Q9" s="18">
        <v>5</v>
      </c>
      <c r="R9" s="18">
        <v>5</v>
      </c>
      <c r="S9" s="18">
        <v>5</v>
      </c>
    </row>
    <row r="10" spans="2:19" x14ac:dyDescent="0.25">
      <c r="D10" s="9" t="s">
        <v>288</v>
      </c>
      <c r="E10" s="9" t="s">
        <v>20</v>
      </c>
      <c r="F10" s="9" t="s">
        <v>290</v>
      </c>
      <c r="G10" s="9" t="s">
        <v>22</v>
      </c>
      <c r="H10" s="9" t="s">
        <v>133</v>
      </c>
      <c r="I10" s="18">
        <v>5</v>
      </c>
      <c r="J10" s="18">
        <v>5</v>
      </c>
      <c r="K10" s="18">
        <v>5</v>
      </c>
      <c r="L10" s="18">
        <v>5</v>
      </c>
      <c r="M10" s="18">
        <v>5</v>
      </c>
      <c r="N10" s="18">
        <v>5</v>
      </c>
      <c r="O10" s="18">
        <v>5</v>
      </c>
      <c r="P10" s="18">
        <v>5</v>
      </c>
      <c r="Q10" s="18">
        <v>5</v>
      </c>
      <c r="R10" s="18">
        <v>5</v>
      </c>
      <c r="S10" s="18">
        <v>5</v>
      </c>
    </row>
    <row r="11" spans="2:19" x14ac:dyDescent="0.25">
      <c r="D11" s="9" t="s">
        <v>288</v>
      </c>
      <c r="E11" s="9" t="s">
        <v>303</v>
      </c>
      <c r="F11" s="9" t="s">
        <v>290</v>
      </c>
      <c r="G11" s="9" t="s">
        <v>22</v>
      </c>
      <c r="H11" s="9" t="s">
        <v>133</v>
      </c>
      <c r="I11" s="18">
        <v>5</v>
      </c>
      <c r="J11" s="18">
        <v>5</v>
      </c>
      <c r="K11" s="18">
        <v>5</v>
      </c>
      <c r="L11" s="18">
        <v>5</v>
      </c>
      <c r="M11" s="18">
        <v>5</v>
      </c>
      <c r="N11" s="18">
        <v>5</v>
      </c>
      <c r="O11" s="18">
        <v>5</v>
      </c>
      <c r="P11" s="18">
        <v>5</v>
      </c>
      <c r="Q11" s="18">
        <v>5</v>
      </c>
      <c r="R11" s="18">
        <v>5</v>
      </c>
      <c r="S11" s="18">
        <v>5</v>
      </c>
    </row>
    <row r="12" spans="2:19" x14ac:dyDescent="0.25">
      <c r="D12" s="9" t="s">
        <v>288</v>
      </c>
      <c r="E12" s="9" t="s">
        <v>18</v>
      </c>
      <c r="F12" s="9" t="s">
        <v>290</v>
      </c>
      <c r="G12" s="9" t="s">
        <v>22</v>
      </c>
      <c r="H12" s="9" t="s">
        <v>133</v>
      </c>
      <c r="I12" s="18">
        <v>5</v>
      </c>
      <c r="J12" s="18">
        <v>5</v>
      </c>
      <c r="K12" s="18">
        <v>5</v>
      </c>
      <c r="L12" s="18">
        <v>5</v>
      </c>
      <c r="M12" s="18">
        <v>5</v>
      </c>
      <c r="N12" s="18">
        <v>5</v>
      </c>
      <c r="O12" s="18">
        <v>5</v>
      </c>
      <c r="P12" s="18">
        <v>5</v>
      </c>
      <c r="Q12" s="18">
        <v>5</v>
      </c>
      <c r="R12" s="18">
        <v>5</v>
      </c>
      <c r="S12" s="18">
        <v>5</v>
      </c>
    </row>
    <row r="13" spans="2:19" x14ac:dyDescent="0.25">
      <c r="D13" s="9" t="s">
        <v>291</v>
      </c>
      <c r="E13" s="9" t="s">
        <v>20</v>
      </c>
      <c r="F13" s="9" t="s">
        <v>290</v>
      </c>
      <c r="G13" s="9" t="s">
        <v>22</v>
      </c>
      <c r="H13" s="9" t="s">
        <v>133</v>
      </c>
      <c r="I13" s="18">
        <v>5</v>
      </c>
      <c r="J13" s="18">
        <v>5</v>
      </c>
      <c r="K13" s="18">
        <v>5</v>
      </c>
      <c r="L13" s="18">
        <v>5</v>
      </c>
      <c r="M13" s="18">
        <v>5</v>
      </c>
      <c r="N13" s="18">
        <v>5</v>
      </c>
      <c r="O13" s="18">
        <v>5</v>
      </c>
      <c r="P13" s="18">
        <v>5</v>
      </c>
      <c r="Q13" s="18">
        <v>5</v>
      </c>
      <c r="R13" s="18">
        <v>5</v>
      </c>
      <c r="S13" s="18">
        <v>5</v>
      </c>
    </row>
    <row r="14" spans="2:19" x14ac:dyDescent="0.25">
      <c r="D14" s="9" t="s">
        <v>291</v>
      </c>
      <c r="E14" s="9" t="s">
        <v>19</v>
      </c>
      <c r="F14" s="9" t="s">
        <v>290</v>
      </c>
      <c r="G14" s="9" t="s">
        <v>22</v>
      </c>
      <c r="H14" s="9" t="s">
        <v>133</v>
      </c>
      <c r="I14" s="18">
        <v>5</v>
      </c>
      <c r="J14" s="18">
        <v>5</v>
      </c>
      <c r="K14" s="18">
        <v>5</v>
      </c>
      <c r="L14" s="18">
        <v>5</v>
      </c>
      <c r="M14" s="18">
        <v>5</v>
      </c>
      <c r="N14" s="18">
        <v>5</v>
      </c>
      <c r="O14" s="18">
        <v>5</v>
      </c>
      <c r="P14" s="18">
        <v>5</v>
      </c>
      <c r="Q14" s="18">
        <v>5</v>
      </c>
      <c r="R14" s="18">
        <v>5</v>
      </c>
      <c r="S14" s="18">
        <v>5</v>
      </c>
    </row>
    <row r="15" spans="2:19" x14ac:dyDescent="0.25">
      <c r="D15" s="9" t="s">
        <v>291</v>
      </c>
      <c r="E15" s="9" t="s">
        <v>303</v>
      </c>
      <c r="F15" s="9" t="s">
        <v>290</v>
      </c>
      <c r="G15" s="9" t="s">
        <v>22</v>
      </c>
      <c r="H15" s="9" t="s">
        <v>133</v>
      </c>
      <c r="I15" s="18">
        <v>5</v>
      </c>
      <c r="J15" s="18">
        <v>5</v>
      </c>
      <c r="K15" s="18">
        <v>5</v>
      </c>
      <c r="L15" s="18">
        <v>5</v>
      </c>
      <c r="M15" s="18">
        <v>5</v>
      </c>
      <c r="N15" s="18">
        <v>5</v>
      </c>
      <c r="O15" s="18">
        <v>5</v>
      </c>
      <c r="P15" s="18">
        <v>5</v>
      </c>
      <c r="Q15" s="18">
        <v>5</v>
      </c>
      <c r="R15" s="18">
        <v>5</v>
      </c>
      <c r="S15" s="18">
        <v>5</v>
      </c>
    </row>
    <row r="16" spans="2:19" x14ac:dyDescent="0.25">
      <c r="D16" s="9" t="s">
        <v>293</v>
      </c>
      <c r="E16" s="9" t="s">
        <v>20</v>
      </c>
      <c r="F16" s="9" t="s">
        <v>290</v>
      </c>
      <c r="G16" s="9" t="s">
        <v>22</v>
      </c>
      <c r="H16" s="9" t="s">
        <v>133</v>
      </c>
      <c r="I16" s="18">
        <v>5</v>
      </c>
      <c r="J16" s="18">
        <v>5</v>
      </c>
      <c r="K16" s="18">
        <v>5</v>
      </c>
      <c r="L16" s="18">
        <v>5</v>
      </c>
      <c r="M16" s="18">
        <v>5</v>
      </c>
      <c r="N16" s="18">
        <v>5</v>
      </c>
      <c r="O16" s="18">
        <v>5</v>
      </c>
      <c r="P16" s="18">
        <v>5</v>
      </c>
      <c r="Q16" s="18">
        <v>5</v>
      </c>
      <c r="R16" s="18">
        <v>5</v>
      </c>
      <c r="S16" s="18">
        <v>5</v>
      </c>
    </row>
    <row r="17" spans="4:19" x14ac:dyDescent="0.25">
      <c r="D17" s="9" t="s">
        <v>293</v>
      </c>
      <c r="E17" s="9" t="s">
        <v>19</v>
      </c>
      <c r="F17" s="9" t="s">
        <v>290</v>
      </c>
      <c r="G17" s="9" t="s">
        <v>22</v>
      </c>
      <c r="H17" s="9" t="s">
        <v>133</v>
      </c>
      <c r="I17" s="18">
        <v>5</v>
      </c>
      <c r="J17" s="18">
        <v>5</v>
      </c>
      <c r="K17" s="18">
        <v>5</v>
      </c>
      <c r="L17" s="18">
        <v>5</v>
      </c>
      <c r="M17" s="18">
        <v>5</v>
      </c>
      <c r="N17" s="18">
        <v>5</v>
      </c>
      <c r="O17" s="18">
        <v>5</v>
      </c>
      <c r="P17" s="18">
        <v>5</v>
      </c>
      <c r="Q17" s="18">
        <v>5</v>
      </c>
      <c r="R17" s="18">
        <v>5</v>
      </c>
      <c r="S17" s="18">
        <v>5</v>
      </c>
    </row>
    <row r="18" spans="4:19" x14ac:dyDescent="0.25">
      <c r="D18" s="9" t="s">
        <v>293</v>
      </c>
      <c r="E18" s="9" t="s">
        <v>303</v>
      </c>
      <c r="F18" s="9" t="s">
        <v>290</v>
      </c>
      <c r="G18" s="9" t="s">
        <v>22</v>
      </c>
      <c r="H18" s="9" t="s">
        <v>133</v>
      </c>
      <c r="I18" s="18">
        <v>5</v>
      </c>
      <c r="J18" s="18">
        <v>5</v>
      </c>
      <c r="K18" s="18">
        <v>5</v>
      </c>
      <c r="L18" s="18">
        <v>5</v>
      </c>
      <c r="M18" s="18">
        <v>5</v>
      </c>
      <c r="N18" s="18">
        <v>5</v>
      </c>
      <c r="O18" s="18">
        <v>5</v>
      </c>
      <c r="P18" s="18">
        <v>5</v>
      </c>
      <c r="Q18" s="18">
        <v>5</v>
      </c>
      <c r="R18" s="18">
        <v>5</v>
      </c>
      <c r="S18" s="18">
        <v>5</v>
      </c>
    </row>
    <row r="19" spans="4:19" x14ac:dyDescent="0.25">
      <c r="D19" s="9"/>
      <c r="E19" s="9"/>
      <c r="F19" s="9"/>
      <c r="G19" s="9"/>
      <c r="H19" s="9"/>
      <c r="I19" s="18"/>
      <c r="J19" s="18" t="str">
        <f t="shared" ref="J19:S19" si="1">IF(I19="","",I19)</f>
        <v/>
      </c>
      <c r="K19" s="18" t="str">
        <f t="shared" si="1"/>
        <v/>
      </c>
      <c r="L19" s="18" t="str">
        <f t="shared" si="1"/>
        <v/>
      </c>
      <c r="M19" s="18" t="str">
        <f t="shared" si="1"/>
        <v/>
      </c>
      <c r="N19" s="18" t="str">
        <f t="shared" si="1"/>
        <v/>
      </c>
      <c r="O19" s="18" t="str">
        <f t="shared" si="1"/>
        <v/>
      </c>
      <c r="P19" s="18" t="str">
        <f t="shared" si="1"/>
        <v/>
      </c>
      <c r="Q19" s="18" t="str">
        <f t="shared" si="1"/>
        <v/>
      </c>
      <c r="R19" s="18" t="str">
        <f t="shared" si="1"/>
        <v/>
      </c>
      <c r="S19" s="18" t="str">
        <f t="shared" si="1"/>
        <v/>
      </c>
    </row>
    <row r="20" spans="4:19" x14ac:dyDescent="0.25">
      <c r="D20" s="9"/>
      <c r="E20" s="9"/>
      <c r="F20" s="9"/>
      <c r="G20" s="9"/>
      <c r="H20" s="9"/>
      <c r="I20" s="18"/>
      <c r="J20" s="18" t="str">
        <f t="shared" ref="J20:S20" si="2">IF(I20="","",I20)</f>
        <v/>
      </c>
      <c r="K20" s="18" t="str">
        <f t="shared" si="2"/>
        <v/>
      </c>
      <c r="L20" s="18" t="str">
        <f t="shared" si="2"/>
        <v/>
      </c>
      <c r="M20" s="18" t="str">
        <f t="shared" si="2"/>
        <v/>
      </c>
      <c r="N20" s="18" t="str">
        <f t="shared" si="2"/>
        <v/>
      </c>
      <c r="O20" s="18" t="str">
        <f t="shared" si="2"/>
        <v/>
      </c>
      <c r="P20" s="18" t="str">
        <f t="shared" si="2"/>
        <v/>
      </c>
      <c r="Q20" s="18" t="str">
        <f t="shared" si="2"/>
        <v/>
      </c>
      <c r="R20" s="18" t="str">
        <f t="shared" si="2"/>
        <v/>
      </c>
      <c r="S20" s="18" t="str">
        <f t="shared" si="2"/>
        <v/>
      </c>
    </row>
    <row r="21" spans="4:19" x14ac:dyDescent="0.25">
      <c r="D21" s="9"/>
      <c r="E21" s="9"/>
      <c r="F21" s="9"/>
      <c r="G21" s="9"/>
      <c r="H21" s="9"/>
      <c r="I21" s="18"/>
      <c r="J21" s="18" t="str">
        <f t="shared" ref="J21:S21" si="3">IF(I21="","",I21)</f>
        <v/>
      </c>
      <c r="K21" s="18" t="str">
        <f t="shared" si="3"/>
        <v/>
      </c>
      <c r="L21" s="18" t="str">
        <f t="shared" si="3"/>
        <v/>
      </c>
      <c r="M21" s="18" t="str">
        <f t="shared" si="3"/>
        <v/>
      </c>
      <c r="N21" s="18" t="str">
        <f t="shared" si="3"/>
        <v/>
      </c>
      <c r="O21" s="18" t="str">
        <f t="shared" si="3"/>
        <v/>
      </c>
      <c r="P21" s="18" t="str">
        <f t="shared" si="3"/>
        <v/>
      </c>
      <c r="Q21" s="18" t="str">
        <f t="shared" si="3"/>
        <v/>
      </c>
      <c r="R21" s="18" t="str">
        <f t="shared" si="3"/>
        <v/>
      </c>
      <c r="S21" s="18" t="str">
        <f t="shared" si="3"/>
        <v/>
      </c>
    </row>
    <row r="22" spans="4:19" x14ac:dyDescent="0.25">
      <c r="D22" s="9"/>
      <c r="E22" s="9"/>
      <c r="F22" s="9"/>
      <c r="G22" s="9"/>
      <c r="H22" s="9"/>
      <c r="I22" s="18"/>
      <c r="J22" s="18" t="str">
        <f t="shared" ref="J22:S22" si="4">IF(I22="","",I22)</f>
        <v/>
      </c>
      <c r="K22" s="18" t="str">
        <f t="shared" si="4"/>
        <v/>
      </c>
      <c r="L22" s="18" t="str">
        <f t="shared" si="4"/>
        <v/>
      </c>
      <c r="M22" s="18" t="str">
        <f t="shared" si="4"/>
        <v/>
      </c>
      <c r="N22" s="18" t="str">
        <f t="shared" si="4"/>
        <v/>
      </c>
      <c r="O22" s="18" t="str">
        <f t="shared" si="4"/>
        <v/>
      </c>
      <c r="P22" s="18" t="str">
        <f t="shared" si="4"/>
        <v/>
      </c>
      <c r="Q22" s="18" t="str">
        <f t="shared" si="4"/>
        <v/>
      </c>
      <c r="R22" s="18" t="str">
        <f t="shared" si="4"/>
        <v/>
      </c>
      <c r="S22" s="18" t="str">
        <f t="shared" si="4"/>
        <v/>
      </c>
    </row>
    <row r="23" spans="4:19" x14ac:dyDescent="0.25">
      <c r="D23" s="9"/>
      <c r="E23" s="9"/>
      <c r="F23" s="9"/>
      <c r="G23" s="9"/>
      <c r="H23" s="9"/>
      <c r="I23" s="18"/>
      <c r="J23" s="18" t="str">
        <f t="shared" ref="J23:S23" si="5">IF(I23="","",I23)</f>
        <v/>
      </c>
      <c r="K23" s="18" t="str">
        <f t="shared" si="5"/>
        <v/>
      </c>
      <c r="L23" s="18" t="str">
        <f t="shared" si="5"/>
        <v/>
      </c>
      <c r="M23" s="18" t="str">
        <f t="shared" si="5"/>
        <v/>
      </c>
      <c r="N23" s="18" t="str">
        <f t="shared" si="5"/>
        <v/>
      </c>
      <c r="O23" s="18" t="str">
        <f t="shared" si="5"/>
        <v/>
      </c>
      <c r="P23" s="18" t="str">
        <f t="shared" si="5"/>
        <v/>
      </c>
      <c r="Q23" s="18" t="str">
        <f t="shared" si="5"/>
        <v/>
      </c>
      <c r="R23" s="18" t="str">
        <f t="shared" si="5"/>
        <v/>
      </c>
      <c r="S23" s="18" t="str">
        <f t="shared" si="5"/>
        <v/>
      </c>
    </row>
    <row r="24" spans="4:19" x14ac:dyDescent="0.25">
      <c r="D24" s="9"/>
      <c r="E24" s="9"/>
      <c r="F24" s="9"/>
      <c r="G24" s="9"/>
      <c r="H24" s="9"/>
      <c r="I24" s="18"/>
      <c r="J24" s="18" t="str">
        <f t="shared" ref="J24:S24" si="6">IF(I24="","",I24)</f>
        <v/>
      </c>
      <c r="K24" s="18" t="str">
        <f t="shared" si="6"/>
        <v/>
      </c>
      <c r="L24" s="18" t="str">
        <f t="shared" si="6"/>
        <v/>
      </c>
      <c r="M24" s="18" t="str">
        <f t="shared" si="6"/>
        <v/>
      </c>
      <c r="N24" s="18" t="str">
        <f t="shared" si="6"/>
        <v/>
      </c>
      <c r="O24" s="18" t="str">
        <f t="shared" si="6"/>
        <v/>
      </c>
      <c r="P24" s="18" t="str">
        <f t="shared" si="6"/>
        <v/>
      </c>
      <c r="Q24" s="18" t="str">
        <f t="shared" si="6"/>
        <v/>
      </c>
      <c r="R24" s="18" t="str">
        <f t="shared" si="6"/>
        <v/>
      </c>
      <c r="S24" s="18" t="str">
        <f t="shared" si="6"/>
        <v/>
      </c>
    </row>
    <row r="25" spans="4:19" x14ac:dyDescent="0.25">
      <c r="D25" s="9"/>
      <c r="E25" s="9"/>
      <c r="F25" s="9"/>
      <c r="G25" s="9"/>
      <c r="H25" s="9"/>
      <c r="I25" s="18"/>
      <c r="J25" s="18" t="str">
        <f t="shared" ref="J25:S25" si="7">IF(I25="","",I25)</f>
        <v/>
      </c>
      <c r="K25" s="18" t="str">
        <f t="shared" si="7"/>
        <v/>
      </c>
      <c r="L25" s="18" t="str">
        <f t="shared" si="7"/>
        <v/>
      </c>
      <c r="M25" s="18" t="str">
        <f t="shared" si="7"/>
        <v/>
      </c>
      <c r="N25" s="18" t="str">
        <f t="shared" si="7"/>
        <v/>
      </c>
      <c r="O25" s="18" t="str">
        <f t="shared" si="7"/>
        <v/>
      </c>
      <c r="P25" s="18" t="str">
        <f t="shared" si="7"/>
        <v/>
      </c>
      <c r="Q25" s="18" t="str">
        <f t="shared" si="7"/>
        <v/>
      </c>
      <c r="R25" s="18" t="str">
        <f t="shared" si="7"/>
        <v/>
      </c>
      <c r="S25" s="18" t="str">
        <f t="shared" si="7"/>
        <v/>
      </c>
    </row>
    <row r="26" spans="4:19" x14ac:dyDescent="0.25">
      <c r="D26" s="9"/>
      <c r="E26" s="9"/>
      <c r="F26" s="9"/>
      <c r="G26" s="9"/>
      <c r="H26" s="9"/>
      <c r="I26" s="18"/>
      <c r="J26" s="18" t="str">
        <f t="shared" ref="J26:S26" si="8">IF(I26="","",I26)</f>
        <v/>
      </c>
      <c r="K26" s="18" t="str">
        <f t="shared" si="8"/>
        <v/>
      </c>
      <c r="L26" s="18" t="str">
        <f t="shared" si="8"/>
        <v/>
      </c>
      <c r="M26" s="18" t="str">
        <f t="shared" si="8"/>
        <v/>
      </c>
      <c r="N26" s="18" t="str">
        <f t="shared" si="8"/>
        <v/>
      </c>
      <c r="O26" s="18" t="str">
        <f t="shared" si="8"/>
        <v/>
      </c>
      <c r="P26" s="18" t="str">
        <f t="shared" si="8"/>
        <v/>
      </c>
      <c r="Q26" s="18" t="str">
        <f t="shared" si="8"/>
        <v/>
      </c>
      <c r="R26" s="18" t="str">
        <f t="shared" si="8"/>
        <v/>
      </c>
      <c r="S26" s="18" t="str">
        <f t="shared" si="8"/>
        <v/>
      </c>
    </row>
    <row r="27" spans="4:19" x14ac:dyDescent="0.25">
      <c r="D27" s="9"/>
      <c r="E27" s="9"/>
      <c r="F27" s="9"/>
      <c r="G27" s="9"/>
      <c r="H27" s="9"/>
      <c r="I27" s="18"/>
      <c r="J27" s="18" t="str">
        <f t="shared" ref="J27:S27" si="9">IF(I27="","",I27)</f>
        <v/>
      </c>
      <c r="K27" s="18" t="str">
        <f t="shared" si="9"/>
        <v/>
      </c>
      <c r="L27" s="18" t="str">
        <f t="shared" si="9"/>
        <v/>
      </c>
      <c r="M27" s="18" t="str">
        <f t="shared" si="9"/>
        <v/>
      </c>
      <c r="N27" s="18" t="str">
        <f t="shared" si="9"/>
        <v/>
      </c>
      <c r="O27" s="18" t="str">
        <f t="shared" si="9"/>
        <v/>
      </c>
      <c r="P27" s="18" t="str">
        <f t="shared" si="9"/>
        <v/>
      </c>
      <c r="Q27" s="18" t="str">
        <f t="shared" si="9"/>
        <v/>
      </c>
      <c r="R27" s="18" t="str">
        <f t="shared" si="9"/>
        <v/>
      </c>
      <c r="S27" s="18" t="str">
        <f t="shared" si="9"/>
        <v/>
      </c>
    </row>
    <row r="28" spans="4:19" x14ac:dyDescent="0.25">
      <c r="D28" s="9"/>
      <c r="E28" s="9"/>
      <c r="F28" s="9"/>
      <c r="G28" s="9"/>
      <c r="H28" s="9"/>
      <c r="I28" s="18"/>
      <c r="J28" s="18" t="str">
        <f t="shared" ref="J28:S28" si="10">IF(I28="","",I28)</f>
        <v/>
      </c>
      <c r="K28" s="18" t="str">
        <f t="shared" si="10"/>
        <v/>
      </c>
      <c r="L28" s="18" t="str">
        <f t="shared" si="10"/>
        <v/>
      </c>
      <c r="M28" s="18" t="str">
        <f t="shared" si="10"/>
        <v/>
      </c>
      <c r="N28" s="18" t="str">
        <f t="shared" si="10"/>
        <v/>
      </c>
      <c r="O28" s="18" t="str">
        <f t="shared" si="10"/>
        <v/>
      </c>
      <c r="P28" s="18" t="str">
        <f t="shared" si="10"/>
        <v/>
      </c>
      <c r="Q28" s="18" t="str">
        <f t="shared" si="10"/>
        <v/>
      </c>
      <c r="R28" s="18" t="str">
        <f t="shared" si="10"/>
        <v/>
      </c>
      <c r="S28" s="18" t="str">
        <f t="shared" si="10"/>
        <v/>
      </c>
    </row>
    <row r="29" spans="4:19" x14ac:dyDescent="0.25">
      <c r="D29" s="9"/>
      <c r="E29" s="9"/>
      <c r="F29" s="9"/>
      <c r="G29" s="9"/>
      <c r="H29" s="9"/>
      <c r="I29" s="18"/>
      <c r="J29" s="18" t="str">
        <f t="shared" ref="J29:S29" si="11">IF(I29="","",I29)</f>
        <v/>
      </c>
      <c r="K29" s="18" t="str">
        <f t="shared" si="11"/>
        <v/>
      </c>
      <c r="L29" s="18" t="str">
        <f t="shared" si="11"/>
        <v/>
      </c>
      <c r="M29" s="18" t="str">
        <f t="shared" si="11"/>
        <v/>
      </c>
      <c r="N29" s="18" t="str">
        <f t="shared" si="11"/>
        <v/>
      </c>
      <c r="O29" s="18" t="str">
        <f t="shared" si="11"/>
        <v/>
      </c>
      <c r="P29" s="18" t="str">
        <f t="shared" si="11"/>
        <v/>
      </c>
      <c r="Q29" s="18" t="str">
        <f t="shared" si="11"/>
        <v/>
      </c>
      <c r="R29" s="18" t="str">
        <f t="shared" si="11"/>
        <v/>
      </c>
      <c r="S29" s="18" t="str">
        <f t="shared" si="11"/>
        <v/>
      </c>
    </row>
    <row r="30" spans="4:19" x14ac:dyDescent="0.25">
      <c r="D30" s="9"/>
      <c r="E30" s="9"/>
      <c r="F30" s="9"/>
      <c r="G30" s="9"/>
      <c r="H30" s="9"/>
      <c r="I30" s="18"/>
      <c r="J30" s="18" t="str">
        <f t="shared" ref="J30:S30" si="12">IF(I30="","",I30)</f>
        <v/>
      </c>
      <c r="K30" s="18" t="str">
        <f t="shared" si="12"/>
        <v/>
      </c>
      <c r="L30" s="18" t="str">
        <f t="shared" si="12"/>
        <v/>
      </c>
      <c r="M30" s="18" t="str">
        <f t="shared" si="12"/>
        <v/>
      </c>
      <c r="N30" s="18" t="str">
        <f t="shared" si="12"/>
        <v/>
      </c>
      <c r="O30" s="18" t="str">
        <f t="shared" si="12"/>
        <v/>
      </c>
      <c r="P30" s="18" t="str">
        <f t="shared" si="12"/>
        <v/>
      </c>
      <c r="Q30" s="18" t="str">
        <f t="shared" si="12"/>
        <v/>
      </c>
      <c r="R30" s="18" t="str">
        <f t="shared" si="12"/>
        <v/>
      </c>
      <c r="S30" s="18" t="str">
        <f t="shared" si="12"/>
        <v/>
      </c>
    </row>
    <row r="31" spans="4:19" x14ac:dyDescent="0.25">
      <c r="D31" s="9"/>
      <c r="E31" s="9"/>
      <c r="F31" s="9"/>
      <c r="G31" s="9"/>
      <c r="H31" s="9"/>
      <c r="I31" s="18"/>
      <c r="J31" s="18" t="str">
        <f t="shared" ref="J31:S31" si="13">IF(I31="","",I31)</f>
        <v/>
      </c>
      <c r="K31" s="18" t="str">
        <f t="shared" si="13"/>
        <v/>
      </c>
      <c r="L31" s="18" t="str">
        <f t="shared" si="13"/>
        <v/>
      </c>
      <c r="M31" s="18" t="str">
        <f t="shared" si="13"/>
        <v/>
      </c>
      <c r="N31" s="18" t="str">
        <f t="shared" si="13"/>
        <v/>
      </c>
      <c r="O31" s="18" t="str">
        <f t="shared" si="13"/>
        <v/>
      </c>
      <c r="P31" s="18" t="str">
        <f t="shared" si="13"/>
        <v/>
      </c>
      <c r="Q31" s="18" t="str">
        <f t="shared" si="13"/>
        <v/>
      </c>
      <c r="R31" s="18" t="str">
        <f t="shared" si="13"/>
        <v/>
      </c>
      <c r="S31" s="18" t="str">
        <f t="shared" si="13"/>
        <v/>
      </c>
    </row>
    <row r="32" spans="4:19" x14ac:dyDescent="0.25">
      <c r="D32" s="9"/>
      <c r="E32" s="9"/>
      <c r="F32" s="9"/>
      <c r="G32" s="9"/>
      <c r="H32" s="9"/>
      <c r="I32" s="18"/>
      <c r="J32" s="18" t="str">
        <f t="shared" ref="J32:S32" si="14">IF(I32="","",I32)</f>
        <v/>
      </c>
      <c r="K32" s="18" t="str">
        <f t="shared" si="14"/>
        <v/>
      </c>
      <c r="L32" s="18" t="str">
        <f t="shared" si="14"/>
        <v/>
      </c>
      <c r="M32" s="18" t="str">
        <f t="shared" si="14"/>
        <v/>
      </c>
      <c r="N32" s="18" t="str">
        <f t="shared" si="14"/>
        <v/>
      </c>
      <c r="O32" s="18" t="str">
        <f t="shared" si="14"/>
        <v/>
      </c>
      <c r="P32" s="18" t="str">
        <f t="shared" si="14"/>
        <v/>
      </c>
      <c r="Q32" s="18" t="str">
        <f t="shared" si="14"/>
        <v/>
      </c>
      <c r="R32" s="18" t="str">
        <f t="shared" si="14"/>
        <v/>
      </c>
      <c r="S32" s="18" t="str">
        <f t="shared" si="14"/>
        <v/>
      </c>
    </row>
    <row r="33" spans="4:19" x14ac:dyDescent="0.25">
      <c r="D33" s="9"/>
      <c r="E33" s="9"/>
      <c r="F33" s="9"/>
      <c r="G33" s="9"/>
      <c r="H33" s="9"/>
      <c r="I33" s="18"/>
      <c r="J33" s="18" t="str">
        <f t="shared" ref="J33:S33" si="15">IF(I33="","",I33)</f>
        <v/>
      </c>
      <c r="K33" s="18" t="str">
        <f t="shared" si="15"/>
        <v/>
      </c>
      <c r="L33" s="18" t="str">
        <f t="shared" si="15"/>
        <v/>
      </c>
      <c r="M33" s="18" t="str">
        <f t="shared" si="15"/>
        <v/>
      </c>
      <c r="N33" s="18" t="str">
        <f t="shared" si="15"/>
        <v/>
      </c>
      <c r="O33" s="18" t="str">
        <f t="shared" si="15"/>
        <v/>
      </c>
      <c r="P33" s="18" t="str">
        <f t="shared" si="15"/>
        <v/>
      </c>
      <c r="Q33" s="18" t="str">
        <f t="shared" si="15"/>
        <v/>
      </c>
      <c r="R33" s="18" t="str">
        <f t="shared" si="15"/>
        <v/>
      </c>
      <c r="S33" s="18" t="str">
        <f t="shared" si="15"/>
        <v/>
      </c>
    </row>
    <row r="34" spans="4:19" x14ac:dyDescent="0.25">
      <c r="D34" s="9"/>
      <c r="E34" s="9"/>
      <c r="F34" s="9"/>
      <c r="G34" s="9"/>
      <c r="H34" s="9"/>
      <c r="I34" s="18"/>
      <c r="J34" s="18" t="str">
        <f t="shared" ref="J34:S34" si="16">IF(I34="","",I34)</f>
        <v/>
      </c>
      <c r="K34" s="18" t="str">
        <f t="shared" si="16"/>
        <v/>
      </c>
      <c r="L34" s="18" t="str">
        <f t="shared" si="16"/>
        <v/>
      </c>
      <c r="M34" s="18" t="str">
        <f t="shared" si="16"/>
        <v/>
      </c>
      <c r="N34" s="18" t="str">
        <f t="shared" si="16"/>
        <v/>
      </c>
      <c r="O34" s="18" t="str">
        <f t="shared" si="16"/>
        <v/>
      </c>
      <c r="P34" s="18" t="str">
        <f t="shared" si="16"/>
        <v/>
      </c>
      <c r="Q34" s="18" t="str">
        <f t="shared" si="16"/>
        <v/>
      </c>
      <c r="R34" s="18" t="str">
        <f t="shared" si="16"/>
        <v/>
      </c>
      <c r="S34" s="18" t="str">
        <f t="shared" si="16"/>
        <v/>
      </c>
    </row>
    <row r="35" spans="4:19" x14ac:dyDescent="0.25">
      <c r="D35" s="9"/>
      <c r="E35" s="9"/>
      <c r="F35" s="9"/>
      <c r="G35" s="9"/>
      <c r="H35" s="9"/>
      <c r="I35" s="18"/>
      <c r="J35" s="18" t="str">
        <f t="shared" ref="J35:S35" si="17">IF(I35="","",I35)</f>
        <v/>
      </c>
      <c r="K35" s="18" t="str">
        <f t="shared" si="17"/>
        <v/>
      </c>
      <c r="L35" s="18" t="str">
        <f t="shared" si="17"/>
        <v/>
      </c>
      <c r="M35" s="18" t="str">
        <f t="shared" si="17"/>
        <v/>
      </c>
      <c r="N35" s="18" t="str">
        <f t="shared" si="17"/>
        <v/>
      </c>
      <c r="O35" s="18" t="str">
        <f t="shared" si="17"/>
        <v/>
      </c>
      <c r="P35" s="18" t="str">
        <f t="shared" si="17"/>
        <v/>
      </c>
      <c r="Q35" s="18" t="str">
        <f t="shared" si="17"/>
        <v/>
      </c>
      <c r="R35" s="18" t="str">
        <f t="shared" si="17"/>
        <v/>
      </c>
      <c r="S35" s="18" t="str">
        <f t="shared" si="17"/>
        <v/>
      </c>
    </row>
    <row r="36" spans="4:19" x14ac:dyDescent="0.25">
      <c r="D36" s="9"/>
      <c r="E36" s="9"/>
      <c r="F36" s="9"/>
      <c r="G36" s="9"/>
      <c r="H36" s="9"/>
      <c r="I36" s="18"/>
      <c r="J36" s="18" t="str">
        <f t="shared" ref="J36:S36" si="18">IF(I36="","",I36)</f>
        <v/>
      </c>
      <c r="K36" s="18" t="str">
        <f t="shared" si="18"/>
        <v/>
      </c>
      <c r="L36" s="18" t="str">
        <f t="shared" si="18"/>
        <v/>
      </c>
      <c r="M36" s="18" t="str">
        <f t="shared" si="18"/>
        <v/>
      </c>
      <c r="N36" s="18" t="str">
        <f t="shared" si="18"/>
        <v/>
      </c>
      <c r="O36" s="18" t="str">
        <f t="shared" si="18"/>
        <v/>
      </c>
      <c r="P36" s="18" t="str">
        <f t="shared" si="18"/>
        <v/>
      </c>
      <c r="Q36" s="18" t="str">
        <f t="shared" si="18"/>
        <v/>
      </c>
      <c r="R36" s="18" t="str">
        <f t="shared" si="18"/>
        <v/>
      </c>
      <c r="S36" s="18" t="str">
        <f t="shared" si="18"/>
        <v/>
      </c>
    </row>
    <row r="37" spans="4:19" x14ac:dyDescent="0.25">
      <c r="D37" s="9"/>
      <c r="E37" s="9"/>
      <c r="F37" s="9"/>
      <c r="G37" s="9"/>
      <c r="H37" s="9"/>
      <c r="I37" s="18"/>
      <c r="J37" s="18" t="str">
        <f t="shared" ref="J37:S37" si="19">IF(I37="","",I37)</f>
        <v/>
      </c>
      <c r="K37" s="18" t="str">
        <f t="shared" si="19"/>
        <v/>
      </c>
      <c r="L37" s="18" t="str">
        <f t="shared" si="19"/>
        <v/>
      </c>
      <c r="M37" s="18" t="str">
        <f t="shared" si="19"/>
        <v/>
      </c>
      <c r="N37" s="18" t="str">
        <f t="shared" si="19"/>
        <v/>
      </c>
      <c r="O37" s="18" t="str">
        <f t="shared" si="19"/>
        <v/>
      </c>
      <c r="P37" s="18" t="str">
        <f t="shared" si="19"/>
        <v/>
      </c>
      <c r="Q37" s="18" t="str">
        <f t="shared" si="19"/>
        <v/>
      </c>
      <c r="R37" s="18" t="str">
        <f t="shared" si="19"/>
        <v/>
      </c>
      <c r="S37" s="18" t="str">
        <f t="shared" si="19"/>
        <v/>
      </c>
    </row>
    <row r="38" spans="4:19" x14ac:dyDescent="0.25">
      <c r="D38" s="9"/>
      <c r="E38" s="9"/>
      <c r="F38" s="9"/>
      <c r="G38" s="9"/>
      <c r="H38" s="9"/>
      <c r="I38" s="18"/>
      <c r="J38" s="18" t="str">
        <f t="shared" ref="J38:S38" si="20">IF(I38="","",I38)</f>
        <v/>
      </c>
      <c r="K38" s="18" t="str">
        <f t="shared" si="20"/>
        <v/>
      </c>
      <c r="L38" s="18" t="str">
        <f t="shared" si="20"/>
        <v/>
      </c>
      <c r="M38" s="18" t="str">
        <f t="shared" si="20"/>
        <v/>
      </c>
      <c r="N38" s="18" t="str">
        <f t="shared" si="20"/>
        <v/>
      </c>
      <c r="O38" s="18" t="str">
        <f t="shared" si="20"/>
        <v/>
      </c>
      <c r="P38" s="18" t="str">
        <f t="shared" si="20"/>
        <v/>
      </c>
      <c r="Q38" s="18" t="str">
        <f t="shared" si="20"/>
        <v/>
      </c>
      <c r="R38" s="18" t="str">
        <f t="shared" si="20"/>
        <v/>
      </c>
      <c r="S38" s="18" t="str">
        <f t="shared" si="20"/>
        <v/>
      </c>
    </row>
    <row r="39" spans="4:19" x14ac:dyDescent="0.25">
      <c r="D39" s="9"/>
      <c r="E39" s="9"/>
      <c r="F39" s="9"/>
      <c r="G39" s="9"/>
      <c r="H39" s="9"/>
      <c r="I39" s="18"/>
      <c r="J39" s="18" t="str">
        <f t="shared" ref="J39:S39" si="21">IF(I39="","",I39)</f>
        <v/>
      </c>
      <c r="K39" s="18" t="str">
        <f t="shared" si="21"/>
        <v/>
      </c>
      <c r="L39" s="18" t="str">
        <f t="shared" si="21"/>
        <v/>
      </c>
      <c r="M39" s="18" t="str">
        <f t="shared" si="21"/>
        <v/>
      </c>
      <c r="N39" s="18" t="str">
        <f t="shared" si="21"/>
        <v/>
      </c>
      <c r="O39" s="18" t="str">
        <f t="shared" si="21"/>
        <v/>
      </c>
      <c r="P39" s="18" t="str">
        <f t="shared" si="21"/>
        <v/>
      </c>
      <c r="Q39" s="18" t="str">
        <f t="shared" si="21"/>
        <v/>
      </c>
      <c r="R39" s="18" t="str">
        <f t="shared" si="21"/>
        <v/>
      </c>
      <c r="S39" s="18" t="str">
        <f t="shared" si="21"/>
        <v/>
      </c>
    </row>
    <row r="40" spans="4:19" x14ac:dyDescent="0.25">
      <c r="D40" s="9"/>
      <c r="E40" s="9"/>
      <c r="F40" s="9"/>
      <c r="G40" s="9"/>
      <c r="H40" s="9"/>
      <c r="I40" s="18"/>
      <c r="J40" s="18" t="str">
        <f t="shared" ref="J40:S40" si="22">IF(I40="","",I40)</f>
        <v/>
      </c>
      <c r="K40" s="18" t="str">
        <f t="shared" si="22"/>
        <v/>
      </c>
      <c r="L40" s="18" t="str">
        <f t="shared" si="22"/>
        <v/>
      </c>
      <c r="M40" s="18" t="str">
        <f t="shared" si="22"/>
        <v/>
      </c>
      <c r="N40" s="18" t="str">
        <f t="shared" si="22"/>
        <v/>
      </c>
      <c r="O40" s="18" t="str">
        <f t="shared" si="22"/>
        <v/>
      </c>
      <c r="P40" s="18" t="str">
        <f t="shared" si="22"/>
        <v/>
      </c>
      <c r="Q40" s="18" t="str">
        <f t="shared" si="22"/>
        <v/>
      </c>
      <c r="R40" s="18" t="str">
        <f t="shared" si="22"/>
        <v/>
      </c>
      <c r="S40" s="18" t="str">
        <f t="shared" si="22"/>
        <v/>
      </c>
    </row>
    <row r="41" spans="4:19" x14ac:dyDescent="0.25">
      <c r="D41" s="9"/>
      <c r="E41" s="9"/>
      <c r="F41" s="9"/>
      <c r="G41" s="9"/>
      <c r="H41" s="9"/>
      <c r="I41" s="18"/>
      <c r="J41" s="18" t="str">
        <f t="shared" ref="J41:S41" si="23">IF(I41="","",I41)</f>
        <v/>
      </c>
      <c r="K41" s="18" t="str">
        <f t="shared" si="23"/>
        <v/>
      </c>
      <c r="L41" s="18" t="str">
        <f t="shared" si="23"/>
        <v/>
      </c>
      <c r="M41" s="18" t="str">
        <f t="shared" si="23"/>
        <v/>
      </c>
      <c r="N41" s="18" t="str">
        <f t="shared" si="23"/>
        <v/>
      </c>
      <c r="O41" s="18" t="str">
        <f t="shared" si="23"/>
        <v/>
      </c>
      <c r="P41" s="18" t="str">
        <f t="shared" si="23"/>
        <v/>
      </c>
      <c r="Q41" s="18" t="str">
        <f t="shared" si="23"/>
        <v/>
      </c>
      <c r="R41" s="18" t="str">
        <f t="shared" si="23"/>
        <v/>
      </c>
      <c r="S41" s="18" t="str">
        <f t="shared" si="23"/>
        <v/>
      </c>
    </row>
    <row r="42" spans="4:19" x14ac:dyDescent="0.25">
      <c r="D42" s="9"/>
      <c r="E42" s="9"/>
      <c r="F42" s="9"/>
      <c r="G42" s="9"/>
      <c r="H42" s="9"/>
      <c r="I42" s="18"/>
      <c r="J42" s="18" t="str">
        <f t="shared" ref="J42:S42" si="24">IF(I42="","",I42)</f>
        <v/>
      </c>
      <c r="K42" s="18" t="str">
        <f t="shared" si="24"/>
        <v/>
      </c>
      <c r="L42" s="18" t="str">
        <f t="shared" si="24"/>
        <v/>
      </c>
      <c r="M42" s="18" t="str">
        <f t="shared" si="24"/>
        <v/>
      </c>
      <c r="N42" s="18" t="str">
        <f t="shared" si="24"/>
        <v/>
      </c>
      <c r="O42" s="18" t="str">
        <f t="shared" si="24"/>
        <v/>
      </c>
      <c r="P42" s="18" t="str">
        <f t="shared" si="24"/>
        <v/>
      </c>
      <c r="Q42" s="18" t="str">
        <f t="shared" si="24"/>
        <v/>
      </c>
      <c r="R42" s="18" t="str">
        <f t="shared" si="24"/>
        <v/>
      </c>
      <c r="S42" s="18" t="str">
        <f t="shared" si="24"/>
        <v/>
      </c>
    </row>
    <row r="43" spans="4:19" x14ac:dyDescent="0.25">
      <c r="D43" s="9"/>
      <c r="E43" s="9"/>
      <c r="F43" s="9"/>
      <c r="G43" s="9"/>
      <c r="H43" s="9"/>
      <c r="I43" s="18"/>
      <c r="J43" s="18" t="str">
        <f t="shared" ref="J43:S43" si="25">IF(I43="","",I43)</f>
        <v/>
      </c>
      <c r="K43" s="18" t="str">
        <f t="shared" si="25"/>
        <v/>
      </c>
      <c r="L43" s="18" t="str">
        <f t="shared" si="25"/>
        <v/>
      </c>
      <c r="M43" s="18" t="str">
        <f t="shared" si="25"/>
        <v/>
      </c>
      <c r="N43" s="18" t="str">
        <f t="shared" si="25"/>
        <v/>
      </c>
      <c r="O43" s="18" t="str">
        <f t="shared" si="25"/>
        <v/>
      </c>
      <c r="P43" s="18" t="str">
        <f t="shared" si="25"/>
        <v/>
      </c>
      <c r="Q43" s="18" t="str">
        <f t="shared" si="25"/>
        <v/>
      </c>
      <c r="R43" s="18" t="str">
        <f t="shared" si="25"/>
        <v/>
      </c>
      <c r="S43" s="18" t="str">
        <f t="shared" si="25"/>
        <v/>
      </c>
    </row>
    <row r="44" spans="4:19" x14ac:dyDescent="0.25">
      <c r="D44" s="9"/>
      <c r="E44" s="9"/>
      <c r="F44" s="9"/>
      <c r="G44" s="9"/>
      <c r="H44" s="9"/>
      <c r="I44" s="18"/>
      <c r="J44" s="18" t="str">
        <f t="shared" ref="J44:S44" si="26">IF(I44="","",I44)</f>
        <v/>
      </c>
      <c r="K44" s="18" t="str">
        <f t="shared" si="26"/>
        <v/>
      </c>
      <c r="L44" s="18" t="str">
        <f t="shared" si="26"/>
        <v/>
      </c>
      <c r="M44" s="18" t="str">
        <f t="shared" si="26"/>
        <v/>
      </c>
      <c r="N44" s="18" t="str">
        <f t="shared" si="26"/>
        <v/>
      </c>
      <c r="O44" s="18" t="str">
        <f t="shared" si="26"/>
        <v/>
      </c>
      <c r="P44" s="18" t="str">
        <f t="shared" si="26"/>
        <v/>
      </c>
      <c r="Q44" s="18" t="str">
        <f t="shared" si="26"/>
        <v/>
      </c>
      <c r="R44" s="18" t="str">
        <f t="shared" si="26"/>
        <v/>
      </c>
      <c r="S44" s="18" t="str">
        <f t="shared" si="26"/>
        <v/>
      </c>
    </row>
    <row r="45" spans="4:19" x14ac:dyDescent="0.25">
      <c r="D45" s="9"/>
      <c r="E45" s="9"/>
      <c r="F45" s="9"/>
      <c r="G45" s="9"/>
      <c r="H45" s="9"/>
      <c r="I45" s="18"/>
      <c r="J45" s="18" t="str">
        <f t="shared" ref="J45:S45" si="27">IF(I45="","",I45)</f>
        <v/>
      </c>
      <c r="K45" s="18" t="str">
        <f t="shared" si="27"/>
        <v/>
      </c>
      <c r="L45" s="18" t="str">
        <f t="shared" si="27"/>
        <v/>
      </c>
      <c r="M45" s="18" t="str">
        <f t="shared" si="27"/>
        <v/>
      </c>
      <c r="N45" s="18" t="str">
        <f t="shared" si="27"/>
        <v/>
      </c>
      <c r="O45" s="18" t="str">
        <f t="shared" si="27"/>
        <v/>
      </c>
      <c r="P45" s="18" t="str">
        <f t="shared" si="27"/>
        <v/>
      </c>
      <c r="Q45" s="18" t="str">
        <f t="shared" si="27"/>
        <v/>
      </c>
      <c r="R45" s="18" t="str">
        <f t="shared" si="27"/>
        <v/>
      </c>
      <c r="S45" s="18" t="str">
        <f t="shared" si="27"/>
        <v/>
      </c>
    </row>
    <row r="46" spans="4:19" x14ac:dyDescent="0.25">
      <c r="D46" s="9"/>
      <c r="E46" s="9"/>
      <c r="F46" s="9"/>
      <c r="G46" s="9"/>
      <c r="H46" s="9"/>
      <c r="I46" s="18"/>
      <c r="J46" s="18" t="str">
        <f t="shared" ref="J46:S46" si="28">IF(I46="","",I46)</f>
        <v/>
      </c>
      <c r="K46" s="18" t="str">
        <f t="shared" si="28"/>
        <v/>
      </c>
      <c r="L46" s="18" t="str">
        <f t="shared" si="28"/>
        <v/>
      </c>
      <c r="M46" s="18" t="str">
        <f t="shared" si="28"/>
        <v/>
      </c>
      <c r="N46" s="18" t="str">
        <f t="shared" si="28"/>
        <v/>
      </c>
      <c r="O46" s="18" t="str">
        <f t="shared" si="28"/>
        <v/>
      </c>
      <c r="P46" s="18" t="str">
        <f t="shared" si="28"/>
        <v/>
      </c>
      <c r="Q46" s="18" t="str">
        <f t="shared" si="28"/>
        <v/>
      </c>
      <c r="R46" s="18" t="str">
        <f t="shared" si="28"/>
        <v/>
      </c>
      <c r="S46" s="18" t="str">
        <f t="shared" si="28"/>
        <v/>
      </c>
    </row>
    <row r="47" spans="4:19" x14ac:dyDescent="0.25">
      <c r="D47" s="9"/>
      <c r="E47" s="9"/>
      <c r="F47" s="9"/>
      <c r="G47" s="9"/>
      <c r="H47" s="9"/>
      <c r="I47" s="18"/>
      <c r="J47" s="18" t="str">
        <f t="shared" ref="J47:S47" si="29">IF(I47="","",I47)</f>
        <v/>
      </c>
      <c r="K47" s="18" t="str">
        <f t="shared" si="29"/>
        <v/>
      </c>
      <c r="L47" s="18" t="str">
        <f t="shared" si="29"/>
        <v/>
      </c>
      <c r="M47" s="18" t="str">
        <f t="shared" si="29"/>
        <v/>
      </c>
      <c r="N47" s="18" t="str">
        <f t="shared" si="29"/>
        <v/>
      </c>
      <c r="O47" s="18" t="str">
        <f t="shared" si="29"/>
        <v/>
      </c>
      <c r="P47" s="18" t="str">
        <f t="shared" si="29"/>
        <v/>
      </c>
      <c r="Q47" s="18" t="str">
        <f t="shared" si="29"/>
        <v/>
      </c>
      <c r="R47" s="18" t="str">
        <f t="shared" si="29"/>
        <v/>
      </c>
      <c r="S47" s="18" t="str">
        <f t="shared" si="29"/>
        <v/>
      </c>
    </row>
    <row r="48" spans="4:19" x14ac:dyDescent="0.25">
      <c r="D48" s="9"/>
      <c r="E48" s="9"/>
      <c r="F48" s="9"/>
      <c r="G48" s="9"/>
      <c r="H48" s="9"/>
      <c r="I48" s="18"/>
      <c r="J48" s="18" t="str">
        <f t="shared" ref="J48:S48" si="30">IF(I48="","",I48)</f>
        <v/>
      </c>
      <c r="K48" s="18" t="str">
        <f t="shared" si="30"/>
        <v/>
      </c>
      <c r="L48" s="18" t="str">
        <f t="shared" si="30"/>
        <v/>
      </c>
      <c r="M48" s="18" t="str">
        <f t="shared" si="30"/>
        <v/>
      </c>
      <c r="N48" s="18" t="str">
        <f t="shared" si="30"/>
        <v/>
      </c>
      <c r="O48" s="18" t="str">
        <f t="shared" si="30"/>
        <v/>
      </c>
      <c r="P48" s="18" t="str">
        <f t="shared" si="30"/>
        <v/>
      </c>
      <c r="Q48" s="18" t="str">
        <f t="shared" si="30"/>
        <v/>
      </c>
      <c r="R48" s="18" t="str">
        <f t="shared" si="30"/>
        <v/>
      </c>
      <c r="S48" s="18" t="str">
        <f t="shared" si="30"/>
        <v/>
      </c>
    </row>
    <row r="49" spans="4:19" x14ac:dyDescent="0.25">
      <c r="D49" s="9"/>
      <c r="E49" s="9"/>
      <c r="F49" s="9"/>
      <c r="G49" s="9"/>
      <c r="H49" s="9"/>
      <c r="I49" s="18"/>
      <c r="J49" s="18" t="str">
        <f t="shared" ref="J49:S49" si="31">IF(I49="","",I49)</f>
        <v/>
      </c>
      <c r="K49" s="18" t="str">
        <f t="shared" si="31"/>
        <v/>
      </c>
      <c r="L49" s="18" t="str">
        <f t="shared" si="31"/>
        <v/>
      </c>
      <c r="M49" s="18" t="str">
        <f t="shared" si="31"/>
        <v/>
      </c>
      <c r="N49" s="18" t="str">
        <f t="shared" si="31"/>
        <v/>
      </c>
      <c r="O49" s="18" t="str">
        <f t="shared" si="31"/>
        <v/>
      </c>
      <c r="P49" s="18" t="str">
        <f t="shared" si="31"/>
        <v/>
      </c>
      <c r="Q49" s="18" t="str">
        <f t="shared" si="31"/>
        <v/>
      </c>
      <c r="R49" s="18" t="str">
        <f t="shared" si="31"/>
        <v/>
      </c>
      <c r="S49" s="18" t="str">
        <f t="shared" si="31"/>
        <v/>
      </c>
    </row>
    <row r="50" spans="4:19" x14ac:dyDescent="0.25">
      <c r="D50" s="9"/>
      <c r="E50" s="9"/>
      <c r="F50" s="9"/>
      <c r="G50" s="9"/>
      <c r="H50" s="9"/>
      <c r="I50" s="18"/>
      <c r="J50" s="18" t="str">
        <f t="shared" ref="J50:S50" si="32">IF(I50="","",I50)</f>
        <v/>
      </c>
      <c r="K50" s="18" t="str">
        <f t="shared" si="32"/>
        <v/>
      </c>
      <c r="L50" s="18" t="str">
        <f t="shared" si="32"/>
        <v/>
      </c>
      <c r="M50" s="18" t="str">
        <f t="shared" si="32"/>
        <v/>
      </c>
      <c r="N50" s="18" t="str">
        <f t="shared" si="32"/>
        <v/>
      </c>
      <c r="O50" s="18" t="str">
        <f t="shared" si="32"/>
        <v/>
      </c>
      <c r="P50" s="18" t="str">
        <f t="shared" si="32"/>
        <v/>
      </c>
      <c r="Q50" s="18" t="str">
        <f t="shared" si="32"/>
        <v/>
      </c>
      <c r="R50" s="18" t="str">
        <f t="shared" si="32"/>
        <v/>
      </c>
      <c r="S50" s="18" t="str">
        <f t="shared" si="32"/>
        <v/>
      </c>
    </row>
    <row r="51" spans="4:19" x14ac:dyDescent="0.25">
      <c r="D51" s="9"/>
      <c r="E51" s="9"/>
      <c r="F51" s="9"/>
      <c r="G51" s="9"/>
      <c r="H51" s="9"/>
      <c r="I51" s="9"/>
      <c r="J51" s="9" t="str">
        <f t="shared" ref="J51:S51" si="33">IF(I51="","",I51)</f>
        <v/>
      </c>
      <c r="K51" s="9" t="str">
        <f t="shared" si="33"/>
        <v/>
      </c>
      <c r="L51" s="9" t="str">
        <f t="shared" si="33"/>
        <v/>
      </c>
      <c r="M51" s="9" t="str">
        <f t="shared" si="33"/>
        <v/>
      </c>
      <c r="N51" s="9" t="str">
        <f t="shared" si="33"/>
        <v/>
      </c>
      <c r="O51" s="9" t="str">
        <f t="shared" si="33"/>
        <v/>
      </c>
      <c r="P51" s="9" t="str">
        <f t="shared" si="33"/>
        <v/>
      </c>
      <c r="Q51" s="9" t="str">
        <f t="shared" si="33"/>
        <v/>
      </c>
      <c r="R51" s="9" t="str">
        <f t="shared" si="33"/>
        <v/>
      </c>
      <c r="S51" s="9" t="str">
        <f t="shared" si="33"/>
        <v/>
      </c>
    </row>
    <row r="52" spans="4:19" ht="15.75" thickBot="1" x14ac:dyDescent="0.3">
      <c r="D52" s="10"/>
      <c r="E52" s="10"/>
      <c r="F52" s="10"/>
      <c r="G52" s="10"/>
      <c r="H52" s="10"/>
      <c r="I52" s="10"/>
      <c r="J52" s="10" t="str">
        <f t="shared" ref="J52:S52" si="34">IF(I52="","",I52)</f>
        <v/>
      </c>
      <c r="K52" s="10" t="str">
        <f t="shared" si="34"/>
        <v/>
      </c>
      <c r="L52" s="10" t="str">
        <f t="shared" si="34"/>
        <v/>
      </c>
      <c r="M52" s="10" t="str">
        <f t="shared" si="34"/>
        <v/>
      </c>
      <c r="N52" s="10" t="str">
        <f t="shared" si="34"/>
        <v/>
      </c>
      <c r="O52" s="10" t="str">
        <f t="shared" si="34"/>
        <v/>
      </c>
      <c r="P52" s="10" t="str">
        <f t="shared" si="34"/>
        <v/>
      </c>
      <c r="Q52" s="10" t="str">
        <f t="shared" si="34"/>
        <v/>
      </c>
      <c r="R52" s="10" t="str">
        <f t="shared" si="34"/>
        <v/>
      </c>
      <c r="S52" s="10" t="str">
        <f t="shared" si="34"/>
        <v/>
      </c>
    </row>
    <row r="53" spans="4:19" x14ac:dyDescent="0.25">
      <c r="J53" s="5" t="s">
        <v>299</v>
      </c>
      <c r="K53" s="5" t="s">
        <v>299</v>
      </c>
      <c r="L53" s="5" t="s">
        <v>299</v>
      </c>
      <c r="M53" s="5" t="s">
        <v>299</v>
      </c>
      <c r="N53" s="5" t="s">
        <v>299</v>
      </c>
      <c r="O53" s="5" t="s">
        <v>299</v>
      </c>
      <c r="P53" s="5" t="s">
        <v>299</v>
      </c>
      <c r="Q53" s="5" t="s">
        <v>299</v>
      </c>
      <c r="R53" s="5" t="s">
        <v>299</v>
      </c>
      <c r="S53" s="5" t="s">
        <v>299</v>
      </c>
    </row>
  </sheetData>
  <dataValidations count="5">
    <dataValidation type="list" allowBlank="1" showInputMessage="1" showErrorMessage="1" sqref="F5:F50">
      <formula1>WPQuality</formula1>
    </dataValidation>
    <dataValidation type="list" allowBlank="1" showInputMessage="1" showErrorMessage="1" sqref="D5:D50">
      <formula1>WPProcess</formula1>
    </dataValidation>
    <dataValidation type="list" allowBlank="1" showInputMessage="1" showErrorMessage="1" sqref="E5:E50">
      <formula1>MineQuality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OPEX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3">
    <tabColor rgb="FF996633"/>
  </sheetPr>
  <dimension ref="B1:S31"/>
  <sheetViews>
    <sheetView zoomScaleNormal="100" workbookViewId="0">
      <selection activeCell="F7" sqref="F7"/>
    </sheetView>
  </sheetViews>
  <sheetFormatPr baseColWidth="10" defaultColWidth="11.5703125" defaultRowHeight="15" x14ac:dyDescent="0.25"/>
  <cols>
    <col min="1" max="3" width="3.85546875" style="5" customWidth="1"/>
    <col min="4" max="4" width="25.85546875" style="5" customWidth="1"/>
    <col min="5" max="5" width="20.85546875" style="5" customWidth="1"/>
    <col min="6" max="8" width="15.85546875" style="5" customWidth="1"/>
    <col min="9" max="9" width="15.85546875" style="105" customWidth="1"/>
    <col min="10" max="19" width="8.85546875" style="5" customWidth="1"/>
    <col min="20" max="16384" width="11.5703125" style="5"/>
  </cols>
  <sheetData>
    <row r="1" spans="2:19" s="95" customFormat="1" ht="24.95" customHeight="1" x14ac:dyDescent="0.25">
      <c r="B1" s="97" t="s">
        <v>284</v>
      </c>
      <c r="I1" s="104"/>
    </row>
    <row r="3" spans="2:19" ht="15.75" thickBot="1" x14ac:dyDescent="0.3">
      <c r="D3" s="38" t="str">
        <f>JESA_UploadTable(B1,D4:S12,db)</f>
        <v>Beneficiation capex @09:45:18</v>
      </c>
    </row>
    <row r="4" spans="2:19" ht="30" customHeight="1" x14ac:dyDescent="0.25">
      <c r="D4" s="99" t="s">
        <v>30</v>
      </c>
      <c r="E4" s="100" t="s">
        <v>25</v>
      </c>
      <c r="F4" s="100" t="s">
        <v>268</v>
      </c>
      <c r="G4" s="99" t="s">
        <v>12</v>
      </c>
      <c r="H4" s="99" t="s">
        <v>17</v>
      </c>
      <c r="I4" s="114" t="s">
        <v>145</v>
      </c>
      <c r="J4" s="112" t="s">
        <v>71</v>
      </c>
      <c r="K4" s="112" t="s">
        <v>72</v>
      </c>
      <c r="L4" s="112" t="s">
        <v>73</v>
      </c>
      <c r="M4" s="112" t="s">
        <v>74</v>
      </c>
      <c r="N4" s="112" t="s">
        <v>75</v>
      </c>
      <c r="O4" s="112" t="s">
        <v>362</v>
      </c>
      <c r="P4" s="112" t="s">
        <v>76</v>
      </c>
      <c r="Q4" s="112" t="s">
        <v>77</v>
      </c>
      <c r="R4" s="112" t="s">
        <v>78</v>
      </c>
      <c r="S4" s="112" t="s">
        <v>79</v>
      </c>
    </row>
    <row r="5" spans="2:19" x14ac:dyDescent="0.25">
      <c r="D5" s="9" t="s">
        <v>285</v>
      </c>
      <c r="E5" s="110" t="s">
        <v>285</v>
      </c>
      <c r="F5" s="18">
        <v>9</v>
      </c>
      <c r="G5" s="9" t="s">
        <v>22</v>
      </c>
      <c r="H5" s="9" t="s">
        <v>375</v>
      </c>
      <c r="I5" s="109">
        <v>184160707.244427</v>
      </c>
      <c r="J5" s="27"/>
      <c r="K5" s="27"/>
      <c r="L5" s="27">
        <v>0.3</v>
      </c>
      <c r="M5" s="27">
        <v>0.3</v>
      </c>
      <c r="N5" s="27">
        <v>0.3</v>
      </c>
      <c r="O5" s="27">
        <v>0.1</v>
      </c>
      <c r="P5" s="27"/>
      <c r="Q5" s="27"/>
      <c r="R5" s="27"/>
      <c r="S5" s="27"/>
    </row>
    <row r="6" spans="2:19" x14ac:dyDescent="0.25">
      <c r="D6" s="9" t="s">
        <v>285</v>
      </c>
      <c r="E6" s="110" t="s">
        <v>285</v>
      </c>
      <c r="F6" s="18">
        <v>14.5</v>
      </c>
      <c r="G6" s="9" t="s">
        <v>22</v>
      </c>
      <c r="H6" s="9" t="s">
        <v>375</v>
      </c>
      <c r="I6" s="109">
        <f>I5*11/12</f>
        <v>168813981.64072475</v>
      </c>
      <c r="J6" s="27"/>
      <c r="K6" s="27"/>
      <c r="L6" s="27">
        <v>0.3</v>
      </c>
      <c r="M6" s="27">
        <v>0.3</v>
      </c>
      <c r="N6" s="27">
        <v>0.3</v>
      </c>
      <c r="O6" s="27">
        <v>0.1</v>
      </c>
      <c r="P6" s="27"/>
      <c r="Q6" s="27"/>
      <c r="R6" s="27"/>
      <c r="S6" s="27"/>
    </row>
    <row r="7" spans="2:19" x14ac:dyDescent="0.25">
      <c r="D7" s="9" t="s">
        <v>293</v>
      </c>
      <c r="E7" s="9" t="s">
        <v>293</v>
      </c>
      <c r="F7" s="18">
        <v>4.5</v>
      </c>
      <c r="G7" s="9" t="s">
        <v>22</v>
      </c>
      <c r="H7" s="9" t="s">
        <v>375</v>
      </c>
      <c r="I7" s="109">
        <v>321900000</v>
      </c>
      <c r="J7" s="27"/>
      <c r="K7" s="27"/>
      <c r="L7" s="27">
        <v>0.3</v>
      </c>
      <c r="M7" s="27">
        <v>0.3</v>
      </c>
      <c r="N7" s="27">
        <v>0.3</v>
      </c>
      <c r="O7" s="27">
        <v>0.1</v>
      </c>
      <c r="P7" s="27"/>
      <c r="Q7" s="27"/>
      <c r="R7" s="27"/>
      <c r="S7" s="27"/>
    </row>
    <row r="8" spans="2:19" x14ac:dyDescent="0.25">
      <c r="D8" s="9" t="s">
        <v>291</v>
      </c>
      <c r="E8" s="9" t="s">
        <v>291</v>
      </c>
      <c r="F8" s="18">
        <v>10</v>
      </c>
      <c r="G8" s="9" t="s">
        <v>22</v>
      </c>
      <c r="H8" s="9" t="s">
        <v>375</v>
      </c>
      <c r="I8" s="109">
        <v>244925309.02103099</v>
      </c>
      <c r="J8" s="27"/>
      <c r="K8" s="27"/>
      <c r="L8" s="27">
        <v>0.3</v>
      </c>
      <c r="M8" s="27">
        <v>0.3</v>
      </c>
      <c r="N8" s="27">
        <v>0.3</v>
      </c>
      <c r="O8" s="27">
        <v>0.1</v>
      </c>
      <c r="P8" s="27"/>
      <c r="Q8" s="27"/>
      <c r="R8" s="27"/>
      <c r="S8" s="27"/>
    </row>
    <row r="9" spans="2:19" x14ac:dyDescent="0.25">
      <c r="D9" s="9"/>
      <c r="E9" s="9"/>
      <c r="F9" s="18"/>
      <c r="G9" s="9"/>
      <c r="H9" s="9"/>
      <c r="I9" s="109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2:19" x14ac:dyDescent="0.25">
      <c r="D10" s="9"/>
      <c r="E10" s="9"/>
      <c r="F10" s="18"/>
      <c r="G10" s="9"/>
      <c r="H10" s="9"/>
      <c r="I10" s="109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2:19" x14ac:dyDescent="0.25">
      <c r="D11" s="9"/>
      <c r="E11" s="9"/>
      <c r="F11" s="18"/>
      <c r="G11" s="9"/>
      <c r="H11" s="9"/>
      <c r="I11" s="109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25">
      <c r="D12" s="9"/>
      <c r="E12" s="9"/>
      <c r="F12" s="18"/>
      <c r="G12" s="9"/>
      <c r="H12" s="9"/>
      <c r="I12" s="109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25">
      <c r="D13" s="9"/>
      <c r="E13" s="9"/>
      <c r="F13" s="18"/>
      <c r="G13" s="9"/>
      <c r="H13" s="9"/>
      <c r="I13" s="109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25">
      <c r="D14" s="9"/>
      <c r="E14" s="9"/>
      <c r="F14" s="18"/>
      <c r="G14" s="9"/>
      <c r="H14" s="9"/>
      <c r="I14" s="109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25">
      <c r="D15" s="9"/>
      <c r="E15" s="9"/>
      <c r="F15" s="18"/>
      <c r="G15" s="9"/>
      <c r="H15" s="9"/>
      <c r="I15" s="109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25">
      <c r="D16" s="9"/>
      <c r="E16" s="9"/>
      <c r="F16" s="18"/>
      <c r="G16" s="9"/>
      <c r="H16" s="9"/>
      <c r="I16" s="109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25">
      <c r="D17" s="9"/>
      <c r="E17" s="9"/>
      <c r="F17" s="18"/>
      <c r="G17" s="9"/>
      <c r="H17" s="9"/>
      <c r="I17" s="109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25">
      <c r="D18" s="9"/>
      <c r="E18" s="9"/>
      <c r="F18" s="18"/>
      <c r="G18" s="9"/>
      <c r="H18" s="9"/>
      <c r="I18" s="109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25">
      <c r="D19" s="9"/>
      <c r="E19" s="9"/>
      <c r="F19" s="18"/>
      <c r="G19" s="9"/>
      <c r="H19" s="9"/>
      <c r="I19" s="109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25">
      <c r="D20" s="9"/>
      <c r="E20" s="9"/>
      <c r="F20" s="18"/>
      <c r="G20" s="9"/>
      <c r="H20" s="9"/>
      <c r="I20" s="109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ht="15.75" thickBot="1" x14ac:dyDescent="0.3">
      <c r="D21" s="10"/>
      <c r="E21" s="10"/>
      <c r="F21" s="46"/>
      <c r="G21" s="10"/>
      <c r="H21" s="10"/>
      <c r="I21" s="115"/>
      <c r="J21" s="44"/>
      <c r="K21" s="44"/>
      <c r="L21" s="44"/>
      <c r="M21" s="44"/>
      <c r="N21" s="44"/>
      <c r="O21" s="44"/>
      <c r="P21" s="44"/>
      <c r="Q21" s="44"/>
      <c r="R21" s="44"/>
      <c r="S21" s="44"/>
    </row>
    <row r="22" spans="4:19" x14ac:dyDescent="0.25">
      <c r="I22" s="5"/>
    </row>
    <row r="23" spans="4:19" x14ac:dyDescent="0.25">
      <c r="I23" s="5"/>
    </row>
    <row r="24" spans="4:19" x14ac:dyDescent="0.25">
      <c r="I24" s="5"/>
    </row>
    <row r="25" spans="4:19" x14ac:dyDescent="0.25">
      <c r="I25" s="5"/>
    </row>
    <row r="26" spans="4:19" x14ac:dyDescent="0.25">
      <c r="I26" s="5"/>
    </row>
    <row r="27" spans="4:19" x14ac:dyDescent="0.25">
      <c r="I27" s="5"/>
    </row>
    <row r="28" spans="4:19" x14ac:dyDescent="0.25">
      <c r="I28" s="5"/>
    </row>
    <row r="29" spans="4:19" x14ac:dyDescent="0.25">
      <c r="I29" s="5"/>
    </row>
    <row r="30" spans="4:19" x14ac:dyDescent="0.25">
      <c r="I30" s="5"/>
    </row>
    <row r="31" spans="4:19" x14ac:dyDescent="0.25">
      <c r="I31" s="5"/>
    </row>
  </sheetData>
  <dataValidations count="4">
    <dataValidation type="list" allowBlank="1" showInputMessage="1" showErrorMessage="1" sqref="D5:D21">
      <formula1>WPName</formula1>
    </dataValidation>
    <dataValidation type="list" allowBlank="1" showInputMessage="1" showErrorMessage="1" sqref="E5:E21">
      <formula1>WPProcess</formula1>
    </dataValidation>
    <dataValidation type="list" allowBlank="1" showInputMessage="1" showErrorMessage="1" sqref="G5:G21">
      <formula1>WPCapex</formula1>
    </dataValidation>
    <dataValidation type="list" allowBlank="1" showInputMessage="1" showErrorMessage="1" sqref="H5:H21">
      <formula1>Currency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'Beneficiation options'!$G$5:$G$17</xm:f>
          </x14:formula1>
          <xm:sqref>F7:F21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rgb="FFCCCC00"/>
  </sheetPr>
  <dimension ref="B1:M41"/>
  <sheetViews>
    <sheetView zoomScaleNormal="100" workbookViewId="0">
      <selection activeCell="D3" sqref="D3:M3"/>
    </sheetView>
  </sheetViews>
  <sheetFormatPr baseColWidth="10" defaultColWidth="11.5703125" defaultRowHeight="15" x14ac:dyDescent="0.25"/>
  <cols>
    <col min="1" max="3" width="3.5703125" style="31" customWidth="1"/>
    <col min="4" max="4" width="20.5703125" style="31" customWidth="1"/>
    <col min="5" max="5" width="1.5703125" style="31" customWidth="1"/>
    <col min="6" max="6" width="20.5703125" style="31" customWidth="1"/>
    <col min="7" max="7" width="1.5703125" style="31" customWidth="1"/>
    <col min="8" max="9" width="20.5703125" style="31" customWidth="1"/>
    <col min="10" max="10" width="1.5703125" style="31" customWidth="1"/>
    <col min="11" max="11" width="20.5703125" style="31" customWidth="1"/>
    <col min="12" max="12" width="1.5703125" style="31" customWidth="1"/>
    <col min="13" max="13" width="20.5703125" style="31" customWidth="1"/>
    <col min="14" max="16384" width="11.5703125" style="31"/>
  </cols>
  <sheetData>
    <row r="1" spans="2:13" s="49" customFormat="1" ht="25.35" customHeight="1" x14ac:dyDescent="0.25">
      <c r="B1" s="48" t="s">
        <v>157</v>
      </c>
      <c r="I1" s="50"/>
    </row>
    <row r="3" spans="2:13" ht="15.75" thickBot="1" x14ac:dyDescent="0.3">
      <c r="D3" s="31" t="str">
        <f>JESA_UploadTable(D4,D4:D40,db)</f>
        <v>SAP/Name @09:45:16</v>
      </c>
      <c r="F3" s="31" t="str">
        <f>JESA_UploadTable(F4,F4:F40,db)</f>
        <v>SAP/Process @09:45:16</v>
      </c>
      <c r="H3" s="31" t="str">
        <f>JESA_UploadTable("sap.product",H4:I40,db)</f>
        <v>sap.product @09:45:17</v>
      </c>
      <c r="K3" s="31" t="str">
        <f>JESA_UploadTable(K4,K4:K40,db)</f>
        <v>SAP/CAPEX @09:45:16</v>
      </c>
      <c r="M3" s="31" t="str">
        <f>JESA_UploadTable(M4,M4:M40,db)</f>
        <v>SAP/Capacity[kt] @09:45:16</v>
      </c>
    </row>
    <row r="4" spans="2:13" ht="30" customHeight="1" thickBot="1" x14ac:dyDescent="0.3">
      <c r="D4" s="51" t="s">
        <v>158</v>
      </c>
      <c r="F4" s="51" t="s">
        <v>159</v>
      </c>
      <c r="H4" s="51" t="s">
        <v>24</v>
      </c>
      <c r="I4" s="51" t="s">
        <v>160</v>
      </c>
      <c r="K4" s="51" t="s">
        <v>161</v>
      </c>
      <c r="M4" s="51" t="s">
        <v>162</v>
      </c>
    </row>
    <row r="5" spans="2:13" x14ac:dyDescent="0.25">
      <c r="D5" s="29" t="s">
        <v>163</v>
      </c>
      <c r="F5" s="29" t="s">
        <v>164</v>
      </c>
      <c r="H5" s="29" t="s">
        <v>29</v>
      </c>
      <c r="I5" s="29" t="s">
        <v>24</v>
      </c>
      <c r="K5" s="30" t="s">
        <v>22</v>
      </c>
      <c r="M5" s="29">
        <v>4500</v>
      </c>
    </row>
    <row r="6" spans="2:13" x14ac:dyDescent="0.25">
      <c r="D6" s="33" t="s">
        <v>124</v>
      </c>
      <c r="F6" s="33" t="s">
        <v>165</v>
      </c>
      <c r="H6" s="33" t="s">
        <v>15</v>
      </c>
      <c r="I6" s="33" t="s">
        <v>156</v>
      </c>
      <c r="K6" s="33" t="s">
        <v>166</v>
      </c>
      <c r="M6" s="33">
        <v>1600</v>
      </c>
    </row>
    <row r="7" spans="2:13" x14ac:dyDescent="0.25">
      <c r="D7" s="33" t="s">
        <v>125</v>
      </c>
      <c r="F7" s="33" t="s">
        <v>167</v>
      </c>
      <c r="H7" s="33" t="s">
        <v>168</v>
      </c>
      <c r="I7" s="33" t="s">
        <v>99</v>
      </c>
      <c r="K7" s="33" t="s">
        <v>169</v>
      </c>
      <c r="M7" s="33">
        <v>3200</v>
      </c>
    </row>
    <row r="8" spans="2:13" x14ac:dyDescent="0.25">
      <c r="D8" s="33" t="s">
        <v>126</v>
      </c>
      <c r="F8" s="33"/>
      <c r="H8" s="33"/>
      <c r="I8" s="33"/>
      <c r="K8" s="33"/>
      <c r="M8" s="33"/>
    </row>
    <row r="9" spans="2:13" x14ac:dyDescent="0.25">
      <c r="D9" s="33" t="s">
        <v>127</v>
      </c>
      <c r="F9" s="33"/>
      <c r="H9" s="33"/>
      <c r="I9" s="33"/>
      <c r="K9" s="33"/>
      <c r="M9" s="33"/>
    </row>
    <row r="10" spans="2:13" x14ac:dyDescent="0.25">
      <c r="D10" s="33" t="s">
        <v>128</v>
      </c>
      <c r="F10" s="33"/>
      <c r="H10" s="33"/>
      <c r="I10" s="33"/>
      <c r="K10" s="33"/>
      <c r="M10" s="33"/>
    </row>
    <row r="11" spans="2:13" x14ac:dyDescent="0.25">
      <c r="D11" s="33" t="s">
        <v>170</v>
      </c>
      <c r="F11" s="33"/>
      <c r="H11" s="33"/>
      <c r="I11" s="33"/>
      <c r="K11" s="33"/>
      <c r="M11" s="33"/>
    </row>
    <row r="12" spans="2:13" x14ac:dyDescent="0.25">
      <c r="D12" s="33" t="s">
        <v>171</v>
      </c>
      <c r="F12" s="33"/>
      <c r="H12" s="33"/>
      <c r="I12" s="33"/>
      <c r="K12" s="33"/>
      <c r="M12" s="33"/>
    </row>
    <row r="13" spans="2:13" x14ac:dyDescent="0.25">
      <c r="D13" s="33" t="s">
        <v>172</v>
      </c>
      <c r="F13" s="33"/>
      <c r="H13" s="33"/>
      <c r="I13" s="33"/>
      <c r="K13" s="33"/>
      <c r="M13" s="33"/>
    </row>
    <row r="14" spans="2:13" x14ac:dyDescent="0.25">
      <c r="D14" s="33" t="s">
        <v>173</v>
      </c>
      <c r="F14" s="33"/>
      <c r="H14" s="33"/>
      <c r="I14" s="33"/>
      <c r="K14" s="33"/>
      <c r="M14" s="33"/>
    </row>
    <row r="15" spans="2:13" x14ac:dyDescent="0.25">
      <c r="D15" s="33" t="s">
        <v>174</v>
      </c>
      <c r="F15" s="33"/>
      <c r="H15" s="33"/>
      <c r="I15" s="33"/>
      <c r="K15" s="33"/>
      <c r="M15" s="33"/>
    </row>
    <row r="16" spans="2:13" x14ac:dyDescent="0.25">
      <c r="D16" s="33" t="s">
        <v>175</v>
      </c>
      <c r="F16" s="33"/>
      <c r="H16" s="33"/>
      <c r="I16" s="33"/>
      <c r="K16" s="33"/>
      <c r="M16" s="33"/>
    </row>
    <row r="17" spans="4:13" x14ac:dyDescent="0.25">
      <c r="D17" s="33"/>
      <c r="F17" s="33"/>
      <c r="H17" s="33"/>
      <c r="I17" s="33"/>
      <c r="K17" s="33"/>
      <c r="M17" s="33"/>
    </row>
    <row r="18" spans="4:13" x14ac:dyDescent="0.25">
      <c r="D18" s="33"/>
      <c r="F18" s="33"/>
      <c r="H18" s="33"/>
      <c r="I18" s="33"/>
      <c r="K18" s="33"/>
      <c r="M18" s="33"/>
    </row>
    <row r="19" spans="4:13" x14ac:dyDescent="0.25">
      <c r="D19" s="33"/>
      <c r="F19" s="33"/>
      <c r="H19" s="33"/>
      <c r="I19" s="33"/>
      <c r="K19" s="33"/>
      <c r="M19" s="33"/>
    </row>
    <row r="20" spans="4:13" x14ac:dyDescent="0.25">
      <c r="D20" s="33"/>
      <c r="F20" s="33"/>
      <c r="H20" s="33"/>
      <c r="I20" s="33"/>
      <c r="K20" s="33"/>
      <c r="M20" s="33"/>
    </row>
    <row r="21" spans="4:13" x14ac:dyDescent="0.25">
      <c r="D21" s="33"/>
      <c r="F21" s="33"/>
      <c r="H21" s="33"/>
      <c r="I21" s="33"/>
      <c r="K21" s="33"/>
      <c r="M21" s="33"/>
    </row>
    <row r="22" spans="4:13" x14ac:dyDescent="0.25">
      <c r="D22" s="33"/>
      <c r="F22" s="33"/>
      <c r="H22" s="33"/>
      <c r="I22" s="33"/>
      <c r="K22" s="33"/>
      <c r="M22" s="33"/>
    </row>
    <row r="23" spans="4:13" x14ac:dyDescent="0.25">
      <c r="D23" s="33"/>
      <c r="F23" s="33"/>
      <c r="H23" s="33"/>
      <c r="I23" s="33"/>
      <c r="K23" s="33"/>
      <c r="M23" s="33"/>
    </row>
    <row r="24" spans="4:13" x14ac:dyDescent="0.25">
      <c r="D24" s="33"/>
      <c r="F24" s="33"/>
      <c r="H24" s="33"/>
      <c r="I24" s="33"/>
      <c r="K24" s="33"/>
      <c r="M24" s="33"/>
    </row>
    <row r="25" spans="4:13" x14ac:dyDescent="0.25">
      <c r="D25" s="33"/>
      <c r="F25" s="33"/>
      <c r="H25" s="33"/>
      <c r="I25" s="33"/>
      <c r="K25" s="33"/>
      <c r="M25" s="33"/>
    </row>
    <row r="26" spans="4:13" x14ac:dyDescent="0.25">
      <c r="D26" s="33"/>
      <c r="F26" s="33"/>
      <c r="H26" s="33"/>
      <c r="I26" s="33"/>
      <c r="K26" s="33"/>
      <c r="M26" s="33"/>
    </row>
    <row r="27" spans="4:13" x14ac:dyDescent="0.25">
      <c r="D27" s="33"/>
      <c r="F27" s="33"/>
      <c r="H27" s="33"/>
      <c r="I27" s="33"/>
      <c r="K27" s="33"/>
      <c r="M27" s="33"/>
    </row>
    <row r="28" spans="4:13" x14ac:dyDescent="0.25">
      <c r="D28" s="33"/>
      <c r="F28" s="33"/>
      <c r="H28" s="33"/>
      <c r="I28" s="33"/>
      <c r="K28" s="33"/>
      <c r="M28" s="33"/>
    </row>
    <row r="29" spans="4:13" x14ac:dyDescent="0.25">
      <c r="D29" s="33"/>
      <c r="F29" s="33"/>
      <c r="H29" s="33"/>
      <c r="I29" s="33"/>
      <c r="K29" s="33"/>
      <c r="M29" s="33"/>
    </row>
    <row r="30" spans="4:13" x14ac:dyDescent="0.25">
      <c r="D30" s="33"/>
      <c r="F30" s="33"/>
      <c r="H30" s="33"/>
      <c r="I30" s="33"/>
      <c r="K30" s="33"/>
      <c r="M30" s="33"/>
    </row>
    <row r="31" spans="4:13" x14ac:dyDescent="0.25">
      <c r="D31" s="33"/>
      <c r="F31" s="33"/>
      <c r="H31" s="33"/>
      <c r="I31" s="33"/>
      <c r="K31" s="33"/>
      <c r="M31" s="33"/>
    </row>
    <row r="32" spans="4:13" x14ac:dyDescent="0.25">
      <c r="D32" s="33"/>
      <c r="F32" s="33"/>
      <c r="H32" s="33"/>
      <c r="I32" s="33"/>
      <c r="K32" s="33"/>
      <c r="M32" s="33"/>
    </row>
    <row r="33" spans="4:13" x14ac:dyDescent="0.25">
      <c r="D33" s="33"/>
      <c r="F33" s="33"/>
      <c r="H33" s="33"/>
      <c r="I33" s="33"/>
      <c r="K33" s="33"/>
      <c r="M33" s="33"/>
    </row>
    <row r="34" spans="4:13" x14ac:dyDescent="0.25">
      <c r="D34" s="33"/>
      <c r="F34" s="33"/>
      <c r="H34" s="33"/>
      <c r="I34" s="33"/>
      <c r="K34" s="33"/>
      <c r="M34" s="33"/>
    </row>
    <row r="35" spans="4:13" x14ac:dyDescent="0.25">
      <c r="D35" s="33"/>
      <c r="F35" s="33"/>
      <c r="H35" s="33"/>
      <c r="I35" s="33"/>
      <c r="K35" s="33"/>
      <c r="M35" s="33"/>
    </row>
    <row r="36" spans="4:13" x14ac:dyDescent="0.25">
      <c r="D36" s="33"/>
      <c r="F36" s="33"/>
      <c r="H36" s="33"/>
      <c r="I36" s="33"/>
      <c r="K36" s="33"/>
      <c r="M36" s="33"/>
    </row>
    <row r="37" spans="4:13" x14ac:dyDescent="0.25">
      <c r="D37" s="33"/>
      <c r="F37" s="33"/>
      <c r="H37" s="33"/>
      <c r="I37" s="33"/>
      <c r="K37" s="33"/>
      <c r="M37" s="33"/>
    </row>
    <row r="38" spans="4:13" x14ac:dyDescent="0.25">
      <c r="D38" s="33"/>
      <c r="F38" s="33"/>
      <c r="H38" s="33"/>
      <c r="I38" s="33"/>
      <c r="K38" s="33"/>
      <c r="M38" s="33"/>
    </row>
    <row r="39" spans="4:13" x14ac:dyDescent="0.25">
      <c r="D39" s="33"/>
      <c r="F39" s="33"/>
      <c r="H39" s="33"/>
      <c r="I39" s="33"/>
      <c r="K39" s="33"/>
      <c r="M39" s="33"/>
    </row>
    <row r="40" spans="4:13" ht="15.75" thickBot="1" x14ac:dyDescent="0.3">
      <c r="D40" s="34"/>
      <c r="F40" s="34"/>
      <c r="H40" s="34"/>
      <c r="I40" s="34"/>
      <c r="K40" s="34"/>
      <c r="M40" s="34"/>
    </row>
    <row r="41" spans="4:13" x14ac:dyDescent="0.25">
      <c r="D41" s="31" t="s">
        <v>92</v>
      </c>
      <c r="F41" s="31" t="s">
        <v>92</v>
      </c>
      <c r="H41" s="31" t="s">
        <v>92</v>
      </c>
      <c r="I41" s="31" t="s">
        <v>92</v>
      </c>
      <c r="K41" s="31" t="s">
        <v>92</v>
      </c>
      <c r="M41" s="31" t="s">
        <v>92</v>
      </c>
    </row>
  </sheetData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rgb="FFCCCC00"/>
  </sheetPr>
  <dimension ref="B1:M43"/>
  <sheetViews>
    <sheetView zoomScaleNormal="100" workbookViewId="0">
      <selection activeCell="L10" sqref="L10"/>
    </sheetView>
  </sheetViews>
  <sheetFormatPr baseColWidth="10" defaultColWidth="11.5703125" defaultRowHeight="15" x14ac:dyDescent="0.25"/>
  <cols>
    <col min="1" max="3" width="3.5703125" style="5" customWidth="1"/>
    <col min="4" max="7" width="15.5703125" style="5" customWidth="1"/>
    <col min="8" max="8" width="15.85546875" style="5" customWidth="1"/>
    <col min="9" max="11" width="15.5703125" style="5" customWidth="1"/>
    <col min="12" max="12" width="17.42578125" style="5" customWidth="1"/>
    <col min="13" max="13" width="62.5703125" style="5" bestFit="1" customWidth="1"/>
    <col min="14" max="16384" width="11.5703125" style="5"/>
  </cols>
  <sheetData>
    <row r="1" spans="2:13" s="52" customFormat="1" ht="25.35" customHeight="1" x14ac:dyDescent="0.25">
      <c r="B1" s="48" t="s">
        <v>176</v>
      </c>
      <c r="H1" s="53"/>
      <c r="I1" s="53"/>
      <c r="J1" s="53"/>
      <c r="K1" s="53"/>
      <c r="L1" s="53"/>
    </row>
    <row r="3" spans="2:13" ht="15.75" thickBot="1" x14ac:dyDescent="0.3">
      <c r="D3" s="38" t="str">
        <f>JESA_UploadTable(B1,D4:M50,db)</f>
        <v>SAP &amp; Power plant options @09:45:19</v>
      </c>
    </row>
    <row r="4" spans="2:13" ht="30" customHeight="1" thickBot="1" x14ac:dyDescent="0.3">
      <c r="D4" s="54" t="s">
        <v>8</v>
      </c>
      <c r="E4" s="54" t="s">
        <v>30</v>
      </c>
      <c r="F4" s="55" t="s">
        <v>25</v>
      </c>
      <c r="G4" s="56" t="s">
        <v>268</v>
      </c>
      <c r="H4" s="56" t="s">
        <v>17</v>
      </c>
      <c r="I4" s="56" t="s">
        <v>70</v>
      </c>
      <c r="J4" s="56" t="s">
        <v>360</v>
      </c>
      <c r="K4" s="56" t="s">
        <v>144</v>
      </c>
      <c r="L4" s="56" t="s">
        <v>148</v>
      </c>
      <c r="M4" s="54" t="s">
        <v>149</v>
      </c>
    </row>
    <row r="5" spans="2:13" x14ac:dyDescent="0.25">
      <c r="D5" s="8" t="s">
        <v>3</v>
      </c>
      <c r="E5" s="8" t="s">
        <v>124</v>
      </c>
      <c r="F5" s="8" t="s">
        <v>164</v>
      </c>
      <c r="G5" s="14">
        <v>1600</v>
      </c>
      <c r="H5" s="13" t="s">
        <v>337</v>
      </c>
      <c r="I5" s="13" t="s">
        <v>36</v>
      </c>
      <c r="J5" s="13"/>
      <c r="K5" s="14">
        <v>2024</v>
      </c>
      <c r="L5" s="14">
        <v>2100</v>
      </c>
      <c r="M5" s="8" t="str">
        <f>IF(D5="","","/SAP/"&amp;CONCATENATE(D5,"/",E5,"/",F5,"/",G5,"/",I5,"/",K5,"/",L5))</f>
        <v>/SAP/Mzinda/SAP1/DA-HRS/1600/Existing/2024/2100</v>
      </c>
    </row>
    <row r="6" spans="2:13" x14ac:dyDescent="0.25">
      <c r="D6" s="9" t="s">
        <v>3</v>
      </c>
      <c r="E6" s="9" t="s">
        <v>125</v>
      </c>
      <c r="F6" s="9" t="s">
        <v>164</v>
      </c>
      <c r="G6" s="15">
        <v>1600</v>
      </c>
      <c r="H6" s="11" t="s">
        <v>337</v>
      </c>
      <c r="I6" s="11" t="s">
        <v>36</v>
      </c>
      <c r="J6" s="11"/>
      <c r="K6" s="15">
        <v>2024</v>
      </c>
      <c r="L6" s="15">
        <v>2100</v>
      </c>
      <c r="M6" s="9" t="str">
        <f t="shared" ref="M6:M43" si="0">IF(D6="","","/SAP/"&amp;CONCATENATE(D6,"/",E6,"/",F6,"/",G6,"/",I6,"/",K6,"/",L6))</f>
        <v>/SAP/Mzinda/SAP2/DA-HRS/1600/Existing/2024/2100</v>
      </c>
    </row>
    <row r="7" spans="2:13" x14ac:dyDescent="0.25">
      <c r="D7" s="9" t="s">
        <v>3</v>
      </c>
      <c r="E7" s="9" t="s">
        <v>126</v>
      </c>
      <c r="F7" s="9" t="s">
        <v>164</v>
      </c>
      <c r="G7" s="15">
        <v>1600</v>
      </c>
      <c r="H7" s="11" t="s">
        <v>337</v>
      </c>
      <c r="I7" s="11" t="s">
        <v>36</v>
      </c>
      <c r="J7" s="11"/>
      <c r="K7" s="15">
        <v>2024</v>
      </c>
      <c r="L7" s="15">
        <v>2100</v>
      </c>
      <c r="M7" s="9" t="str">
        <f t="shared" si="0"/>
        <v>/SAP/Mzinda/SAP3/DA-HRS/1600/Existing/2024/2100</v>
      </c>
    </row>
    <row r="8" spans="2:13" x14ac:dyDescent="0.25">
      <c r="D8" s="9" t="s">
        <v>3</v>
      </c>
      <c r="E8" s="9">
        <v>8</v>
      </c>
      <c r="F8" s="9" t="s">
        <v>164</v>
      </c>
      <c r="G8" s="15">
        <v>1600</v>
      </c>
      <c r="H8" s="11" t="s">
        <v>337</v>
      </c>
      <c r="I8" s="11" t="s">
        <v>146</v>
      </c>
      <c r="J8" s="11"/>
      <c r="K8" s="15">
        <v>2024</v>
      </c>
      <c r="L8" s="15">
        <v>2100</v>
      </c>
      <c r="M8" s="9" t="str">
        <f t="shared" si="0"/>
        <v>/SAP/Mzinda/8/DA-HRS/1600/New/2024/2100</v>
      </c>
    </row>
    <row r="9" spans="2:13" x14ac:dyDescent="0.25">
      <c r="D9" s="9" t="s">
        <v>3</v>
      </c>
      <c r="E9" s="9">
        <v>4</v>
      </c>
      <c r="F9" s="9" t="s">
        <v>165</v>
      </c>
      <c r="G9" s="15">
        <v>3200</v>
      </c>
      <c r="H9" s="11" t="s">
        <v>337</v>
      </c>
      <c r="I9" s="11" t="s">
        <v>146</v>
      </c>
      <c r="J9" s="11"/>
      <c r="K9" s="15">
        <v>2028</v>
      </c>
      <c r="L9" s="15">
        <v>2100</v>
      </c>
      <c r="M9" s="9" t="str">
        <f t="shared" si="0"/>
        <v>/SAP/Mzinda/4/Core SO2/3200/New/2028/2100</v>
      </c>
    </row>
    <row r="10" spans="2:13" x14ac:dyDescent="0.25">
      <c r="D10" s="9" t="s">
        <v>26</v>
      </c>
      <c r="E10" s="9" t="s">
        <v>163</v>
      </c>
      <c r="F10" s="9" t="s">
        <v>167</v>
      </c>
      <c r="G10" s="15">
        <v>4500</v>
      </c>
      <c r="H10" s="11" t="s">
        <v>337</v>
      </c>
      <c r="I10" s="11" t="s">
        <v>36</v>
      </c>
      <c r="J10" s="11" t="s">
        <v>361</v>
      </c>
      <c r="K10" s="15">
        <v>2018</v>
      </c>
      <c r="L10" s="15">
        <v>2100</v>
      </c>
      <c r="M10" s="9" t="str">
        <f t="shared" si="0"/>
        <v>/SAP/Safi/SAP EXISTING SITE/SAFI EXISTING SITE/4500/Existing/2018/2100</v>
      </c>
    </row>
    <row r="11" spans="2:13" x14ac:dyDescent="0.25">
      <c r="D11" s="9" t="s">
        <v>26</v>
      </c>
      <c r="E11" s="9" t="s">
        <v>163</v>
      </c>
      <c r="F11" s="9" t="s">
        <v>167</v>
      </c>
      <c r="G11" s="15">
        <v>4500</v>
      </c>
      <c r="H11" s="11" t="s">
        <v>337</v>
      </c>
      <c r="I11" s="11" t="s">
        <v>36</v>
      </c>
      <c r="J11" s="11" t="s">
        <v>456</v>
      </c>
      <c r="K11" s="15">
        <v>2018</v>
      </c>
      <c r="L11" s="15">
        <v>2024</v>
      </c>
      <c r="M11" s="9" t="str">
        <f t="shared" si="0"/>
        <v>/SAP/Safi/SAP EXISTING SITE/SAFI EXISTING SITE/4500/Existing/2018/2024</v>
      </c>
    </row>
    <row r="12" spans="2:13" x14ac:dyDescent="0.25">
      <c r="D12" s="9" t="s">
        <v>26</v>
      </c>
      <c r="E12" s="9" t="s">
        <v>163</v>
      </c>
      <c r="F12" s="9" t="s">
        <v>167</v>
      </c>
      <c r="G12" s="15">
        <v>4500</v>
      </c>
      <c r="H12" s="11" t="s">
        <v>337</v>
      </c>
      <c r="I12" s="11" t="s">
        <v>36</v>
      </c>
      <c r="J12" s="11" t="s">
        <v>457</v>
      </c>
      <c r="K12" s="15">
        <v>2018</v>
      </c>
      <c r="L12" s="15">
        <v>2030</v>
      </c>
      <c r="M12" s="9" t="str">
        <f t="shared" si="0"/>
        <v>/SAP/Safi/SAP EXISTING SITE/SAFI EXISTING SITE/4500/Existing/2018/2030</v>
      </c>
    </row>
    <row r="13" spans="2:13" x14ac:dyDescent="0.25">
      <c r="D13" s="9" t="s">
        <v>26</v>
      </c>
      <c r="E13" s="9">
        <v>8</v>
      </c>
      <c r="F13" s="9" t="s">
        <v>164</v>
      </c>
      <c r="G13" s="15">
        <v>1600</v>
      </c>
      <c r="H13" s="11" t="s">
        <v>337</v>
      </c>
      <c r="I13" s="11" t="s">
        <v>146</v>
      </c>
      <c r="J13" s="11"/>
      <c r="K13" s="15">
        <v>2024</v>
      </c>
      <c r="L13" s="15">
        <v>2100</v>
      </c>
      <c r="M13" s="9" t="str">
        <f t="shared" si="0"/>
        <v>/SAP/Safi/8/DA-HRS/1600/New/2024/2100</v>
      </c>
    </row>
    <row r="14" spans="2:13" x14ac:dyDescent="0.25">
      <c r="D14" s="9" t="s">
        <v>26</v>
      </c>
      <c r="E14" s="9">
        <v>4</v>
      </c>
      <c r="F14" s="9" t="s">
        <v>165</v>
      </c>
      <c r="G14" s="15">
        <v>3200</v>
      </c>
      <c r="H14" s="11" t="s">
        <v>337</v>
      </c>
      <c r="I14" s="11" t="s">
        <v>146</v>
      </c>
      <c r="J14" s="11"/>
      <c r="K14" s="15">
        <v>2028</v>
      </c>
      <c r="L14" s="15">
        <v>2100</v>
      </c>
      <c r="M14" s="9" t="str">
        <f t="shared" si="0"/>
        <v>/SAP/Safi/4/Core SO2/3200/New/2028/2100</v>
      </c>
    </row>
    <row r="15" spans="2:13" x14ac:dyDescent="0.25">
      <c r="D15" s="9"/>
      <c r="E15" s="9"/>
      <c r="F15" s="9"/>
      <c r="G15" s="15"/>
      <c r="H15" s="11"/>
      <c r="I15" s="11"/>
      <c r="J15" s="11"/>
      <c r="K15" s="15"/>
      <c r="L15" s="15"/>
      <c r="M15" s="9" t="str">
        <f t="shared" si="0"/>
        <v/>
      </c>
    </row>
    <row r="16" spans="2:13" x14ac:dyDescent="0.25">
      <c r="D16" s="9"/>
      <c r="E16" s="9"/>
      <c r="F16" s="9"/>
      <c r="G16" s="15"/>
      <c r="H16" s="11"/>
      <c r="I16" s="11"/>
      <c r="J16" s="11"/>
      <c r="K16" s="15"/>
      <c r="L16" s="15"/>
      <c r="M16" s="9" t="str">
        <f t="shared" si="0"/>
        <v/>
      </c>
    </row>
    <row r="17" spans="4:13" x14ac:dyDescent="0.25">
      <c r="D17" s="9"/>
      <c r="E17" s="9"/>
      <c r="F17" s="9"/>
      <c r="G17" s="15"/>
      <c r="H17" s="11"/>
      <c r="I17" s="11"/>
      <c r="J17" s="11"/>
      <c r="K17" s="15"/>
      <c r="L17" s="15"/>
      <c r="M17" s="9" t="str">
        <f t="shared" si="0"/>
        <v/>
      </c>
    </row>
    <row r="18" spans="4:13" x14ac:dyDescent="0.25">
      <c r="D18" s="9"/>
      <c r="E18" s="9"/>
      <c r="F18" s="9"/>
      <c r="G18" s="15"/>
      <c r="H18" s="11"/>
      <c r="I18" s="11"/>
      <c r="J18" s="11"/>
      <c r="K18" s="15"/>
      <c r="L18" s="15"/>
      <c r="M18" s="9" t="str">
        <f t="shared" si="0"/>
        <v/>
      </c>
    </row>
    <row r="19" spans="4:13" x14ac:dyDescent="0.25">
      <c r="D19" s="9"/>
      <c r="E19" s="9"/>
      <c r="F19" s="9"/>
      <c r="G19" s="15"/>
      <c r="H19" s="11"/>
      <c r="I19" s="11"/>
      <c r="J19" s="11"/>
      <c r="K19" s="15"/>
      <c r="L19" s="15"/>
      <c r="M19" s="9" t="str">
        <f t="shared" si="0"/>
        <v/>
      </c>
    </row>
    <row r="20" spans="4:13" x14ac:dyDescent="0.25">
      <c r="D20" s="9"/>
      <c r="E20" s="9"/>
      <c r="F20" s="9"/>
      <c r="G20" s="15"/>
      <c r="H20" s="11"/>
      <c r="I20" s="11"/>
      <c r="J20" s="11"/>
      <c r="K20" s="15"/>
      <c r="L20" s="15"/>
      <c r="M20" s="9" t="str">
        <f t="shared" si="0"/>
        <v/>
      </c>
    </row>
    <row r="21" spans="4:13" x14ac:dyDescent="0.25">
      <c r="D21" s="9"/>
      <c r="E21" s="9"/>
      <c r="F21" s="9"/>
      <c r="G21" s="15"/>
      <c r="H21" s="11"/>
      <c r="I21" s="11"/>
      <c r="J21" s="11"/>
      <c r="K21" s="15"/>
      <c r="L21" s="15"/>
      <c r="M21" s="9" t="str">
        <f t="shared" si="0"/>
        <v/>
      </c>
    </row>
    <row r="22" spans="4:13" x14ac:dyDescent="0.25">
      <c r="D22" s="9"/>
      <c r="E22" s="9"/>
      <c r="F22" s="9"/>
      <c r="G22" s="15"/>
      <c r="H22" s="11"/>
      <c r="I22" s="11"/>
      <c r="J22" s="11"/>
      <c r="K22" s="15"/>
      <c r="L22" s="15"/>
      <c r="M22" s="9" t="str">
        <f t="shared" si="0"/>
        <v/>
      </c>
    </row>
    <row r="23" spans="4:13" x14ac:dyDescent="0.25">
      <c r="D23" s="9"/>
      <c r="E23" s="9"/>
      <c r="F23" s="9"/>
      <c r="G23" s="15"/>
      <c r="H23" s="11"/>
      <c r="I23" s="11"/>
      <c r="J23" s="11"/>
      <c r="K23" s="15"/>
      <c r="L23" s="15"/>
      <c r="M23" s="9" t="str">
        <f t="shared" si="0"/>
        <v/>
      </c>
    </row>
    <row r="24" spans="4:13" x14ac:dyDescent="0.25">
      <c r="D24" s="9"/>
      <c r="E24" s="9"/>
      <c r="F24" s="9"/>
      <c r="G24" s="15"/>
      <c r="H24" s="11"/>
      <c r="I24" s="11"/>
      <c r="J24" s="11"/>
      <c r="K24" s="15"/>
      <c r="L24" s="15"/>
      <c r="M24" s="9" t="str">
        <f t="shared" si="0"/>
        <v/>
      </c>
    </row>
    <row r="25" spans="4:13" x14ac:dyDescent="0.25">
      <c r="D25" s="9"/>
      <c r="E25" s="9"/>
      <c r="F25" s="9"/>
      <c r="G25" s="15"/>
      <c r="H25" s="11"/>
      <c r="I25" s="11"/>
      <c r="J25" s="11"/>
      <c r="K25" s="15"/>
      <c r="L25" s="15"/>
      <c r="M25" s="9" t="str">
        <f t="shared" si="0"/>
        <v/>
      </c>
    </row>
    <row r="26" spans="4:13" x14ac:dyDescent="0.25">
      <c r="D26" s="9"/>
      <c r="E26" s="9"/>
      <c r="F26" s="9"/>
      <c r="G26" s="15"/>
      <c r="H26" s="11"/>
      <c r="I26" s="11"/>
      <c r="J26" s="11"/>
      <c r="K26" s="15"/>
      <c r="L26" s="15"/>
      <c r="M26" s="9" t="str">
        <f t="shared" si="0"/>
        <v/>
      </c>
    </row>
    <row r="27" spans="4:13" x14ac:dyDescent="0.25">
      <c r="D27" s="9"/>
      <c r="E27" s="9"/>
      <c r="F27" s="9"/>
      <c r="G27" s="15"/>
      <c r="H27" s="11"/>
      <c r="I27" s="11"/>
      <c r="J27" s="11"/>
      <c r="K27" s="15"/>
      <c r="L27" s="15"/>
      <c r="M27" s="9" t="str">
        <f t="shared" si="0"/>
        <v/>
      </c>
    </row>
    <row r="28" spans="4:13" x14ac:dyDescent="0.25">
      <c r="D28" s="9"/>
      <c r="E28" s="9"/>
      <c r="F28" s="9"/>
      <c r="G28" s="15"/>
      <c r="H28" s="11"/>
      <c r="I28" s="11"/>
      <c r="J28" s="11"/>
      <c r="K28" s="15"/>
      <c r="L28" s="15"/>
      <c r="M28" s="9" t="str">
        <f t="shared" si="0"/>
        <v/>
      </c>
    </row>
    <row r="29" spans="4:13" x14ac:dyDescent="0.25">
      <c r="D29" s="9"/>
      <c r="E29" s="9"/>
      <c r="F29" s="9"/>
      <c r="G29" s="15"/>
      <c r="H29" s="11"/>
      <c r="I29" s="11"/>
      <c r="J29" s="11"/>
      <c r="K29" s="15"/>
      <c r="L29" s="15"/>
      <c r="M29" s="9" t="str">
        <f t="shared" si="0"/>
        <v/>
      </c>
    </row>
    <row r="30" spans="4:13" x14ac:dyDescent="0.25">
      <c r="D30" s="9"/>
      <c r="E30" s="9"/>
      <c r="F30" s="9"/>
      <c r="G30" s="15"/>
      <c r="H30" s="11"/>
      <c r="I30" s="11"/>
      <c r="J30" s="11"/>
      <c r="K30" s="15"/>
      <c r="L30" s="15"/>
      <c r="M30" s="9" t="str">
        <f t="shared" si="0"/>
        <v/>
      </c>
    </row>
    <row r="31" spans="4:13" x14ac:dyDescent="0.25">
      <c r="D31" s="9"/>
      <c r="E31" s="9"/>
      <c r="F31" s="9"/>
      <c r="G31" s="15"/>
      <c r="H31" s="11"/>
      <c r="I31" s="11"/>
      <c r="J31" s="11"/>
      <c r="K31" s="15"/>
      <c r="L31" s="15"/>
      <c r="M31" s="9" t="str">
        <f t="shared" si="0"/>
        <v/>
      </c>
    </row>
    <row r="32" spans="4:13" x14ac:dyDescent="0.25">
      <c r="D32" s="9"/>
      <c r="E32" s="9"/>
      <c r="F32" s="9"/>
      <c r="G32" s="15"/>
      <c r="H32" s="11"/>
      <c r="I32" s="11"/>
      <c r="J32" s="11"/>
      <c r="K32" s="15"/>
      <c r="L32" s="15"/>
      <c r="M32" s="9" t="str">
        <f t="shared" si="0"/>
        <v/>
      </c>
    </row>
    <row r="33" spans="4:13" x14ac:dyDescent="0.25">
      <c r="D33" s="9"/>
      <c r="E33" s="9"/>
      <c r="F33" s="9"/>
      <c r="G33" s="15"/>
      <c r="H33" s="11"/>
      <c r="I33" s="11"/>
      <c r="J33" s="11"/>
      <c r="K33" s="15"/>
      <c r="L33" s="15"/>
      <c r="M33" s="9" t="str">
        <f t="shared" si="0"/>
        <v/>
      </c>
    </row>
    <row r="34" spans="4:13" x14ac:dyDescent="0.25">
      <c r="D34" s="9"/>
      <c r="E34" s="9"/>
      <c r="F34" s="9"/>
      <c r="G34" s="15"/>
      <c r="H34" s="11"/>
      <c r="I34" s="11"/>
      <c r="J34" s="11"/>
      <c r="K34" s="15"/>
      <c r="L34" s="15"/>
      <c r="M34" s="9" t="str">
        <f t="shared" si="0"/>
        <v/>
      </c>
    </row>
    <row r="35" spans="4:13" x14ac:dyDescent="0.25">
      <c r="D35" s="9"/>
      <c r="E35" s="9"/>
      <c r="F35" s="9"/>
      <c r="G35" s="15"/>
      <c r="H35" s="11"/>
      <c r="I35" s="11"/>
      <c r="J35" s="11"/>
      <c r="K35" s="15"/>
      <c r="L35" s="15"/>
      <c r="M35" s="9" t="str">
        <f t="shared" si="0"/>
        <v/>
      </c>
    </row>
    <row r="36" spans="4:13" x14ac:dyDescent="0.25">
      <c r="D36" s="9"/>
      <c r="E36" s="9"/>
      <c r="F36" s="9"/>
      <c r="G36" s="15"/>
      <c r="H36" s="11"/>
      <c r="I36" s="11"/>
      <c r="J36" s="11"/>
      <c r="K36" s="15"/>
      <c r="L36" s="15"/>
      <c r="M36" s="9" t="str">
        <f t="shared" si="0"/>
        <v/>
      </c>
    </row>
    <row r="37" spans="4:13" x14ac:dyDescent="0.25">
      <c r="D37" s="9"/>
      <c r="E37" s="9"/>
      <c r="F37" s="9"/>
      <c r="G37" s="15"/>
      <c r="H37" s="11"/>
      <c r="I37" s="11"/>
      <c r="J37" s="11"/>
      <c r="K37" s="15"/>
      <c r="L37" s="15"/>
      <c r="M37" s="9" t="str">
        <f t="shared" si="0"/>
        <v/>
      </c>
    </row>
    <row r="38" spans="4:13" x14ac:dyDescent="0.25">
      <c r="D38" s="9"/>
      <c r="E38" s="9"/>
      <c r="F38" s="9"/>
      <c r="G38" s="15"/>
      <c r="H38" s="11"/>
      <c r="I38" s="11"/>
      <c r="J38" s="11"/>
      <c r="K38" s="15"/>
      <c r="L38" s="15"/>
      <c r="M38" s="9" t="str">
        <f t="shared" si="0"/>
        <v/>
      </c>
    </row>
    <row r="39" spans="4:13" x14ac:dyDescent="0.25">
      <c r="D39" s="9"/>
      <c r="E39" s="9"/>
      <c r="F39" s="9"/>
      <c r="G39" s="15"/>
      <c r="H39" s="11"/>
      <c r="I39" s="11"/>
      <c r="J39" s="11"/>
      <c r="K39" s="15"/>
      <c r="L39" s="15"/>
      <c r="M39" s="9" t="str">
        <f t="shared" si="0"/>
        <v/>
      </c>
    </row>
    <row r="40" spans="4:13" x14ac:dyDescent="0.25">
      <c r="D40" s="9"/>
      <c r="E40" s="9"/>
      <c r="F40" s="9"/>
      <c r="G40" s="15"/>
      <c r="H40" s="11"/>
      <c r="I40" s="11"/>
      <c r="J40" s="11"/>
      <c r="K40" s="15"/>
      <c r="L40" s="15"/>
      <c r="M40" s="9" t="str">
        <f t="shared" si="0"/>
        <v/>
      </c>
    </row>
    <row r="41" spans="4:13" x14ac:dyDescent="0.25">
      <c r="D41" s="9"/>
      <c r="E41" s="9"/>
      <c r="F41" s="9"/>
      <c r="G41" s="15"/>
      <c r="H41" s="11"/>
      <c r="I41" s="11"/>
      <c r="J41" s="11"/>
      <c r="K41" s="15"/>
      <c r="L41" s="15"/>
      <c r="M41" s="9" t="str">
        <f t="shared" si="0"/>
        <v/>
      </c>
    </row>
    <row r="42" spans="4:13" ht="15.75" thickBot="1" x14ac:dyDescent="0.3">
      <c r="D42" s="10"/>
      <c r="E42" s="10"/>
      <c r="F42" s="10"/>
      <c r="G42" s="16"/>
      <c r="H42" s="12"/>
      <c r="I42" s="12"/>
      <c r="J42" s="12"/>
      <c r="K42" s="16"/>
      <c r="L42" s="16"/>
      <c r="M42" s="10" t="str">
        <f t="shared" si="0"/>
        <v/>
      </c>
    </row>
    <row r="43" spans="4:13" x14ac:dyDescent="0.25">
      <c r="D43" s="5" t="e">
        <v>#N/A</v>
      </c>
      <c r="E43" s="5" t="e">
        <v>#N/A</v>
      </c>
      <c r="F43" s="5" t="e">
        <v>#N/A</v>
      </c>
      <c r="G43" s="5" t="e">
        <v>#N/A</v>
      </c>
      <c r="I43" s="5" t="e">
        <v>#N/A</v>
      </c>
      <c r="K43" s="5" t="e">
        <v>#N/A</v>
      </c>
      <c r="L43" s="5" t="e">
        <v>#N/A</v>
      </c>
      <c r="M43" s="5" t="e">
        <f t="shared" si="0"/>
        <v>#N/A</v>
      </c>
    </row>
  </sheetData>
  <dataValidations count="5">
    <dataValidation type="list" allowBlank="1" showInputMessage="1" showErrorMessage="1" sqref="I5:J42">
      <formula1>"Existing,New"</formula1>
    </dataValidation>
    <dataValidation type="list" allowBlank="1" showInputMessage="1" showErrorMessage="1" sqref="D5:D42">
      <formula1>Location</formula1>
    </dataValidation>
    <dataValidation type="list" allowBlank="1" showInputMessage="1" showErrorMessage="1" sqref="G5:G42">
      <formula1>SAPSize</formula1>
    </dataValidation>
    <dataValidation type="list" allowBlank="1" showInputMessage="1" showErrorMessage="1" sqref="F5:F42">
      <formula1>SAPProcess</formula1>
    </dataValidation>
    <dataValidation type="list" allowBlank="1" showInputMessage="1" showErrorMessage="1" sqref="H5:H42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rgb="FFCCCC00"/>
  </sheetPr>
  <dimension ref="B1:R51"/>
  <sheetViews>
    <sheetView zoomScaleNormal="100" workbookViewId="0">
      <selection activeCell="D3" sqref="D3"/>
    </sheetView>
  </sheetViews>
  <sheetFormatPr baseColWidth="10" defaultColWidth="11.5703125" defaultRowHeight="15" x14ac:dyDescent="0.25"/>
  <cols>
    <col min="1" max="3" width="3.5703125" style="5" customWidth="1"/>
    <col min="4" max="4" width="15.5703125" style="5" customWidth="1"/>
    <col min="5" max="5" width="28.42578125" style="5" customWidth="1"/>
    <col min="6" max="7" width="15.5703125" style="5" customWidth="1"/>
    <col min="8" max="18" width="8.5703125" style="5" customWidth="1"/>
    <col min="19" max="16384" width="11.5703125" style="5"/>
  </cols>
  <sheetData>
    <row r="1" spans="2:18" s="52" customFormat="1" ht="25.35" customHeight="1" x14ac:dyDescent="0.25">
      <c r="B1" s="48" t="s">
        <v>177</v>
      </c>
    </row>
    <row r="3" spans="2:18" ht="15.75" thickBot="1" x14ac:dyDescent="0.3">
      <c r="D3" s="38" t="str">
        <f>JESA_UploadTable(B1,D4:R14,db)</f>
        <v>SAP &amp; Power plant production @09:45:18</v>
      </c>
      <c r="E3" s="38"/>
    </row>
    <row r="4" spans="2:18" ht="30" customHeight="1" thickBot="1" x14ac:dyDescent="0.3">
      <c r="D4" s="54" t="s">
        <v>8</v>
      </c>
      <c r="E4" s="54" t="s">
        <v>25</v>
      </c>
      <c r="F4" s="54" t="s">
        <v>24</v>
      </c>
      <c r="G4" s="56" t="s">
        <v>17</v>
      </c>
      <c r="H4" s="57" t="s">
        <v>37</v>
      </c>
      <c r="I4" s="57" t="s">
        <v>38</v>
      </c>
      <c r="J4" s="57" t="s">
        <v>39</v>
      </c>
      <c r="K4" s="57" t="s">
        <v>40</v>
      </c>
      <c r="L4" s="57" t="s">
        <v>41</v>
      </c>
      <c r="M4" s="57" t="s">
        <v>42</v>
      </c>
      <c r="N4" s="57" t="s">
        <v>43</v>
      </c>
      <c r="O4" s="57" t="s">
        <v>44</v>
      </c>
      <c r="P4" s="57" t="s">
        <v>45</v>
      </c>
      <c r="Q4" s="57" t="s">
        <v>46</v>
      </c>
      <c r="R4" s="57" t="s">
        <v>47</v>
      </c>
    </row>
    <row r="5" spans="2:18" x14ac:dyDescent="0.25">
      <c r="D5" s="8" t="s">
        <v>3</v>
      </c>
      <c r="E5" s="8" t="s">
        <v>164</v>
      </c>
      <c r="F5" s="8" t="s">
        <v>29</v>
      </c>
      <c r="G5" s="8" t="s">
        <v>57</v>
      </c>
      <c r="H5" s="19">
        <v>1</v>
      </c>
      <c r="I5" s="19">
        <v>1</v>
      </c>
      <c r="J5" s="19">
        <v>1</v>
      </c>
      <c r="K5" s="19">
        <v>1</v>
      </c>
      <c r="L5" s="19">
        <v>1</v>
      </c>
      <c r="M5" s="19">
        <v>1</v>
      </c>
      <c r="N5" s="19">
        <v>1</v>
      </c>
      <c r="O5" s="19">
        <v>1</v>
      </c>
      <c r="P5" s="19">
        <v>1</v>
      </c>
      <c r="Q5" s="19">
        <v>1</v>
      </c>
      <c r="R5" s="19">
        <v>1</v>
      </c>
    </row>
    <row r="6" spans="2:18" ht="15.75" thickBot="1" x14ac:dyDescent="0.3">
      <c r="D6" s="74" t="s">
        <v>3</v>
      </c>
      <c r="E6" s="74" t="s">
        <v>164</v>
      </c>
      <c r="F6" s="74" t="s">
        <v>15</v>
      </c>
      <c r="G6" s="74" t="s">
        <v>65</v>
      </c>
      <c r="H6" s="143">
        <v>370</v>
      </c>
      <c r="I6" s="143">
        <v>370</v>
      </c>
      <c r="J6" s="143">
        <v>370</v>
      </c>
      <c r="K6" s="143">
        <v>370</v>
      </c>
      <c r="L6" s="143">
        <v>370</v>
      </c>
      <c r="M6" s="143">
        <v>370</v>
      </c>
      <c r="N6" s="143">
        <v>370</v>
      </c>
      <c r="O6" s="143">
        <v>370</v>
      </c>
      <c r="P6" s="143">
        <v>370</v>
      </c>
      <c r="Q6" s="143">
        <v>370</v>
      </c>
      <c r="R6" s="143">
        <v>370</v>
      </c>
    </row>
    <row r="7" spans="2:18" x14ac:dyDescent="0.25">
      <c r="D7" s="8" t="s">
        <v>3</v>
      </c>
      <c r="E7" s="8" t="s">
        <v>165</v>
      </c>
      <c r="F7" s="8" t="s">
        <v>29</v>
      </c>
      <c r="G7" s="8" t="s">
        <v>57</v>
      </c>
      <c r="H7" s="19">
        <v>1</v>
      </c>
      <c r="I7" s="19">
        <v>1</v>
      </c>
      <c r="J7" s="19">
        <v>1</v>
      </c>
      <c r="K7" s="19">
        <v>1</v>
      </c>
      <c r="L7" s="19">
        <v>1</v>
      </c>
      <c r="M7" s="19">
        <v>1</v>
      </c>
      <c r="N7" s="19">
        <v>1</v>
      </c>
      <c r="O7" s="19">
        <v>1</v>
      </c>
      <c r="P7" s="19">
        <v>1</v>
      </c>
      <c r="Q7" s="19">
        <v>1</v>
      </c>
      <c r="R7" s="19">
        <v>1</v>
      </c>
    </row>
    <row r="8" spans="2:18" ht="15.75" thickBot="1" x14ac:dyDescent="0.3">
      <c r="D8" s="10" t="s">
        <v>3</v>
      </c>
      <c r="E8" s="10" t="s">
        <v>165</v>
      </c>
      <c r="F8" s="10" t="s">
        <v>15</v>
      </c>
      <c r="G8" s="10" t="s">
        <v>65</v>
      </c>
      <c r="H8" s="28">
        <v>330</v>
      </c>
      <c r="I8" s="28">
        <v>330</v>
      </c>
      <c r="J8" s="28">
        <v>330</v>
      </c>
      <c r="K8" s="28">
        <v>330</v>
      </c>
      <c r="L8" s="28">
        <v>330</v>
      </c>
      <c r="M8" s="28">
        <v>330</v>
      </c>
      <c r="N8" s="28">
        <v>330</v>
      </c>
      <c r="O8" s="28">
        <v>330</v>
      </c>
      <c r="P8" s="28">
        <v>330</v>
      </c>
      <c r="Q8" s="28">
        <v>330</v>
      </c>
      <c r="R8" s="28">
        <v>330</v>
      </c>
    </row>
    <row r="9" spans="2:18" x14ac:dyDescent="0.25">
      <c r="D9" s="45" t="s">
        <v>26</v>
      </c>
      <c r="E9" s="45" t="s">
        <v>167</v>
      </c>
      <c r="F9" s="45" t="s">
        <v>29</v>
      </c>
      <c r="G9" s="45" t="s">
        <v>57</v>
      </c>
      <c r="H9" s="142">
        <v>1</v>
      </c>
      <c r="I9" s="142">
        <v>1</v>
      </c>
      <c r="J9" s="142">
        <v>1</v>
      </c>
      <c r="K9" s="142">
        <v>1</v>
      </c>
      <c r="L9" s="142">
        <v>1</v>
      </c>
      <c r="M9" s="142">
        <v>1</v>
      </c>
      <c r="N9" s="142">
        <v>1</v>
      </c>
      <c r="O9" s="142">
        <v>1</v>
      </c>
      <c r="P9" s="142">
        <v>1</v>
      </c>
      <c r="Q9" s="142">
        <v>1</v>
      </c>
      <c r="R9" s="142">
        <v>1</v>
      </c>
    </row>
    <row r="10" spans="2:18" ht="15.75" thickBot="1" x14ac:dyDescent="0.3">
      <c r="D10" s="10" t="s">
        <v>26</v>
      </c>
      <c r="E10" s="10" t="s">
        <v>167</v>
      </c>
      <c r="F10" s="10" t="s">
        <v>15</v>
      </c>
      <c r="G10" s="10" t="s">
        <v>65</v>
      </c>
      <c r="H10" s="28">
        <v>400</v>
      </c>
      <c r="I10" s="28">
        <v>400</v>
      </c>
      <c r="J10" s="28">
        <v>400</v>
      </c>
      <c r="K10" s="28">
        <v>400</v>
      </c>
      <c r="L10" s="28">
        <v>400</v>
      </c>
      <c r="M10" s="28">
        <v>400</v>
      </c>
      <c r="N10" s="28">
        <v>400</v>
      </c>
      <c r="O10" s="28">
        <v>400</v>
      </c>
      <c r="P10" s="28">
        <v>400</v>
      </c>
      <c r="Q10" s="28">
        <v>400</v>
      </c>
      <c r="R10" s="28">
        <v>400</v>
      </c>
    </row>
    <row r="11" spans="2:18" x14ac:dyDescent="0.25">
      <c r="D11" s="45" t="s">
        <v>26</v>
      </c>
      <c r="E11" s="45" t="s">
        <v>164</v>
      </c>
      <c r="F11" s="45" t="s">
        <v>29</v>
      </c>
      <c r="G11" s="45" t="s">
        <v>57</v>
      </c>
      <c r="H11" s="142">
        <v>1</v>
      </c>
      <c r="I11" s="142">
        <v>1</v>
      </c>
      <c r="J11" s="142">
        <v>1</v>
      </c>
      <c r="K11" s="142">
        <v>1</v>
      </c>
      <c r="L11" s="142">
        <v>1</v>
      </c>
      <c r="M11" s="142">
        <v>1</v>
      </c>
      <c r="N11" s="142">
        <v>1</v>
      </c>
      <c r="O11" s="142">
        <v>1</v>
      </c>
      <c r="P11" s="142">
        <v>1</v>
      </c>
      <c r="Q11" s="142">
        <v>1</v>
      </c>
      <c r="R11" s="142">
        <v>1</v>
      </c>
    </row>
    <row r="12" spans="2:18" ht="15.75" thickBot="1" x14ac:dyDescent="0.3">
      <c r="D12" s="74" t="s">
        <v>26</v>
      </c>
      <c r="E12" s="74" t="s">
        <v>164</v>
      </c>
      <c r="F12" s="74" t="s">
        <v>15</v>
      </c>
      <c r="G12" s="74" t="s">
        <v>65</v>
      </c>
      <c r="H12" s="143">
        <v>370</v>
      </c>
      <c r="I12" s="143">
        <v>370</v>
      </c>
      <c r="J12" s="143">
        <v>370</v>
      </c>
      <c r="K12" s="143">
        <v>370</v>
      </c>
      <c r="L12" s="143">
        <v>370</v>
      </c>
      <c r="M12" s="143">
        <v>370</v>
      </c>
      <c r="N12" s="143">
        <v>370</v>
      </c>
      <c r="O12" s="143">
        <v>370</v>
      </c>
      <c r="P12" s="143">
        <v>370</v>
      </c>
      <c r="Q12" s="143">
        <v>370</v>
      </c>
      <c r="R12" s="143">
        <v>370</v>
      </c>
    </row>
    <row r="13" spans="2:18" x14ac:dyDescent="0.25">
      <c r="D13" s="8" t="s">
        <v>26</v>
      </c>
      <c r="E13" s="8" t="s">
        <v>165</v>
      </c>
      <c r="F13" s="8" t="s">
        <v>29</v>
      </c>
      <c r="G13" s="8" t="s">
        <v>57</v>
      </c>
      <c r="H13" s="19">
        <v>1</v>
      </c>
      <c r="I13" s="19">
        <v>1</v>
      </c>
      <c r="J13" s="19">
        <v>1</v>
      </c>
      <c r="K13" s="19">
        <v>1</v>
      </c>
      <c r="L13" s="19">
        <v>1</v>
      </c>
      <c r="M13" s="19">
        <v>1</v>
      </c>
      <c r="N13" s="19">
        <v>1</v>
      </c>
      <c r="O13" s="19">
        <v>1</v>
      </c>
      <c r="P13" s="19">
        <v>1</v>
      </c>
      <c r="Q13" s="19">
        <v>1</v>
      </c>
      <c r="R13" s="19">
        <v>1</v>
      </c>
    </row>
    <row r="14" spans="2:18" ht="15.75" thickBot="1" x14ac:dyDescent="0.3">
      <c r="D14" s="10" t="s">
        <v>26</v>
      </c>
      <c r="E14" s="10" t="s">
        <v>165</v>
      </c>
      <c r="F14" s="10" t="s">
        <v>15</v>
      </c>
      <c r="G14" s="10" t="s">
        <v>65</v>
      </c>
      <c r="H14" s="28">
        <v>330</v>
      </c>
      <c r="I14" s="28">
        <v>330</v>
      </c>
      <c r="J14" s="28">
        <v>330</v>
      </c>
      <c r="K14" s="28">
        <v>330</v>
      </c>
      <c r="L14" s="28">
        <v>330</v>
      </c>
      <c r="M14" s="28">
        <v>330</v>
      </c>
      <c r="N14" s="28">
        <v>330</v>
      </c>
      <c r="O14" s="28">
        <v>330</v>
      </c>
      <c r="P14" s="28">
        <v>330</v>
      </c>
      <c r="Q14" s="28">
        <v>330</v>
      </c>
      <c r="R14" s="28">
        <v>330</v>
      </c>
    </row>
    <row r="15" spans="2:18" x14ac:dyDescent="0.25">
      <c r="D15" s="45"/>
      <c r="E15" s="45"/>
      <c r="F15" s="45"/>
      <c r="G15" s="45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</row>
    <row r="16" spans="2:18" x14ac:dyDescent="0.25">
      <c r="D16" s="9"/>
      <c r="E16" s="9"/>
      <c r="F16" s="9"/>
      <c r="G16" s="9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</row>
    <row r="17" spans="4:18" x14ac:dyDescent="0.25">
      <c r="D17" s="9"/>
      <c r="E17" s="9"/>
      <c r="F17" s="9"/>
      <c r="G17" s="9"/>
      <c r="H17" s="20"/>
      <c r="I17" s="20" t="str">
        <f t="shared" ref="I17:R21" si="0">IF(H17="","",H17)</f>
        <v/>
      </c>
      <c r="J17" s="20" t="str">
        <f t="shared" si="0"/>
        <v/>
      </c>
      <c r="K17" s="20" t="str">
        <f t="shared" si="0"/>
        <v/>
      </c>
      <c r="L17" s="20" t="str">
        <f t="shared" si="0"/>
        <v/>
      </c>
      <c r="M17" s="20" t="str">
        <f t="shared" si="0"/>
        <v/>
      </c>
      <c r="N17" s="20" t="str">
        <f t="shared" si="0"/>
        <v/>
      </c>
      <c r="O17" s="20" t="str">
        <f t="shared" si="0"/>
        <v/>
      </c>
      <c r="P17" s="20" t="str">
        <f t="shared" si="0"/>
        <v/>
      </c>
      <c r="Q17" s="20" t="str">
        <f t="shared" si="0"/>
        <v/>
      </c>
      <c r="R17" s="20" t="str">
        <f t="shared" si="0"/>
        <v/>
      </c>
    </row>
    <row r="18" spans="4:18" x14ac:dyDescent="0.25">
      <c r="D18" s="9"/>
      <c r="E18" s="9"/>
      <c r="F18" s="9"/>
      <c r="G18" s="9"/>
      <c r="H18" s="20"/>
      <c r="I18" s="20" t="str">
        <f t="shared" si="0"/>
        <v/>
      </c>
      <c r="J18" s="20" t="str">
        <f t="shared" si="0"/>
        <v/>
      </c>
      <c r="K18" s="20" t="str">
        <f t="shared" si="0"/>
        <v/>
      </c>
      <c r="L18" s="20" t="str">
        <f t="shared" si="0"/>
        <v/>
      </c>
      <c r="M18" s="20" t="str">
        <f t="shared" si="0"/>
        <v/>
      </c>
      <c r="N18" s="20" t="str">
        <f t="shared" si="0"/>
        <v/>
      </c>
      <c r="O18" s="20" t="str">
        <f t="shared" si="0"/>
        <v/>
      </c>
      <c r="P18" s="20" t="str">
        <f t="shared" si="0"/>
        <v/>
      </c>
      <c r="Q18" s="20" t="str">
        <f t="shared" si="0"/>
        <v/>
      </c>
      <c r="R18" s="20" t="str">
        <f t="shared" si="0"/>
        <v/>
      </c>
    </row>
    <row r="19" spans="4:18" x14ac:dyDescent="0.25">
      <c r="D19" s="9"/>
      <c r="E19" s="9"/>
      <c r="F19" s="9"/>
      <c r="G19" s="9"/>
      <c r="H19" s="20"/>
      <c r="I19" s="20" t="str">
        <f t="shared" si="0"/>
        <v/>
      </c>
      <c r="J19" s="20" t="str">
        <f t="shared" si="0"/>
        <v/>
      </c>
      <c r="K19" s="20" t="str">
        <f t="shared" si="0"/>
        <v/>
      </c>
      <c r="L19" s="20" t="str">
        <f t="shared" si="0"/>
        <v/>
      </c>
      <c r="M19" s="20" t="str">
        <f t="shared" si="0"/>
        <v/>
      </c>
      <c r="N19" s="20" t="str">
        <f t="shared" si="0"/>
        <v/>
      </c>
      <c r="O19" s="20" t="str">
        <f t="shared" si="0"/>
        <v/>
      </c>
      <c r="P19" s="20" t="str">
        <f t="shared" si="0"/>
        <v/>
      </c>
      <c r="Q19" s="20" t="str">
        <f t="shared" si="0"/>
        <v/>
      </c>
      <c r="R19" s="20" t="str">
        <f t="shared" si="0"/>
        <v/>
      </c>
    </row>
    <row r="20" spans="4:18" x14ac:dyDescent="0.25">
      <c r="D20" s="9"/>
      <c r="E20" s="9"/>
      <c r="F20" s="9"/>
      <c r="G20" s="9"/>
      <c r="H20" s="20"/>
      <c r="I20" s="20" t="str">
        <f t="shared" si="0"/>
        <v/>
      </c>
      <c r="J20" s="20" t="str">
        <f t="shared" si="0"/>
        <v/>
      </c>
      <c r="K20" s="20" t="str">
        <f t="shared" si="0"/>
        <v/>
      </c>
      <c r="L20" s="20" t="str">
        <f t="shared" si="0"/>
        <v/>
      </c>
      <c r="M20" s="20" t="str">
        <f t="shared" si="0"/>
        <v/>
      </c>
      <c r="N20" s="20" t="str">
        <f t="shared" si="0"/>
        <v/>
      </c>
      <c r="O20" s="20" t="str">
        <f t="shared" si="0"/>
        <v/>
      </c>
      <c r="P20" s="20" t="str">
        <f t="shared" si="0"/>
        <v/>
      </c>
      <c r="Q20" s="20" t="str">
        <f t="shared" si="0"/>
        <v/>
      </c>
      <c r="R20" s="20" t="str">
        <f t="shared" si="0"/>
        <v/>
      </c>
    </row>
    <row r="21" spans="4:18" x14ac:dyDescent="0.25">
      <c r="D21" s="9"/>
      <c r="E21" s="9"/>
      <c r="F21" s="9"/>
      <c r="G21" s="9"/>
      <c r="H21" s="20"/>
      <c r="I21" s="20" t="str">
        <f t="shared" si="0"/>
        <v/>
      </c>
      <c r="J21" s="20" t="str">
        <f t="shared" si="0"/>
        <v/>
      </c>
      <c r="K21" s="20" t="str">
        <f t="shared" si="0"/>
        <v/>
      </c>
      <c r="L21" s="20" t="str">
        <f t="shared" si="0"/>
        <v/>
      </c>
      <c r="M21" s="20" t="str">
        <f t="shared" si="0"/>
        <v/>
      </c>
      <c r="N21" s="20" t="str">
        <f t="shared" si="0"/>
        <v/>
      </c>
      <c r="O21" s="20" t="str">
        <f t="shared" si="0"/>
        <v/>
      </c>
      <c r="P21" s="20" t="str">
        <f t="shared" si="0"/>
        <v/>
      </c>
      <c r="Q21" s="20" t="str">
        <f t="shared" si="0"/>
        <v/>
      </c>
      <c r="R21" s="20" t="str">
        <f t="shared" si="0"/>
        <v/>
      </c>
    </row>
    <row r="22" spans="4:18" x14ac:dyDescent="0.25">
      <c r="D22" s="9"/>
      <c r="E22" s="9"/>
      <c r="F22" s="9"/>
      <c r="G22" s="9"/>
      <c r="H22" s="20"/>
      <c r="I22" s="20" t="str">
        <f t="shared" ref="I22:R37" si="1">IF(H22="","",H22)</f>
        <v/>
      </c>
      <c r="J22" s="20" t="str">
        <f t="shared" si="1"/>
        <v/>
      </c>
      <c r="K22" s="20" t="str">
        <f t="shared" si="1"/>
        <v/>
      </c>
      <c r="L22" s="20" t="str">
        <f t="shared" si="1"/>
        <v/>
      </c>
      <c r="M22" s="20" t="str">
        <f t="shared" si="1"/>
        <v/>
      </c>
      <c r="N22" s="20" t="str">
        <f t="shared" si="1"/>
        <v/>
      </c>
      <c r="O22" s="20" t="str">
        <f t="shared" si="1"/>
        <v/>
      </c>
      <c r="P22" s="20" t="str">
        <f t="shared" si="1"/>
        <v/>
      </c>
      <c r="Q22" s="20" t="str">
        <f t="shared" si="1"/>
        <v/>
      </c>
      <c r="R22" s="20" t="str">
        <f t="shared" si="1"/>
        <v/>
      </c>
    </row>
    <row r="23" spans="4:18" x14ac:dyDescent="0.25">
      <c r="D23" s="9"/>
      <c r="E23" s="9"/>
      <c r="F23" s="9"/>
      <c r="G23" s="9"/>
      <c r="H23" s="20"/>
      <c r="I23" s="20" t="str">
        <f t="shared" si="1"/>
        <v/>
      </c>
      <c r="J23" s="20" t="str">
        <f t="shared" si="1"/>
        <v/>
      </c>
      <c r="K23" s="20" t="str">
        <f t="shared" si="1"/>
        <v/>
      </c>
      <c r="L23" s="20" t="str">
        <f t="shared" si="1"/>
        <v/>
      </c>
      <c r="M23" s="20" t="str">
        <f t="shared" si="1"/>
        <v/>
      </c>
      <c r="N23" s="20" t="str">
        <f t="shared" si="1"/>
        <v/>
      </c>
      <c r="O23" s="20" t="str">
        <f t="shared" si="1"/>
        <v/>
      </c>
      <c r="P23" s="20" t="str">
        <f t="shared" si="1"/>
        <v/>
      </c>
      <c r="Q23" s="20" t="str">
        <f t="shared" si="1"/>
        <v/>
      </c>
      <c r="R23" s="20" t="str">
        <f t="shared" si="1"/>
        <v/>
      </c>
    </row>
    <row r="24" spans="4:18" x14ac:dyDescent="0.25">
      <c r="D24" s="9"/>
      <c r="E24" s="9"/>
      <c r="F24" s="9"/>
      <c r="G24" s="9"/>
      <c r="H24" s="20"/>
      <c r="I24" s="20" t="str">
        <f t="shared" si="1"/>
        <v/>
      </c>
      <c r="J24" s="20" t="str">
        <f t="shared" si="1"/>
        <v/>
      </c>
      <c r="K24" s="20" t="str">
        <f t="shared" si="1"/>
        <v/>
      </c>
      <c r="L24" s="20" t="str">
        <f t="shared" si="1"/>
        <v/>
      </c>
      <c r="M24" s="20" t="str">
        <f t="shared" si="1"/>
        <v/>
      </c>
      <c r="N24" s="20" t="str">
        <f t="shared" si="1"/>
        <v/>
      </c>
      <c r="O24" s="20" t="str">
        <f t="shared" si="1"/>
        <v/>
      </c>
      <c r="P24" s="20" t="str">
        <f t="shared" si="1"/>
        <v/>
      </c>
      <c r="Q24" s="20" t="str">
        <f t="shared" si="1"/>
        <v/>
      </c>
      <c r="R24" s="20" t="str">
        <f t="shared" si="1"/>
        <v/>
      </c>
    </row>
    <row r="25" spans="4:18" x14ac:dyDescent="0.25">
      <c r="D25" s="9"/>
      <c r="E25" s="9"/>
      <c r="F25" s="9"/>
      <c r="G25" s="9"/>
      <c r="H25" s="20"/>
      <c r="I25" s="20" t="str">
        <f t="shared" si="1"/>
        <v/>
      </c>
      <c r="J25" s="20" t="str">
        <f t="shared" si="1"/>
        <v/>
      </c>
      <c r="K25" s="20" t="str">
        <f t="shared" si="1"/>
        <v/>
      </c>
      <c r="L25" s="20" t="str">
        <f t="shared" si="1"/>
        <v/>
      </c>
      <c r="M25" s="20" t="str">
        <f t="shared" si="1"/>
        <v/>
      </c>
      <c r="N25" s="20" t="str">
        <f t="shared" si="1"/>
        <v/>
      </c>
      <c r="O25" s="20" t="str">
        <f t="shared" si="1"/>
        <v/>
      </c>
      <c r="P25" s="20" t="str">
        <f t="shared" si="1"/>
        <v/>
      </c>
      <c r="Q25" s="20" t="str">
        <f t="shared" si="1"/>
        <v/>
      </c>
      <c r="R25" s="20" t="str">
        <f t="shared" si="1"/>
        <v/>
      </c>
    </row>
    <row r="26" spans="4:18" x14ac:dyDescent="0.25">
      <c r="D26" s="9"/>
      <c r="E26" s="9"/>
      <c r="F26" s="9"/>
      <c r="G26" s="9"/>
      <c r="H26" s="20"/>
      <c r="I26" s="20" t="str">
        <f t="shared" si="1"/>
        <v/>
      </c>
      <c r="J26" s="20" t="str">
        <f t="shared" si="1"/>
        <v/>
      </c>
      <c r="K26" s="20" t="str">
        <f t="shared" si="1"/>
        <v/>
      </c>
      <c r="L26" s="20" t="str">
        <f t="shared" si="1"/>
        <v/>
      </c>
      <c r="M26" s="20" t="str">
        <f t="shared" si="1"/>
        <v/>
      </c>
      <c r="N26" s="20" t="str">
        <f t="shared" si="1"/>
        <v/>
      </c>
      <c r="O26" s="20" t="str">
        <f t="shared" si="1"/>
        <v/>
      </c>
      <c r="P26" s="20" t="str">
        <f t="shared" si="1"/>
        <v/>
      </c>
      <c r="Q26" s="20" t="str">
        <f t="shared" si="1"/>
        <v/>
      </c>
      <c r="R26" s="20" t="str">
        <f t="shared" si="1"/>
        <v/>
      </c>
    </row>
    <row r="27" spans="4:18" x14ac:dyDescent="0.25">
      <c r="D27" s="9"/>
      <c r="E27" s="9"/>
      <c r="F27" s="9"/>
      <c r="G27" s="9"/>
      <c r="H27" s="20"/>
      <c r="I27" s="20" t="str">
        <f t="shared" si="1"/>
        <v/>
      </c>
      <c r="J27" s="20" t="str">
        <f t="shared" si="1"/>
        <v/>
      </c>
      <c r="K27" s="20" t="str">
        <f t="shared" si="1"/>
        <v/>
      </c>
      <c r="L27" s="20" t="str">
        <f t="shared" si="1"/>
        <v/>
      </c>
      <c r="M27" s="20" t="str">
        <f t="shared" si="1"/>
        <v/>
      </c>
      <c r="N27" s="20" t="str">
        <f t="shared" si="1"/>
        <v/>
      </c>
      <c r="O27" s="20" t="str">
        <f t="shared" si="1"/>
        <v/>
      </c>
      <c r="P27" s="20" t="str">
        <f t="shared" si="1"/>
        <v/>
      </c>
      <c r="Q27" s="20" t="str">
        <f t="shared" si="1"/>
        <v/>
      </c>
      <c r="R27" s="20" t="str">
        <f t="shared" si="1"/>
        <v/>
      </c>
    </row>
    <row r="28" spans="4:18" x14ac:dyDescent="0.25">
      <c r="D28" s="9"/>
      <c r="E28" s="9"/>
      <c r="F28" s="9"/>
      <c r="G28" s="9"/>
      <c r="H28" s="20"/>
      <c r="I28" s="20" t="str">
        <f t="shared" si="1"/>
        <v/>
      </c>
      <c r="J28" s="20" t="str">
        <f t="shared" si="1"/>
        <v/>
      </c>
      <c r="K28" s="20" t="str">
        <f t="shared" si="1"/>
        <v/>
      </c>
      <c r="L28" s="20" t="str">
        <f t="shared" si="1"/>
        <v/>
      </c>
      <c r="M28" s="20" t="str">
        <f t="shared" si="1"/>
        <v/>
      </c>
      <c r="N28" s="20" t="str">
        <f t="shared" si="1"/>
        <v/>
      </c>
      <c r="O28" s="20" t="str">
        <f t="shared" si="1"/>
        <v/>
      </c>
      <c r="P28" s="20" t="str">
        <f t="shared" si="1"/>
        <v/>
      </c>
      <c r="Q28" s="20" t="str">
        <f t="shared" si="1"/>
        <v/>
      </c>
      <c r="R28" s="20" t="str">
        <f t="shared" si="1"/>
        <v/>
      </c>
    </row>
    <row r="29" spans="4:18" x14ac:dyDescent="0.25">
      <c r="D29" s="9"/>
      <c r="E29" s="9"/>
      <c r="F29" s="9"/>
      <c r="G29" s="9"/>
      <c r="H29" s="20"/>
      <c r="I29" s="20" t="str">
        <f t="shared" si="1"/>
        <v/>
      </c>
      <c r="J29" s="20" t="str">
        <f t="shared" si="1"/>
        <v/>
      </c>
      <c r="K29" s="20" t="str">
        <f t="shared" si="1"/>
        <v/>
      </c>
      <c r="L29" s="20" t="str">
        <f t="shared" si="1"/>
        <v/>
      </c>
      <c r="M29" s="20" t="str">
        <f t="shared" si="1"/>
        <v/>
      </c>
      <c r="N29" s="20" t="str">
        <f t="shared" si="1"/>
        <v/>
      </c>
      <c r="O29" s="20" t="str">
        <f t="shared" si="1"/>
        <v/>
      </c>
      <c r="P29" s="20" t="str">
        <f t="shared" si="1"/>
        <v/>
      </c>
      <c r="Q29" s="20" t="str">
        <f t="shared" si="1"/>
        <v/>
      </c>
      <c r="R29" s="20" t="str">
        <f t="shared" si="1"/>
        <v/>
      </c>
    </row>
    <row r="30" spans="4:18" x14ac:dyDescent="0.25">
      <c r="D30" s="9"/>
      <c r="E30" s="9"/>
      <c r="F30" s="9"/>
      <c r="G30" s="9"/>
      <c r="H30" s="20"/>
      <c r="I30" s="20" t="str">
        <f t="shared" si="1"/>
        <v/>
      </c>
      <c r="J30" s="20" t="str">
        <f t="shared" si="1"/>
        <v/>
      </c>
      <c r="K30" s="20" t="str">
        <f t="shared" si="1"/>
        <v/>
      </c>
      <c r="L30" s="20" t="str">
        <f t="shared" si="1"/>
        <v/>
      </c>
      <c r="M30" s="20" t="str">
        <f t="shared" si="1"/>
        <v/>
      </c>
      <c r="N30" s="20" t="str">
        <f t="shared" si="1"/>
        <v/>
      </c>
      <c r="O30" s="20" t="str">
        <f t="shared" si="1"/>
        <v/>
      </c>
      <c r="P30" s="20" t="str">
        <f t="shared" si="1"/>
        <v/>
      </c>
      <c r="Q30" s="20" t="str">
        <f t="shared" si="1"/>
        <v/>
      </c>
      <c r="R30" s="20" t="str">
        <f t="shared" si="1"/>
        <v/>
      </c>
    </row>
    <row r="31" spans="4:18" x14ac:dyDescent="0.25">
      <c r="D31" s="9"/>
      <c r="E31" s="9"/>
      <c r="F31" s="9"/>
      <c r="G31" s="9"/>
      <c r="H31" s="20"/>
      <c r="I31" s="20" t="str">
        <f t="shared" si="1"/>
        <v/>
      </c>
      <c r="J31" s="20" t="str">
        <f t="shared" si="1"/>
        <v/>
      </c>
      <c r="K31" s="20" t="str">
        <f t="shared" si="1"/>
        <v/>
      </c>
      <c r="L31" s="20" t="str">
        <f t="shared" si="1"/>
        <v/>
      </c>
      <c r="M31" s="20" t="str">
        <f t="shared" si="1"/>
        <v/>
      </c>
      <c r="N31" s="20" t="str">
        <f t="shared" si="1"/>
        <v/>
      </c>
      <c r="O31" s="20" t="str">
        <f t="shared" si="1"/>
        <v/>
      </c>
      <c r="P31" s="20" t="str">
        <f t="shared" si="1"/>
        <v/>
      </c>
      <c r="Q31" s="20" t="str">
        <f t="shared" si="1"/>
        <v/>
      </c>
      <c r="R31" s="20" t="str">
        <f t="shared" si="1"/>
        <v/>
      </c>
    </row>
    <row r="32" spans="4:18" x14ac:dyDescent="0.25">
      <c r="D32" s="9"/>
      <c r="E32" s="9"/>
      <c r="F32" s="9"/>
      <c r="G32" s="9"/>
      <c r="H32" s="20"/>
      <c r="I32" s="20" t="str">
        <f t="shared" si="1"/>
        <v/>
      </c>
      <c r="J32" s="20" t="str">
        <f t="shared" si="1"/>
        <v/>
      </c>
      <c r="K32" s="20" t="str">
        <f t="shared" si="1"/>
        <v/>
      </c>
      <c r="L32" s="20" t="str">
        <f t="shared" si="1"/>
        <v/>
      </c>
      <c r="M32" s="20" t="str">
        <f t="shared" si="1"/>
        <v/>
      </c>
      <c r="N32" s="20" t="str">
        <f t="shared" si="1"/>
        <v/>
      </c>
      <c r="O32" s="20" t="str">
        <f t="shared" si="1"/>
        <v/>
      </c>
      <c r="P32" s="20" t="str">
        <f t="shared" si="1"/>
        <v/>
      </c>
      <c r="Q32" s="20" t="str">
        <f t="shared" si="1"/>
        <v/>
      </c>
      <c r="R32" s="20" t="str">
        <f t="shared" si="1"/>
        <v/>
      </c>
    </row>
    <row r="33" spans="4:18" x14ac:dyDescent="0.25">
      <c r="D33" s="9"/>
      <c r="E33" s="9"/>
      <c r="F33" s="9"/>
      <c r="G33" s="9"/>
      <c r="H33" s="20"/>
      <c r="I33" s="20" t="str">
        <f t="shared" si="1"/>
        <v/>
      </c>
      <c r="J33" s="20" t="str">
        <f t="shared" si="1"/>
        <v/>
      </c>
      <c r="K33" s="20" t="str">
        <f t="shared" si="1"/>
        <v/>
      </c>
      <c r="L33" s="20" t="str">
        <f t="shared" si="1"/>
        <v/>
      </c>
      <c r="M33" s="20" t="str">
        <f t="shared" si="1"/>
        <v/>
      </c>
      <c r="N33" s="20" t="str">
        <f t="shared" si="1"/>
        <v/>
      </c>
      <c r="O33" s="20" t="str">
        <f t="shared" si="1"/>
        <v/>
      </c>
      <c r="P33" s="20" t="str">
        <f t="shared" si="1"/>
        <v/>
      </c>
      <c r="Q33" s="20" t="str">
        <f t="shared" si="1"/>
        <v/>
      </c>
      <c r="R33" s="20" t="str">
        <f t="shared" si="1"/>
        <v/>
      </c>
    </row>
    <row r="34" spans="4:18" x14ac:dyDescent="0.25">
      <c r="D34" s="9"/>
      <c r="E34" s="9"/>
      <c r="F34" s="9"/>
      <c r="G34" s="9"/>
      <c r="H34" s="20"/>
      <c r="I34" s="20" t="str">
        <f t="shared" si="1"/>
        <v/>
      </c>
      <c r="J34" s="20" t="str">
        <f t="shared" si="1"/>
        <v/>
      </c>
      <c r="K34" s="20" t="str">
        <f t="shared" si="1"/>
        <v/>
      </c>
      <c r="L34" s="20" t="str">
        <f t="shared" si="1"/>
        <v/>
      </c>
      <c r="M34" s="20" t="str">
        <f t="shared" si="1"/>
        <v/>
      </c>
      <c r="N34" s="20" t="str">
        <f t="shared" si="1"/>
        <v/>
      </c>
      <c r="O34" s="20" t="str">
        <f t="shared" si="1"/>
        <v/>
      </c>
      <c r="P34" s="20" t="str">
        <f t="shared" si="1"/>
        <v/>
      </c>
      <c r="Q34" s="20" t="str">
        <f t="shared" si="1"/>
        <v/>
      </c>
      <c r="R34" s="20" t="str">
        <f t="shared" si="1"/>
        <v/>
      </c>
    </row>
    <row r="35" spans="4:18" x14ac:dyDescent="0.25">
      <c r="D35" s="9"/>
      <c r="E35" s="9"/>
      <c r="F35" s="9"/>
      <c r="G35" s="9"/>
      <c r="H35" s="20"/>
      <c r="I35" s="20" t="str">
        <f t="shared" si="1"/>
        <v/>
      </c>
      <c r="J35" s="20" t="str">
        <f t="shared" si="1"/>
        <v/>
      </c>
      <c r="K35" s="20" t="str">
        <f t="shared" si="1"/>
        <v/>
      </c>
      <c r="L35" s="20" t="str">
        <f t="shared" si="1"/>
        <v/>
      </c>
      <c r="M35" s="20" t="str">
        <f t="shared" si="1"/>
        <v/>
      </c>
      <c r="N35" s="20" t="str">
        <f t="shared" si="1"/>
        <v/>
      </c>
      <c r="O35" s="20" t="str">
        <f t="shared" si="1"/>
        <v/>
      </c>
      <c r="P35" s="20" t="str">
        <f t="shared" si="1"/>
        <v/>
      </c>
      <c r="Q35" s="20" t="str">
        <f t="shared" si="1"/>
        <v/>
      </c>
      <c r="R35" s="20" t="str">
        <f t="shared" si="1"/>
        <v/>
      </c>
    </row>
    <row r="36" spans="4:18" x14ac:dyDescent="0.25">
      <c r="D36" s="9"/>
      <c r="E36" s="9"/>
      <c r="F36" s="9"/>
      <c r="G36" s="9"/>
      <c r="H36" s="20"/>
      <c r="I36" s="20" t="str">
        <f t="shared" si="1"/>
        <v/>
      </c>
      <c r="J36" s="20" t="str">
        <f t="shared" si="1"/>
        <v/>
      </c>
      <c r="K36" s="20" t="str">
        <f t="shared" si="1"/>
        <v/>
      </c>
      <c r="L36" s="20" t="str">
        <f t="shared" si="1"/>
        <v/>
      </c>
      <c r="M36" s="20" t="str">
        <f t="shared" si="1"/>
        <v/>
      </c>
      <c r="N36" s="20" t="str">
        <f t="shared" si="1"/>
        <v/>
      </c>
      <c r="O36" s="20" t="str">
        <f t="shared" si="1"/>
        <v/>
      </c>
      <c r="P36" s="20" t="str">
        <f t="shared" si="1"/>
        <v/>
      </c>
      <c r="Q36" s="20" t="str">
        <f t="shared" si="1"/>
        <v/>
      </c>
      <c r="R36" s="20" t="str">
        <f t="shared" si="1"/>
        <v/>
      </c>
    </row>
    <row r="37" spans="4:18" x14ac:dyDescent="0.25">
      <c r="D37" s="9"/>
      <c r="E37" s="9"/>
      <c r="F37" s="9"/>
      <c r="G37" s="9"/>
      <c r="H37" s="20"/>
      <c r="I37" s="20" t="str">
        <f t="shared" si="1"/>
        <v/>
      </c>
      <c r="J37" s="20" t="str">
        <f t="shared" si="1"/>
        <v/>
      </c>
      <c r="K37" s="20" t="str">
        <f t="shared" si="1"/>
        <v/>
      </c>
      <c r="L37" s="20" t="str">
        <f t="shared" si="1"/>
        <v/>
      </c>
      <c r="M37" s="20" t="str">
        <f t="shared" si="1"/>
        <v/>
      </c>
      <c r="N37" s="20" t="str">
        <f t="shared" si="1"/>
        <v/>
      </c>
      <c r="O37" s="20" t="str">
        <f t="shared" si="1"/>
        <v/>
      </c>
      <c r="P37" s="20" t="str">
        <f t="shared" si="1"/>
        <v/>
      </c>
      <c r="Q37" s="20" t="str">
        <f t="shared" si="1"/>
        <v/>
      </c>
      <c r="R37" s="20" t="str">
        <f t="shared" si="1"/>
        <v/>
      </c>
    </row>
    <row r="38" spans="4:18" x14ac:dyDescent="0.25">
      <c r="D38" s="9"/>
      <c r="E38" s="9"/>
      <c r="F38" s="9"/>
      <c r="G38" s="9"/>
      <c r="H38" s="20"/>
      <c r="I38" s="20" t="str">
        <f t="shared" ref="I38:R50" si="2">IF(H38="","",H38)</f>
        <v/>
      </c>
      <c r="J38" s="20" t="str">
        <f t="shared" si="2"/>
        <v/>
      </c>
      <c r="K38" s="20" t="str">
        <f t="shared" si="2"/>
        <v/>
      </c>
      <c r="L38" s="20" t="str">
        <f t="shared" si="2"/>
        <v/>
      </c>
      <c r="M38" s="20" t="str">
        <f t="shared" si="2"/>
        <v/>
      </c>
      <c r="N38" s="20" t="str">
        <f t="shared" si="2"/>
        <v/>
      </c>
      <c r="O38" s="20" t="str">
        <f t="shared" si="2"/>
        <v/>
      </c>
      <c r="P38" s="20" t="str">
        <f t="shared" si="2"/>
        <v/>
      </c>
      <c r="Q38" s="20" t="str">
        <f t="shared" si="2"/>
        <v/>
      </c>
      <c r="R38" s="20" t="str">
        <f t="shared" si="2"/>
        <v/>
      </c>
    </row>
    <row r="39" spans="4:18" x14ac:dyDescent="0.25">
      <c r="D39" s="9"/>
      <c r="E39" s="9"/>
      <c r="F39" s="9"/>
      <c r="G39" s="9"/>
      <c r="H39" s="20"/>
      <c r="I39" s="20" t="str">
        <f t="shared" si="2"/>
        <v/>
      </c>
      <c r="J39" s="20" t="str">
        <f t="shared" si="2"/>
        <v/>
      </c>
      <c r="K39" s="20" t="str">
        <f t="shared" si="2"/>
        <v/>
      </c>
      <c r="L39" s="20" t="str">
        <f t="shared" si="2"/>
        <v/>
      </c>
      <c r="M39" s="20" t="str">
        <f t="shared" si="2"/>
        <v/>
      </c>
      <c r="N39" s="20" t="str">
        <f t="shared" si="2"/>
        <v/>
      </c>
      <c r="O39" s="20" t="str">
        <f t="shared" si="2"/>
        <v/>
      </c>
      <c r="P39" s="20" t="str">
        <f t="shared" si="2"/>
        <v/>
      </c>
      <c r="Q39" s="20" t="str">
        <f t="shared" si="2"/>
        <v/>
      </c>
      <c r="R39" s="20" t="str">
        <f t="shared" si="2"/>
        <v/>
      </c>
    </row>
    <row r="40" spans="4:18" x14ac:dyDescent="0.25">
      <c r="D40" s="9"/>
      <c r="E40" s="9"/>
      <c r="F40" s="9"/>
      <c r="G40" s="9"/>
      <c r="H40" s="20"/>
      <c r="I40" s="20" t="str">
        <f t="shared" si="2"/>
        <v/>
      </c>
      <c r="J40" s="20" t="str">
        <f t="shared" si="2"/>
        <v/>
      </c>
      <c r="K40" s="20" t="str">
        <f t="shared" si="2"/>
        <v/>
      </c>
      <c r="L40" s="20" t="str">
        <f t="shared" si="2"/>
        <v/>
      </c>
      <c r="M40" s="20" t="str">
        <f t="shared" si="2"/>
        <v/>
      </c>
      <c r="N40" s="20" t="str">
        <f t="shared" si="2"/>
        <v/>
      </c>
      <c r="O40" s="20" t="str">
        <f t="shared" si="2"/>
        <v/>
      </c>
      <c r="P40" s="20" t="str">
        <f t="shared" si="2"/>
        <v/>
      </c>
      <c r="Q40" s="20" t="str">
        <f t="shared" si="2"/>
        <v/>
      </c>
      <c r="R40" s="20" t="str">
        <f t="shared" si="2"/>
        <v/>
      </c>
    </row>
    <row r="41" spans="4:18" x14ac:dyDescent="0.25">
      <c r="D41" s="9"/>
      <c r="E41" s="9"/>
      <c r="F41" s="9"/>
      <c r="G41" s="9"/>
      <c r="H41" s="20"/>
      <c r="I41" s="20" t="str">
        <f t="shared" si="2"/>
        <v/>
      </c>
      <c r="J41" s="20" t="str">
        <f t="shared" si="2"/>
        <v/>
      </c>
      <c r="K41" s="20" t="str">
        <f t="shared" si="2"/>
        <v/>
      </c>
      <c r="L41" s="20" t="str">
        <f t="shared" si="2"/>
        <v/>
      </c>
      <c r="M41" s="20" t="str">
        <f t="shared" si="2"/>
        <v/>
      </c>
      <c r="N41" s="20" t="str">
        <f t="shared" si="2"/>
        <v/>
      </c>
      <c r="O41" s="20" t="str">
        <f t="shared" si="2"/>
        <v/>
      </c>
      <c r="P41" s="20" t="str">
        <f t="shared" si="2"/>
        <v/>
      </c>
      <c r="Q41" s="20" t="str">
        <f t="shared" si="2"/>
        <v/>
      </c>
      <c r="R41" s="20" t="str">
        <f t="shared" si="2"/>
        <v/>
      </c>
    </row>
    <row r="42" spans="4:18" x14ac:dyDescent="0.25">
      <c r="D42" s="9"/>
      <c r="E42" s="9"/>
      <c r="F42" s="9"/>
      <c r="G42" s="9"/>
      <c r="H42" s="20"/>
      <c r="I42" s="20" t="str">
        <f t="shared" si="2"/>
        <v/>
      </c>
      <c r="J42" s="20" t="str">
        <f t="shared" si="2"/>
        <v/>
      </c>
      <c r="K42" s="20" t="str">
        <f t="shared" si="2"/>
        <v/>
      </c>
      <c r="L42" s="20" t="str">
        <f t="shared" si="2"/>
        <v/>
      </c>
      <c r="M42" s="20" t="str">
        <f t="shared" si="2"/>
        <v/>
      </c>
      <c r="N42" s="20" t="str">
        <f t="shared" si="2"/>
        <v/>
      </c>
      <c r="O42" s="20" t="str">
        <f t="shared" si="2"/>
        <v/>
      </c>
      <c r="P42" s="20" t="str">
        <f t="shared" si="2"/>
        <v/>
      </c>
      <c r="Q42" s="20" t="str">
        <f t="shared" si="2"/>
        <v/>
      </c>
      <c r="R42" s="20" t="str">
        <f t="shared" si="2"/>
        <v/>
      </c>
    </row>
    <row r="43" spans="4:18" x14ac:dyDescent="0.25">
      <c r="D43" s="9"/>
      <c r="E43" s="9"/>
      <c r="F43" s="9"/>
      <c r="G43" s="9"/>
      <c r="H43" s="20"/>
      <c r="I43" s="20" t="str">
        <f t="shared" si="2"/>
        <v/>
      </c>
      <c r="J43" s="20" t="str">
        <f t="shared" si="2"/>
        <v/>
      </c>
      <c r="K43" s="20" t="str">
        <f t="shared" si="2"/>
        <v/>
      </c>
      <c r="L43" s="20" t="str">
        <f t="shared" si="2"/>
        <v/>
      </c>
      <c r="M43" s="20" t="str">
        <f t="shared" si="2"/>
        <v/>
      </c>
      <c r="N43" s="20" t="str">
        <f t="shared" si="2"/>
        <v/>
      </c>
      <c r="O43" s="20" t="str">
        <f t="shared" si="2"/>
        <v/>
      </c>
      <c r="P43" s="20" t="str">
        <f t="shared" si="2"/>
        <v/>
      </c>
      <c r="Q43" s="20" t="str">
        <f t="shared" si="2"/>
        <v/>
      </c>
      <c r="R43" s="20" t="str">
        <f t="shared" si="2"/>
        <v/>
      </c>
    </row>
    <row r="44" spans="4:18" x14ac:dyDescent="0.25">
      <c r="D44" s="9"/>
      <c r="E44" s="9"/>
      <c r="F44" s="9"/>
      <c r="G44" s="9"/>
      <c r="H44" s="20"/>
      <c r="I44" s="20" t="str">
        <f t="shared" si="2"/>
        <v/>
      </c>
      <c r="J44" s="20" t="str">
        <f t="shared" si="2"/>
        <v/>
      </c>
      <c r="K44" s="20" t="str">
        <f t="shared" si="2"/>
        <v/>
      </c>
      <c r="L44" s="20" t="str">
        <f t="shared" si="2"/>
        <v/>
      </c>
      <c r="M44" s="20" t="str">
        <f t="shared" si="2"/>
        <v/>
      </c>
      <c r="N44" s="20" t="str">
        <f t="shared" si="2"/>
        <v/>
      </c>
      <c r="O44" s="20" t="str">
        <f t="shared" si="2"/>
        <v/>
      </c>
      <c r="P44" s="20" t="str">
        <f t="shared" si="2"/>
        <v/>
      </c>
      <c r="Q44" s="20" t="str">
        <f t="shared" si="2"/>
        <v/>
      </c>
      <c r="R44" s="20" t="str">
        <f t="shared" si="2"/>
        <v/>
      </c>
    </row>
    <row r="45" spans="4:18" x14ac:dyDescent="0.25">
      <c r="D45" s="9"/>
      <c r="E45" s="9"/>
      <c r="F45" s="9"/>
      <c r="G45" s="9"/>
      <c r="H45" s="20"/>
      <c r="I45" s="20" t="str">
        <f t="shared" si="2"/>
        <v/>
      </c>
      <c r="J45" s="20" t="str">
        <f t="shared" si="2"/>
        <v/>
      </c>
      <c r="K45" s="20" t="str">
        <f t="shared" si="2"/>
        <v/>
      </c>
      <c r="L45" s="20" t="str">
        <f t="shared" si="2"/>
        <v/>
      </c>
      <c r="M45" s="20" t="str">
        <f t="shared" si="2"/>
        <v/>
      </c>
      <c r="N45" s="20" t="str">
        <f t="shared" si="2"/>
        <v/>
      </c>
      <c r="O45" s="20" t="str">
        <f t="shared" si="2"/>
        <v/>
      </c>
      <c r="P45" s="20" t="str">
        <f t="shared" si="2"/>
        <v/>
      </c>
      <c r="Q45" s="20" t="str">
        <f t="shared" si="2"/>
        <v/>
      </c>
      <c r="R45" s="20" t="str">
        <f t="shared" si="2"/>
        <v/>
      </c>
    </row>
    <row r="46" spans="4:18" x14ac:dyDescent="0.25">
      <c r="D46" s="9"/>
      <c r="E46" s="9"/>
      <c r="F46" s="9"/>
      <c r="G46" s="9"/>
      <c r="H46" s="20"/>
      <c r="I46" s="20" t="str">
        <f t="shared" si="2"/>
        <v/>
      </c>
      <c r="J46" s="20" t="str">
        <f t="shared" si="2"/>
        <v/>
      </c>
      <c r="K46" s="20" t="str">
        <f t="shared" si="2"/>
        <v/>
      </c>
      <c r="L46" s="20" t="str">
        <f t="shared" si="2"/>
        <v/>
      </c>
      <c r="M46" s="20" t="str">
        <f t="shared" si="2"/>
        <v/>
      </c>
      <c r="N46" s="20" t="str">
        <f t="shared" si="2"/>
        <v/>
      </c>
      <c r="O46" s="20" t="str">
        <f t="shared" si="2"/>
        <v/>
      </c>
      <c r="P46" s="20" t="str">
        <f t="shared" si="2"/>
        <v/>
      </c>
      <c r="Q46" s="20" t="str">
        <f t="shared" si="2"/>
        <v/>
      </c>
      <c r="R46" s="20" t="str">
        <f t="shared" si="2"/>
        <v/>
      </c>
    </row>
    <row r="47" spans="4:18" x14ac:dyDescent="0.25">
      <c r="D47" s="9"/>
      <c r="E47" s="9"/>
      <c r="F47" s="9"/>
      <c r="G47" s="9"/>
      <c r="H47" s="20"/>
      <c r="I47" s="20" t="str">
        <f t="shared" si="2"/>
        <v/>
      </c>
      <c r="J47" s="20" t="str">
        <f t="shared" si="2"/>
        <v/>
      </c>
      <c r="K47" s="20" t="str">
        <f t="shared" si="2"/>
        <v/>
      </c>
      <c r="L47" s="20" t="str">
        <f t="shared" si="2"/>
        <v/>
      </c>
      <c r="M47" s="20" t="str">
        <f t="shared" si="2"/>
        <v/>
      </c>
      <c r="N47" s="20" t="str">
        <f t="shared" si="2"/>
        <v/>
      </c>
      <c r="O47" s="20" t="str">
        <f t="shared" si="2"/>
        <v/>
      </c>
      <c r="P47" s="20" t="str">
        <f t="shared" si="2"/>
        <v/>
      </c>
      <c r="Q47" s="20" t="str">
        <f t="shared" si="2"/>
        <v/>
      </c>
      <c r="R47" s="20" t="str">
        <f t="shared" si="2"/>
        <v/>
      </c>
    </row>
    <row r="48" spans="4:18" x14ac:dyDescent="0.25">
      <c r="D48" s="9"/>
      <c r="E48" s="9"/>
      <c r="F48" s="9"/>
      <c r="G48" s="9"/>
      <c r="H48" s="20"/>
      <c r="I48" s="20" t="str">
        <f t="shared" si="2"/>
        <v/>
      </c>
      <c r="J48" s="20" t="str">
        <f t="shared" si="2"/>
        <v/>
      </c>
      <c r="K48" s="20" t="str">
        <f t="shared" si="2"/>
        <v/>
      </c>
      <c r="L48" s="20" t="str">
        <f t="shared" si="2"/>
        <v/>
      </c>
      <c r="M48" s="20" t="str">
        <f t="shared" si="2"/>
        <v/>
      </c>
      <c r="N48" s="20" t="str">
        <f t="shared" si="2"/>
        <v/>
      </c>
      <c r="O48" s="20" t="str">
        <f t="shared" si="2"/>
        <v/>
      </c>
      <c r="P48" s="20" t="str">
        <f t="shared" si="2"/>
        <v/>
      </c>
      <c r="Q48" s="20" t="str">
        <f t="shared" si="2"/>
        <v/>
      </c>
      <c r="R48" s="20" t="str">
        <f t="shared" si="2"/>
        <v/>
      </c>
    </row>
    <row r="49" spans="4:18" x14ac:dyDescent="0.25">
      <c r="D49" s="9"/>
      <c r="E49" s="9"/>
      <c r="F49" s="9"/>
      <c r="G49" s="9"/>
      <c r="H49" s="20"/>
      <c r="I49" s="20" t="str">
        <f t="shared" si="2"/>
        <v/>
      </c>
      <c r="J49" s="20" t="str">
        <f t="shared" si="2"/>
        <v/>
      </c>
      <c r="K49" s="20" t="str">
        <f t="shared" si="2"/>
        <v/>
      </c>
      <c r="L49" s="20" t="str">
        <f t="shared" si="2"/>
        <v/>
      </c>
      <c r="M49" s="20" t="str">
        <f t="shared" si="2"/>
        <v/>
      </c>
      <c r="N49" s="20" t="str">
        <f t="shared" si="2"/>
        <v/>
      </c>
      <c r="O49" s="20" t="str">
        <f t="shared" si="2"/>
        <v/>
      </c>
      <c r="P49" s="20" t="str">
        <f t="shared" si="2"/>
        <v/>
      </c>
      <c r="Q49" s="20" t="str">
        <f t="shared" si="2"/>
        <v/>
      </c>
      <c r="R49" s="20" t="str">
        <f t="shared" si="2"/>
        <v/>
      </c>
    </row>
    <row r="50" spans="4:18" ht="15.75" thickBot="1" x14ac:dyDescent="0.3">
      <c r="D50" s="10"/>
      <c r="E50" s="10"/>
      <c r="F50" s="10"/>
      <c r="G50" s="10"/>
      <c r="H50" s="28"/>
      <c r="I50" s="28" t="str">
        <f t="shared" si="2"/>
        <v/>
      </c>
      <c r="J50" s="28" t="str">
        <f t="shared" si="2"/>
        <v/>
      </c>
      <c r="K50" s="28" t="str">
        <f t="shared" si="2"/>
        <v/>
      </c>
      <c r="L50" s="28" t="str">
        <f t="shared" si="2"/>
        <v/>
      </c>
      <c r="M50" s="28" t="str">
        <f t="shared" si="2"/>
        <v/>
      </c>
      <c r="N50" s="28" t="str">
        <f t="shared" si="2"/>
        <v/>
      </c>
      <c r="O50" s="28" t="str">
        <f t="shared" si="2"/>
        <v/>
      </c>
      <c r="P50" s="28" t="str">
        <f t="shared" si="2"/>
        <v/>
      </c>
      <c r="Q50" s="28" t="str">
        <f t="shared" si="2"/>
        <v/>
      </c>
      <c r="R50" s="28" t="str">
        <f t="shared" si="2"/>
        <v/>
      </c>
    </row>
    <row r="51" spans="4:18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SAPProduct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D5:D50">
      <formula1>SAPOptionsLocation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rgb="FFCCCC00"/>
  </sheetPr>
  <dimension ref="A1:T51"/>
  <sheetViews>
    <sheetView zoomScaleNormal="100" workbookViewId="0">
      <selection activeCell="I1" sqref="I1:S1048576"/>
    </sheetView>
  </sheetViews>
  <sheetFormatPr baseColWidth="10" defaultColWidth="11.5703125" defaultRowHeight="15" x14ac:dyDescent="0.25"/>
  <cols>
    <col min="1" max="3" width="3.5703125" style="5" customWidth="1"/>
    <col min="4" max="5" width="15.5703125" style="5" customWidth="1"/>
    <col min="6" max="6" width="23.42578125" style="5" customWidth="1"/>
    <col min="7" max="7" width="15.5703125" style="5" customWidth="1"/>
    <col min="8" max="18" width="8.5703125" style="5" customWidth="1"/>
    <col min="19" max="19" width="11.5703125" style="5"/>
    <col min="20" max="20" width="14.85546875" style="5" bestFit="1" customWidth="1"/>
    <col min="21" max="16384" width="11.5703125" style="5"/>
  </cols>
  <sheetData>
    <row r="1" spans="1:20" s="52" customFormat="1" ht="25.35" customHeight="1" x14ac:dyDescent="0.25">
      <c r="B1" s="58" t="s">
        <v>178</v>
      </c>
    </row>
    <row r="2" spans="1:20" x14ac:dyDescent="0.25">
      <c r="A2" s="59"/>
    </row>
    <row r="3" spans="1:20" ht="15.75" thickBot="1" x14ac:dyDescent="0.3">
      <c r="D3" s="38" t="str">
        <f>JESA_UploadTable(B1,D4:R29,db)</f>
        <v>SAP &amp; Power plant opex &amp; specific consumptions @09:45:17</v>
      </c>
    </row>
    <row r="4" spans="1:20" ht="30" customHeight="1" thickBot="1" x14ac:dyDescent="0.3">
      <c r="D4" s="54" t="s">
        <v>8</v>
      </c>
      <c r="E4" s="54" t="s">
        <v>25</v>
      </c>
      <c r="F4" s="54" t="s">
        <v>12</v>
      </c>
      <c r="G4" s="56" t="s">
        <v>17</v>
      </c>
      <c r="H4" s="57" t="s">
        <v>37</v>
      </c>
      <c r="I4" s="57" t="s">
        <v>38</v>
      </c>
      <c r="J4" s="57" t="s">
        <v>39</v>
      </c>
      <c r="K4" s="57" t="s">
        <v>40</v>
      </c>
      <c r="L4" s="57" t="s">
        <v>41</v>
      </c>
      <c r="M4" s="57" t="s">
        <v>42</v>
      </c>
      <c r="N4" s="57" t="s">
        <v>43</v>
      </c>
      <c r="O4" s="57" t="s">
        <v>44</v>
      </c>
      <c r="P4" s="57" t="s">
        <v>45</v>
      </c>
      <c r="Q4" s="57" t="s">
        <v>46</v>
      </c>
      <c r="R4" s="57" t="s">
        <v>47</v>
      </c>
    </row>
    <row r="5" spans="1:20" x14ac:dyDescent="0.25">
      <c r="D5" s="8" t="s">
        <v>3</v>
      </c>
      <c r="E5" s="8" t="s">
        <v>164</v>
      </c>
      <c r="F5" s="8" t="s">
        <v>13</v>
      </c>
      <c r="G5" s="8" t="s">
        <v>61</v>
      </c>
      <c r="H5" s="17">
        <v>0.33</v>
      </c>
      <c r="I5" s="17">
        <v>0.33</v>
      </c>
      <c r="J5" s="17">
        <v>0.33</v>
      </c>
      <c r="K5" s="17">
        <v>0.33</v>
      </c>
      <c r="L5" s="17">
        <v>0.33</v>
      </c>
      <c r="M5" s="17">
        <v>0.33</v>
      </c>
      <c r="N5" s="17">
        <v>0.33</v>
      </c>
      <c r="O5" s="17">
        <v>0.33</v>
      </c>
      <c r="P5" s="17">
        <v>0.33</v>
      </c>
      <c r="Q5" s="17">
        <v>0.33</v>
      </c>
      <c r="R5" s="17">
        <v>0.33</v>
      </c>
    </row>
    <row r="6" spans="1:20" x14ac:dyDescent="0.25">
      <c r="D6" s="9" t="s">
        <v>3</v>
      </c>
      <c r="E6" s="9" t="s">
        <v>164</v>
      </c>
      <c r="F6" s="9" t="s">
        <v>15</v>
      </c>
      <c r="G6" s="9" t="s">
        <v>65</v>
      </c>
      <c r="H6" s="18">
        <v>62</v>
      </c>
      <c r="I6" s="18">
        <v>62</v>
      </c>
      <c r="J6" s="18">
        <v>62</v>
      </c>
      <c r="K6" s="18">
        <v>62</v>
      </c>
      <c r="L6" s="18">
        <v>62</v>
      </c>
      <c r="M6" s="18">
        <v>62</v>
      </c>
      <c r="N6" s="18">
        <v>62</v>
      </c>
      <c r="O6" s="18">
        <v>62</v>
      </c>
      <c r="P6" s="18">
        <v>62</v>
      </c>
      <c r="Q6" s="18">
        <v>62</v>
      </c>
      <c r="R6" s="18">
        <v>62</v>
      </c>
    </row>
    <row r="7" spans="1:20" x14ac:dyDescent="0.25">
      <c r="D7" s="9" t="s">
        <v>3</v>
      </c>
      <c r="E7" s="9" t="s">
        <v>164</v>
      </c>
      <c r="F7" s="9" t="s">
        <v>34</v>
      </c>
      <c r="G7" s="9" t="s">
        <v>57</v>
      </c>
      <c r="H7" s="18">
        <v>0.33</v>
      </c>
      <c r="I7" s="18">
        <v>0.33</v>
      </c>
      <c r="J7" s="18">
        <v>0.33</v>
      </c>
      <c r="K7" s="18">
        <v>0.33</v>
      </c>
      <c r="L7" s="18">
        <v>0.33</v>
      </c>
      <c r="M7" s="18">
        <v>0.33</v>
      </c>
      <c r="N7" s="18">
        <v>0.33</v>
      </c>
      <c r="O7" s="18">
        <v>0.33</v>
      </c>
      <c r="P7" s="18">
        <v>0.33</v>
      </c>
      <c r="Q7" s="18">
        <v>0.33</v>
      </c>
      <c r="R7" s="18">
        <v>0.33</v>
      </c>
    </row>
    <row r="8" spans="1:20" ht="15.75" thickBot="1" x14ac:dyDescent="0.3">
      <c r="D8" s="10" t="s">
        <v>3</v>
      </c>
      <c r="E8" s="10" t="s">
        <v>164</v>
      </c>
      <c r="F8" s="10" t="s">
        <v>22</v>
      </c>
      <c r="G8" s="10" t="s">
        <v>133</v>
      </c>
      <c r="H8" s="46">
        <v>44</v>
      </c>
      <c r="I8" s="46">
        <v>44</v>
      </c>
      <c r="J8" s="46">
        <v>44</v>
      </c>
      <c r="K8" s="46">
        <v>44</v>
      </c>
      <c r="L8" s="46">
        <v>44</v>
      </c>
      <c r="M8" s="46">
        <v>44</v>
      </c>
      <c r="N8" s="46">
        <v>44</v>
      </c>
      <c r="O8" s="46">
        <v>44</v>
      </c>
      <c r="P8" s="46">
        <v>44</v>
      </c>
      <c r="Q8" s="46">
        <v>44</v>
      </c>
      <c r="R8" s="46">
        <v>44</v>
      </c>
      <c r="T8" s="5">
        <f>1431000</f>
        <v>1431000</v>
      </c>
    </row>
    <row r="9" spans="1:20" x14ac:dyDescent="0.25">
      <c r="D9" s="8" t="s">
        <v>3</v>
      </c>
      <c r="E9" s="8" t="s">
        <v>165</v>
      </c>
      <c r="F9" s="8" t="s">
        <v>13</v>
      </c>
      <c r="G9" s="8" t="s">
        <v>61</v>
      </c>
      <c r="H9" s="17">
        <v>0.33</v>
      </c>
      <c r="I9" s="17">
        <v>0.33</v>
      </c>
      <c r="J9" s="17">
        <v>0.33</v>
      </c>
      <c r="K9" s="17">
        <v>0.33</v>
      </c>
      <c r="L9" s="17">
        <v>0.33</v>
      </c>
      <c r="M9" s="17">
        <v>0.33</v>
      </c>
      <c r="N9" s="17">
        <v>0.33</v>
      </c>
      <c r="O9" s="17">
        <v>0.33</v>
      </c>
      <c r="P9" s="17">
        <v>0.33</v>
      </c>
      <c r="Q9" s="17">
        <v>0.33</v>
      </c>
      <c r="R9" s="17">
        <v>0.33</v>
      </c>
      <c r="T9" s="136">
        <f>T8*R8</f>
        <v>62964000</v>
      </c>
    </row>
    <row r="10" spans="1:20" x14ac:dyDescent="0.25">
      <c r="D10" s="9" t="s">
        <v>3</v>
      </c>
      <c r="E10" s="9" t="s">
        <v>165</v>
      </c>
      <c r="F10" s="9" t="s">
        <v>15</v>
      </c>
      <c r="G10" s="9" t="s">
        <v>65</v>
      </c>
      <c r="H10" s="18">
        <v>138</v>
      </c>
      <c r="I10" s="18">
        <v>138</v>
      </c>
      <c r="J10" s="18">
        <v>138</v>
      </c>
      <c r="K10" s="18">
        <v>138</v>
      </c>
      <c r="L10" s="18">
        <v>138</v>
      </c>
      <c r="M10" s="18">
        <v>138</v>
      </c>
      <c r="N10" s="18">
        <v>138</v>
      </c>
      <c r="O10" s="18">
        <v>138</v>
      </c>
      <c r="P10" s="18">
        <v>138</v>
      </c>
      <c r="Q10" s="18">
        <v>138</v>
      </c>
      <c r="R10" s="18">
        <v>138</v>
      </c>
    </row>
    <row r="11" spans="1:20" x14ac:dyDescent="0.25">
      <c r="D11" s="9" t="s">
        <v>3</v>
      </c>
      <c r="E11" s="9" t="s">
        <v>165</v>
      </c>
      <c r="F11" s="9" t="s">
        <v>34</v>
      </c>
      <c r="G11" s="9" t="s">
        <v>57</v>
      </c>
      <c r="H11" s="18">
        <v>0.33</v>
      </c>
      <c r="I11" s="18">
        <v>0.33</v>
      </c>
      <c r="J11" s="18">
        <v>0.33</v>
      </c>
      <c r="K11" s="18">
        <v>0.33</v>
      </c>
      <c r="L11" s="18">
        <v>0.33</v>
      </c>
      <c r="M11" s="18">
        <v>0.33</v>
      </c>
      <c r="N11" s="18">
        <v>0.33</v>
      </c>
      <c r="O11" s="18">
        <v>0.33</v>
      </c>
      <c r="P11" s="18">
        <v>0.33</v>
      </c>
      <c r="Q11" s="18">
        <v>0.33</v>
      </c>
      <c r="R11" s="18">
        <v>0.33</v>
      </c>
    </row>
    <row r="12" spans="1:20" x14ac:dyDescent="0.25">
      <c r="D12" s="9" t="s">
        <v>3</v>
      </c>
      <c r="E12" s="9" t="s">
        <v>165</v>
      </c>
      <c r="F12" s="9" t="s">
        <v>22</v>
      </c>
      <c r="G12" s="9" t="s">
        <v>133</v>
      </c>
      <c r="H12" s="18">
        <v>44</v>
      </c>
      <c r="I12" s="18">
        <v>44</v>
      </c>
      <c r="J12" s="18">
        <v>44</v>
      </c>
      <c r="K12" s="18">
        <v>44</v>
      </c>
      <c r="L12" s="18">
        <v>44</v>
      </c>
      <c r="M12" s="18">
        <v>44</v>
      </c>
      <c r="N12" s="18">
        <v>44</v>
      </c>
      <c r="O12" s="18">
        <v>44</v>
      </c>
      <c r="P12" s="18">
        <v>44</v>
      </c>
      <c r="Q12" s="18">
        <v>44</v>
      </c>
      <c r="R12" s="18">
        <v>44</v>
      </c>
    </row>
    <row r="13" spans="1:20" ht="15.75" thickBot="1" x14ac:dyDescent="0.3">
      <c r="D13" s="10" t="s">
        <v>26</v>
      </c>
      <c r="E13" s="10" t="s">
        <v>164</v>
      </c>
      <c r="F13" s="10" t="s">
        <v>13</v>
      </c>
      <c r="G13" s="10" t="s">
        <v>61</v>
      </c>
      <c r="H13" s="46">
        <v>0.33</v>
      </c>
      <c r="I13" s="46">
        <v>0.33</v>
      </c>
      <c r="J13" s="46">
        <v>0.33</v>
      </c>
      <c r="K13" s="46">
        <v>0.33</v>
      </c>
      <c r="L13" s="46">
        <v>0.33</v>
      </c>
      <c r="M13" s="46">
        <v>0.33</v>
      </c>
      <c r="N13" s="46">
        <v>0.33</v>
      </c>
      <c r="O13" s="46">
        <v>0.33</v>
      </c>
      <c r="P13" s="46">
        <v>0.33</v>
      </c>
      <c r="Q13" s="46">
        <v>0.33</v>
      </c>
      <c r="R13" s="46">
        <v>0.33</v>
      </c>
    </row>
    <row r="14" spans="1:20" x14ac:dyDescent="0.25">
      <c r="D14" s="8" t="s">
        <v>26</v>
      </c>
      <c r="E14" s="8" t="s">
        <v>164</v>
      </c>
      <c r="F14" s="8" t="s">
        <v>15</v>
      </c>
      <c r="G14" s="8" t="s">
        <v>65</v>
      </c>
      <c r="H14" s="17">
        <v>62</v>
      </c>
      <c r="I14" s="17">
        <v>62</v>
      </c>
      <c r="J14" s="17">
        <v>62</v>
      </c>
      <c r="K14" s="17">
        <v>62</v>
      </c>
      <c r="L14" s="17">
        <v>62</v>
      </c>
      <c r="M14" s="17">
        <v>62</v>
      </c>
      <c r="N14" s="17">
        <v>62</v>
      </c>
      <c r="O14" s="17">
        <v>62</v>
      </c>
      <c r="P14" s="17">
        <v>62</v>
      </c>
      <c r="Q14" s="17">
        <v>62</v>
      </c>
      <c r="R14" s="17">
        <v>62</v>
      </c>
    </row>
    <row r="15" spans="1:20" x14ac:dyDescent="0.25">
      <c r="D15" s="9" t="s">
        <v>26</v>
      </c>
      <c r="E15" s="9" t="s">
        <v>164</v>
      </c>
      <c r="F15" s="9" t="s">
        <v>34</v>
      </c>
      <c r="G15" s="9" t="s">
        <v>57</v>
      </c>
      <c r="H15" s="18">
        <v>0.33</v>
      </c>
      <c r="I15" s="18">
        <v>0.33</v>
      </c>
      <c r="J15" s="18">
        <v>0.33</v>
      </c>
      <c r="K15" s="18">
        <v>0.33</v>
      </c>
      <c r="L15" s="18">
        <v>0.33</v>
      </c>
      <c r="M15" s="18">
        <v>0.33</v>
      </c>
      <c r="N15" s="18">
        <v>0.33</v>
      </c>
      <c r="O15" s="18">
        <v>0.33</v>
      </c>
      <c r="P15" s="18">
        <v>0.33</v>
      </c>
      <c r="Q15" s="18">
        <v>0.33</v>
      </c>
      <c r="R15" s="18">
        <v>0.33</v>
      </c>
    </row>
    <row r="16" spans="1:20" x14ac:dyDescent="0.25">
      <c r="D16" s="9" t="s">
        <v>26</v>
      </c>
      <c r="E16" s="9" t="s">
        <v>164</v>
      </c>
      <c r="F16" s="9" t="s">
        <v>14</v>
      </c>
      <c r="G16" s="9" t="s">
        <v>61</v>
      </c>
      <c r="H16" s="18">
        <v>80</v>
      </c>
      <c r="I16" s="18">
        <v>80</v>
      </c>
      <c r="J16" s="18">
        <v>80</v>
      </c>
      <c r="K16" s="18">
        <v>80</v>
      </c>
      <c r="L16" s="18">
        <v>80</v>
      </c>
      <c r="M16" s="18">
        <v>80</v>
      </c>
      <c r="N16" s="18">
        <v>80</v>
      </c>
      <c r="O16" s="18">
        <v>80</v>
      </c>
      <c r="P16" s="18">
        <v>80</v>
      </c>
      <c r="Q16" s="18">
        <v>80</v>
      </c>
      <c r="R16" s="18">
        <v>80</v>
      </c>
    </row>
    <row r="17" spans="4:18" x14ac:dyDescent="0.25">
      <c r="D17" s="9" t="s">
        <v>26</v>
      </c>
      <c r="E17" s="9" t="s">
        <v>164</v>
      </c>
      <c r="F17" s="9" t="s">
        <v>22</v>
      </c>
      <c r="G17" s="9" t="s">
        <v>133</v>
      </c>
      <c r="H17" s="18">
        <v>44</v>
      </c>
      <c r="I17" s="18">
        <v>44</v>
      </c>
      <c r="J17" s="18">
        <v>44</v>
      </c>
      <c r="K17" s="18">
        <v>44</v>
      </c>
      <c r="L17" s="18">
        <v>44</v>
      </c>
      <c r="M17" s="18">
        <v>44</v>
      </c>
      <c r="N17" s="18">
        <v>44</v>
      </c>
      <c r="O17" s="18">
        <v>44</v>
      </c>
      <c r="P17" s="18">
        <v>44</v>
      </c>
      <c r="Q17" s="18">
        <v>44</v>
      </c>
      <c r="R17" s="18">
        <v>44</v>
      </c>
    </row>
    <row r="18" spans="4:18" ht="15.75" thickBot="1" x14ac:dyDescent="0.3">
      <c r="D18" s="10" t="s">
        <v>26</v>
      </c>
      <c r="E18" s="10" t="s">
        <v>165</v>
      </c>
      <c r="F18" s="10" t="s">
        <v>13</v>
      </c>
      <c r="G18" s="10" t="s">
        <v>61</v>
      </c>
      <c r="H18" s="46">
        <v>0.33</v>
      </c>
      <c r="I18" s="46">
        <v>0.33</v>
      </c>
      <c r="J18" s="46">
        <v>0.33</v>
      </c>
      <c r="K18" s="46">
        <v>0.33</v>
      </c>
      <c r="L18" s="46">
        <v>0.33</v>
      </c>
      <c r="M18" s="46">
        <v>0.33</v>
      </c>
      <c r="N18" s="46">
        <v>0.33</v>
      </c>
      <c r="O18" s="46">
        <v>0.33</v>
      </c>
      <c r="P18" s="46">
        <v>0.33</v>
      </c>
      <c r="Q18" s="46">
        <v>0.33</v>
      </c>
      <c r="R18" s="46">
        <v>0.33</v>
      </c>
    </row>
    <row r="19" spans="4:18" x14ac:dyDescent="0.25">
      <c r="D19" s="8" t="s">
        <v>26</v>
      </c>
      <c r="E19" s="8" t="s">
        <v>165</v>
      </c>
      <c r="F19" s="8" t="s">
        <v>15</v>
      </c>
      <c r="G19" s="8" t="s">
        <v>65</v>
      </c>
      <c r="H19" s="17">
        <v>138</v>
      </c>
      <c r="I19" s="17">
        <v>138</v>
      </c>
      <c r="J19" s="17">
        <v>138</v>
      </c>
      <c r="K19" s="17">
        <v>138</v>
      </c>
      <c r="L19" s="17">
        <v>138</v>
      </c>
      <c r="M19" s="17">
        <v>138</v>
      </c>
      <c r="N19" s="17">
        <v>138</v>
      </c>
      <c r="O19" s="17">
        <v>138</v>
      </c>
      <c r="P19" s="17">
        <v>138</v>
      </c>
      <c r="Q19" s="17">
        <v>138</v>
      </c>
      <c r="R19" s="17">
        <v>138</v>
      </c>
    </row>
    <row r="20" spans="4:18" x14ac:dyDescent="0.25">
      <c r="D20" s="9" t="s">
        <v>26</v>
      </c>
      <c r="E20" s="9" t="s">
        <v>165</v>
      </c>
      <c r="F20" s="9" t="s">
        <v>34</v>
      </c>
      <c r="G20" s="9" t="s">
        <v>57</v>
      </c>
      <c r="H20" s="18">
        <v>0.33</v>
      </c>
      <c r="I20" s="18">
        <v>0.33</v>
      </c>
      <c r="J20" s="18">
        <v>0.33</v>
      </c>
      <c r="K20" s="18">
        <v>0.33</v>
      </c>
      <c r="L20" s="18">
        <v>0.33</v>
      </c>
      <c r="M20" s="18">
        <v>0.33</v>
      </c>
      <c r="N20" s="18">
        <v>0.33</v>
      </c>
      <c r="O20" s="18">
        <v>0.33</v>
      </c>
      <c r="P20" s="18">
        <v>0.33</v>
      </c>
      <c r="Q20" s="18">
        <v>0.33</v>
      </c>
      <c r="R20" s="18">
        <v>0.33</v>
      </c>
    </row>
    <row r="21" spans="4:18" x14ac:dyDescent="0.25">
      <c r="D21" s="9" t="s">
        <v>26</v>
      </c>
      <c r="E21" s="9" t="s">
        <v>165</v>
      </c>
      <c r="F21" s="9" t="s">
        <v>14</v>
      </c>
      <c r="G21" s="9" t="s">
        <v>61</v>
      </c>
      <c r="H21" s="18">
        <v>6</v>
      </c>
      <c r="I21" s="18">
        <v>6</v>
      </c>
      <c r="J21" s="18">
        <v>6</v>
      </c>
      <c r="K21" s="18">
        <v>6</v>
      </c>
      <c r="L21" s="18">
        <v>6</v>
      </c>
      <c r="M21" s="18">
        <v>6</v>
      </c>
      <c r="N21" s="18">
        <v>6</v>
      </c>
      <c r="O21" s="18">
        <v>6</v>
      </c>
      <c r="P21" s="18">
        <v>6</v>
      </c>
      <c r="Q21" s="18">
        <v>6</v>
      </c>
      <c r="R21" s="18">
        <v>6</v>
      </c>
    </row>
    <row r="22" spans="4:18" x14ac:dyDescent="0.25">
      <c r="D22" s="9" t="s">
        <v>26</v>
      </c>
      <c r="E22" s="9" t="s">
        <v>165</v>
      </c>
      <c r="F22" s="9" t="s">
        <v>22</v>
      </c>
      <c r="G22" s="9" t="s">
        <v>133</v>
      </c>
      <c r="H22" s="18">
        <v>44</v>
      </c>
      <c r="I22" s="18">
        <v>44</v>
      </c>
      <c r="J22" s="18">
        <v>44</v>
      </c>
      <c r="K22" s="18">
        <v>44</v>
      </c>
      <c r="L22" s="18">
        <v>44</v>
      </c>
      <c r="M22" s="18">
        <v>44</v>
      </c>
      <c r="N22" s="18">
        <v>44</v>
      </c>
      <c r="O22" s="18">
        <v>44</v>
      </c>
      <c r="P22" s="18">
        <v>44</v>
      </c>
      <c r="Q22" s="18">
        <v>44</v>
      </c>
      <c r="R22" s="18">
        <v>44</v>
      </c>
    </row>
    <row r="23" spans="4:18" x14ac:dyDescent="0.25">
      <c r="D23" s="9" t="s">
        <v>26</v>
      </c>
      <c r="E23" s="9" t="s">
        <v>167</v>
      </c>
      <c r="F23" s="9" t="s">
        <v>13</v>
      </c>
      <c r="G23" s="9" t="s">
        <v>61</v>
      </c>
      <c r="H23" s="18">
        <v>0.33</v>
      </c>
      <c r="I23" s="18">
        <v>0.33</v>
      </c>
      <c r="J23" s="18">
        <v>0.33</v>
      </c>
      <c r="K23" s="18">
        <v>0.33</v>
      </c>
      <c r="L23" s="18">
        <v>0.33</v>
      </c>
      <c r="M23" s="18">
        <v>0.33</v>
      </c>
      <c r="N23" s="18">
        <v>0.33</v>
      </c>
      <c r="O23" s="18">
        <v>0.33</v>
      </c>
      <c r="P23" s="18">
        <v>0.33</v>
      </c>
      <c r="Q23" s="18">
        <v>0.33</v>
      </c>
      <c r="R23" s="18">
        <v>0.33</v>
      </c>
    </row>
    <row r="24" spans="4:18" ht="15.75" thickBot="1" x14ac:dyDescent="0.3">
      <c r="D24" s="10" t="s">
        <v>26</v>
      </c>
      <c r="E24" s="10" t="s">
        <v>167</v>
      </c>
      <c r="F24" s="10" t="s">
        <v>15</v>
      </c>
      <c r="G24" s="10" t="s">
        <v>65</v>
      </c>
      <c r="H24" s="46">
        <v>100</v>
      </c>
      <c r="I24" s="46">
        <v>100</v>
      </c>
      <c r="J24" s="46">
        <v>100</v>
      </c>
      <c r="K24" s="46">
        <v>100</v>
      </c>
      <c r="L24" s="46">
        <v>100</v>
      </c>
      <c r="M24" s="46">
        <v>100</v>
      </c>
      <c r="N24" s="46">
        <v>100</v>
      </c>
      <c r="O24" s="46">
        <v>100</v>
      </c>
      <c r="P24" s="46">
        <v>100</v>
      </c>
      <c r="Q24" s="46">
        <v>100</v>
      </c>
      <c r="R24" s="46">
        <v>100</v>
      </c>
    </row>
    <row r="25" spans="4:18" x14ac:dyDescent="0.25">
      <c r="D25" s="8" t="s">
        <v>26</v>
      </c>
      <c r="E25" s="8" t="s">
        <v>167</v>
      </c>
      <c r="F25" s="8" t="s">
        <v>34</v>
      </c>
      <c r="G25" s="8" t="s">
        <v>57</v>
      </c>
      <c r="H25" s="17">
        <v>0.33</v>
      </c>
      <c r="I25" s="17">
        <v>0.33</v>
      </c>
      <c r="J25" s="17">
        <v>0.33</v>
      </c>
      <c r="K25" s="17">
        <v>0.33</v>
      </c>
      <c r="L25" s="17">
        <v>0.33</v>
      </c>
      <c r="M25" s="17">
        <v>0.33</v>
      </c>
      <c r="N25" s="17">
        <v>0.33</v>
      </c>
      <c r="O25" s="17">
        <v>0.33</v>
      </c>
      <c r="P25" s="17">
        <v>0.33</v>
      </c>
      <c r="Q25" s="17">
        <v>0.33</v>
      </c>
      <c r="R25" s="17">
        <v>0.33</v>
      </c>
    </row>
    <row r="26" spans="4:18" x14ac:dyDescent="0.25">
      <c r="D26" s="9" t="s">
        <v>26</v>
      </c>
      <c r="E26" s="9" t="s">
        <v>167</v>
      </c>
      <c r="F26" s="9" t="s">
        <v>14</v>
      </c>
      <c r="G26" s="9" t="s">
        <v>61</v>
      </c>
      <c r="H26" s="18">
        <v>80</v>
      </c>
      <c r="I26" s="18">
        <v>80</v>
      </c>
      <c r="J26" s="18">
        <v>80</v>
      </c>
      <c r="K26" s="18">
        <v>80</v>
      </c>
      <c r="L26" s="18">
        <v>80</v>
      </c>
      <c r="M26" s="18">
        <v>80</v>
      </c>
      <c r="N26" s="18">
        <v>80</v>
      </c>
      <c r="O26" s="18">
        <v>80</v>
      </c>
      <c r="P26" s="18">
        <v>80</v>
      </c>
      <c r="Q26" s="18">
        <v>80</v>
      </c>
      <c r="R26" s="18">
        <v>80</v>
      </c>
    </row>
    <row r="27" spans="4:18" x14ac:dyDescent="0.25">
      <c r="D27" s="9" t="s">
        <v>26</v>
      </c>
      <c r="E27" s="9" t="s">
        <v>167</v>
      </c>
      <c r="F27" s="9" t="s">
        <v>22</v>
      </c>
      <c r="G27" s="9" t="s">
        <v>133</v>
      </c>
      <c r="H27" s="18">
        <v>66</v>
      </c>
      <c r="I27" s="18">
        <v>66</v>
      </c>
      <c r="J27" s="18">
        <v>66</v>
      </c>
      <c r="K27" s="18">
        <v>66</v>
      </c>
      <c r="L27" s="18">
        <v>66</v>
      </c>
      <c r="M27" s="18">
        <v>66</v>
      </c>
      <c r="N27" s="18">
        <v>66</v>
      </c>
      <c r="O27" s="18">
        <v>66</v>
      </c>
      <c r="P27" s="18">
        <v>66</v>
      </c>
      <c r="Q27" s="18">
        <v>66</v>
      </c>
      <c r="R27" s="18">
        <v>66</v>
      </c>
    </row>
    <row r="28" spans="4:18" x14ac:dyDescent="0.25">
      <c r="D28" s="9"/>
      <c r="E28" s="9"/>
      <c r="F28" s="9"/>
      <c r="G28" s="9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</row>
    <row r="29" spans="4:18" ht="15.75" thickBot="1" x14ac:dyDescent="0.3">
      <c r="D29" s="10"/>
      <c r="E29" s="10"/>
      <c r="F29" s="10"/>
      <c r="G29" s="10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</row>
    <row r="30" spans="4:18" x14ac:dyDescent="0.25">
      <c r="D30" s="45"/>
      <c r="E30" s="45"/>
      <c r="F30" s="45"/>
      <c r="G30" s="45"/>
      <c r="H30" s="144"/>
      <c r="I30" s="144" t="str">
        <f t="shared" ref="I30:R37" si="0">IF(H30="","",H30)</f>
        <v/>
      </c>
      <c r="J30" s="144" t="str">
        <f t="shared" si="0"/>
        <v/>
      </c>
      <c r="K30" s="144" t="str">
        <f t="shared" si="0"/>
        <v/>
      </c>
      <c r="L30" s="144" t="str">
        <f t="shared" si="0"/>
        <v/>
      </c>
      <c r="M30" s="144" t="str">
        <f t="shared" si="0"/>
        <v/>
      </c>
      <c r="N30" s="144" t="str">
        <f t="shared" si="0"/>
        <v/>
      </c>
      <c r="O30" s="144" t="str">
        <f t="shared" si="0"/>
        <v/>
      </c>
      <c r="P30" s="144" t="str">
        <f t="shared" si="0"/>
        <v/>
      </c>
      <c r="Q30" s="144" t="str">
        <f t="shared" si="0"/>
        <v/>
      </c>
      <c r="R30" s="144" t="str">
        <f t="shared" si="0"/>
        <v/>
      </c>
    </row>
    <row r="31" spans="4:18" x14ac:dyDescent="0.25">
      <c r="D31" s="9"/>
      <c r="E31" s="9"/>
      <c r="F31" s="9"/>
      <c r="G31" s="9"/>
      <c r="H31" s="18"/>
      <c r="I31" s="18" t="str">
        <f t="shared" si="0"/>
        <v/>
      </c>
      <c r="J31" s="18" t="str">
        <f t="shared" si="0"/>
        <v/>
      </c>
      <c r="K31" s="18" t="str">
        <f t="shared" si="0"/>
        <v/>
      </c>
      <c r="L31" s="18" t="str">
        <f t="shared" si="0"/>
        <v/>
      </c>
      <c r="M31" s="18" t="str">
        <f t="shared" si="0"/>
        <v/>
      </c>
      <c r="N31" s="18" t="str">
        <f t="shared" si="0"/>
        <v/>
      </c>
      <c r="O31" s="18" t="str">
        <f t="shared" si="0"/>
        <v/>
      </c>
      <c r="P31" s="18" t="str">
        <f t="shared" si="0"/>
        <v/>
      </c>
      <c r="Q31" s="18" t="str">
        <f t="shared" si="0"/>
        <v/>
      </c>
      <c r="R31" s="18" t="str">
        <f t="shared" si="0"/>
        <v/>
      </c>
    </row>
    <row r="32" spans="4:18" x14ac:dyDescent="0.25">
      <c r="D32" s="9"/>
      <c r="E32" s="9"/>
      <c r="F32" s="9"/>
      <c r="G32" s="9"/>
      <c r="H32" s="18"/>
      <c r="I32" s="18" t="str">
        <f t="shared" si="0"/>
        <v/>
      </c>
      <c r="J32" s="18" t="str">
        <f t="shared" si="0"/>
        <v/>
      </c>
      <c r="K32" s="18" t="str">
        <f t="shared" si="0"/>
        <v/>
      </c>
      <c r="L32" s="18" t="str">
        <f t="shared" si="0"/>
        <v/>
      </c>
      <c r="M32" s="18" t="str">
        <f t="shared" si="0"/>
        <v/>
      </c>
      <c r="N32" s="18" t="str">
        <f t="shared" si="0"/>
        <v/>
      </c>
      <c r="O32" s="18" t="str">
        <f t="shared" si="0"/>
        <v/>
      </c>
      <c r="P32" s="18" t="str">
        <f t="shared" si="0"/>
        <v/>
      </c>
      <c r="Q32" s="18" t="str">
        <f t="shared" si="0"/>
        <v/>
      </c>
      <c r="R32" s="18" t="str">
        <f t="shared" si="0"/>
        <v/>
      </c>
    </row>
    <row r="33" spans="4:18" x14ac:dyDescent="0.25">
      <c r="D33" s="9"/>
      <c r="E33" s="9"/>
      <c r="F33" s="9"/>
      <c r="G33" s="9"/>
      <c r="H33" s="18"/>
      <c r="I33" s="18" t="str">
        <f t="shared" si="0"/>
        <v/>
      </c>
      <c r="J33" s="18" t="str">
        <f t="shared" si="0"/>
        <v/>
      </c>
      <c r="K33" s="18" t="str">
        <f t="shared" si="0"/>
        <v/>
      </c>
      <c r="L33" s="18" t="str">
        <f t="shared" si="0"/>
        <v/>
      </c>
      <c r="M33" s="18" t="str">
        <f t="shared" si="0"/>
        <v/>
      </c>
      <c r="N33" s="18" t="str">
        <f t="shared" si="0"/>
        <v/>
      </c>
      <c r="O33" s="18" t="str">
        <f t="shared" si="0"/>
        <v/>
      </c>
      <c r="P33" s="18" t="str">
        <f t="shared" si="0"/>
        <v/>
      </c>
      <c r="Q33" s="18" t="str">
        <f t="shared" si="0"/>
        <v/>
      </c>
      <c r="R33" s="18" t="str">
        <f t="shared" si="0"/>
        <v/>
      </c>
    </row>
    <row r="34" spans="4:18" x14ac:dyDescent="0.25">
      <c r="D34" s="9"/>
      <c r="E34" s="9"/>
      <c r="F34" s="9"/>
      <c r="G34" s="9"/>
      <c r="H34" s="18"/>
      <c r="I34" s="18" t="str">
        <f t="shared" si="0"/>
        <v/>
      </c>
      <c r="J34" s="18" t="str">
        <f t="shared" si="0"/>
        <v/>
      </c>
      <c r="K34" s="18" t="str">
        <f t="shared" si="0"/>
        <v/>
      </c>
      <c r="L34" s="18" t="str">
        <f t="shared" si="0"/>
        <v/>
      </c>
      <c r="M34" s="18" t="str">
        <f t="shared" si="0"/>
        <v/>
      </c>
      <c r="N34" s="18" t="str">
        <f t="shared" si="0"/>
        <v/>
      </c>
      <c r="O34" s="18" t="str">
        <f t="shared" si="0"/>
        <v/>
      </c>
      <c r="P34" s="18" t="str">
        <f t="shared" si="0"/>
        <v/>
      </c>
      <c r="Q34" s="18" t="str">
        <f t="shared" si="0"/>
        <v/>
      </c>
      <c r="R34" s="18" t="str">
        <f t="shared" si="0"/>
        <v/>
      </c>
    </row>
    <row r="35" spans="4:18" x14ac:dyDescent="0.25">
      <c r="D35" s="9"/>
      <c r="E35" s="9"/>
      <c r="F35" s="9"/>
      <c r="G35" s="9"/>
      <c r="H35" s="18"/>
      <c r="I35" s="18" t="str">
        <f t="shared" si="0"/>
        <v/>
      </c>
      <c r="J35" s="18" t="str">
        <f t="shared" si="0"/>
        <v/>
      </c>
      <c r="K35" s="18" t="str">
        <f t="shared" si="0"/>
        <v/>
      </c>
      <c r="L35" s="18" t="str">
        <f t="shared" si="0"/>
        <v/>
      </c>
      <c r="M35" s="18" t="str">
        <f t="shared" si="0"/>
        <v/>
      </c>
      <c r="N35" s="18" t="str">
        <f t="shared" si="0"/>
        <v/>
      </c>
      <c r="O35" s="18" t="str">
        <f t="shared" si="0"/>
        <v/>
      </c>
      <c r="P35" s="18" t="str">
        <f t="shared" si="0"/>
        <v/>
      </c>
      <c r="Q35" s="18" t="str">
        <f t="shared" si="0"/>
        <v/>
      </c>
      <c r="R35" s="18" t="str">
        <f t="shared" si="0"/>
        <v/>
      </c>
    </row>
    <row r="36" spans="4:18" x14ac:dyDescent="0.25">
      <c r="D36" s="9"/>
      <c r="E36" s="9"/>
      <c r="F36" s="9"/>
      <c r="G36" s="9"/>
      <c r="H36" s="18"/>
      <c r="I36" s="18" t="str">
        <f t="shared" si="0"/>
        <v/>
      </c>
      <c r="J36" s="18" t="str">
        <f t="shared" si="0"/>
        <v/>
      </c>
      <c r="K36" s="18" t="str">
        <f t="shared" si="0"/>
        <v/>
      </c>
      <c r="L36" s="18" t="str">
        <f t="shared" si="0"/>
        <v/>
      </c>
      <c r="M36" s="18" t="str">
        <f t="shared" si="0"/>
        <v/>
      </c>
      <c r="N36" s="18" t="str">
        <f t="shared" si="0"/>
        <v/>
      </c>
      <c r="O36" s="18" t="str">
        <f t="shared" si="0"/>
        <v/>
      </c>
      <c r="P36" s="18" t="str">
        <f t="shared" si="0"/>
        <v/>
      </c>
      <c r="Q36" s="18" t="str">
        <f t="shared" si="0"/>
        <v/>
      </c>
      <c r="R36" s="18" t="str">
        <f t="shared" si="0"/>
        <v/>
      </c>
    </row>
    <row r="37" spans="4:18" x14ac:dyDescent="0.25">
      <c r="D37" s="9"/>
      <c r="E37" s="9"/>
      <c r="F37" s="9"/>
      <c r="G37" s="9"/>
      <c r="H37" s="18"/>
      <c r="I37" s="18" t="str">
        <f t="shared" si="0"/>
        <v/>
      </c>
      <c r="J37" s="18" t="str">
        <f t="shared" si="0"/>
        <v/>
      </c>
      <c r="K37" s="18" t="str">
        <f t="shared" si="0"/>
        <v/>
      </c>
      <c r="L37" s="18" t="str">
        <f t="shared" si="0"/>
        <v/>
      </c>
      <c r="M37" s="18" t="str">
        <f t="shared" si="0"/>
        <v/>
      </c>
      <c r="N37" s="18" t="str">
        <f t="shared" si="0"/>
        <v/>
      </c>
      <c r="O37" s="18" t="str">
        <f t="shared" si="0"/>
        <v/>
      </c>
      <c r="P37" s="18" t="str">
        <f t="shared" si="0"/>
        <v/>
      </c>
      <c r="Q37" s="18" t="str">
        <f t="shared" si="0"/>
        <v/>
      </c>
      <c r="R37" s="18" t="str">
        <f t="shared" si="0"/>
        <v/>
      </c>
    </row>
    <row r="38" spans="4:18" x14ac:dyDescent="0.25">
      <c r="D38" s="9"/>
      <c r="E38" s="9"/>
      <c r="F38" s="9"/>
      <c r="G38" s="9"/>
      <c r="H38" s="18"/>
      <c r="I38" s="18" t="str">
        <f t="shared" ref="I38:R50" si="1">IF(H38="","",H38)</f>
        <v/>
      </c>
      <c r="J38" s="18" t="str">
        <f t="shared" si="1"/>
        <v/>
      </c>
      <c r="K38" s="18" t="str">
        <f t="shared" si="1"/>
        <v/>
      </c>
      <c r="L38" s="18" t="str">
        <f t="shared" si="1"/>
        <v/>
      </c>
      <c r="M38" s="18" t="str">
        <f t="shared" si="1"/>
        <v/>
      </c>
      <c r="N38" s="18" t="str">
        <f t="shared" si="1"/>
        <v/>
      </c>
      <c r="O38" s="18" t="str">
        <f t="shared" si="1"/>
        <v/>
      </c>
      <c r="P38" s="18" t="str">
        <f t="shared" si="1"/>
        <v/>
      </c>
      <c r="Q38" s="18" t="str">
        <f t="shared" si="1"/>
        <v/>
      </c>
      <c r="R38" s="18" t="str">
        <f t="shared" si="1"/>
        <v/>
      </c>
    </row>
    <row r="39" spans="4:18" x14ac:dyDescent="0.25">
      <c r="D39" s="9"/>
      <c r="E39" s="9"/>
      <c r="F39" s="9"/>
      <c r="G39" s="9"/>
      <c r="H39" s="18"/>
      <c r="I39" s="18" t="str">
        <f t="shared" si="1"/>
        <v/>
      </c>
      <c r="J39" s="18" t="str">
        <f t="shared" si="1"/>
        <v/>
      </c>
      <c r="K39" s="18" t="str">
        <f t="shared" si="1"/>
        <v/>
      </c>
      <c r="L39" s="18" t="str">
        <f t="shared" si="1"/>
        <v/>
      </c>
      <c r="M39" s="18" t="str">
        <f t="shared" si="1"/>
        <v/>
      </c>
      <c r="N39" s="18" t="str">
        <f t="shared" si="1"/>
        <v/>
      </c>
      <c r="O39" s="18" t="str">
        <f t="shared" si="1"/>
        <v/>
      </c>
      <c r="P39" s="18" t="str">
        <f t="shared" si="1"/>
        <v/>
      </c>
      <c r="Q39" s="18" t="str">
        <f t="shared" si="1"/>
        <v/>
      </c>
      <c r="R39" s="18" t="str">
        <f t="shared" si="1"/>
        <v/>
      </c>
    </row>
    <row r="40" spans="4:18" x14ac:dyDescent="0.25">
      <c r="D40" s="9"/>
      <c r="E40" s="9"/>
      <c r="F40" s="9"/>
      <c r="G40" s="9"/>
      <c r="H40" s="18"/>
      <c r="I40" s="18" t="str">
        <f t="shared" si="1"/>
        <v/>
      </c>
      <c r="J40" s="18" t="str">
        <f t="shared" si="1"/>
        <v/>
      </c>
      <c r="K40" s="18" t="str">
        <f t="shared" si="1"/>
        <v/>
      </c>
      <c r="L40" s="18" t="str">
        <f t="shared" si="1"/>
        <v/>
      </c>
      <c r="M40" s="18" t="str">
        <f t="shared" si="1"/>
        <v/>
      </c>
      <c r="N40" s="18" t="str">
        <f t="shared" si="1"/>
        <v/>
      </c>
      <c r="O40" s="18" t="str">
        <f t="shared" si="1"/>
        <v/>
      </c>
      <c r="P40" s="18" t="str">
        <f t="shared" si="1"/>
        <v/>
      </c>
      <c r="Q40" s="18" t="str">
        <f t="shared" si="1"/>
        <v/>
      </c>
      <c r="R40" s="18" t="str">
        <f t="shared" si="1"/>
        <v/>
      </c>
    </row>
    <row r="41" spans="4:18" x14ac:dyDescent="0.25">
      <c r="D41" s="9"/>
      <c r="E41" s="9"/>
      <c r="F41" s="9"/>
      <c r="G41" s="9"/>
      <c r="H41" s="18"/>
      <c r="I41" s="18" t="str">
        <f t="shared" si="1"/>
        <v/>
      </c>
      <c r="J41" s="18" t="str">
        <f t="shared" si="1"/>
        <v/>
      </c>
      <c r="K41" s="18" t="str">
        <f t="shared" si="1"/>
        <v/>
      </c>
      <c r="L41" s="18" t="str">
        <f t="shared" si="1"/>
        <v/>
      </c>
      <c r="M41" s="18" t="str">
        <f t="shared" si="1"/>
        <v/>
      </c>
      <c r="N41" s="18" t="str">
        <f t="shared" si="1"/>
        <v/>
      </c>
      <c r="O41" s="18" t="str">
        <f t="shared" si="1"/>
        <v/>
      </c>
      <c r="P41" s="18" t="str">
        <f t="shared" si="1"/>
        <v/>
      </c>
      <c r="Q41" s="18" t="str">
        <f t="shared" si="1"/>
        <v/>
      </c>
      <c r="R41" s="18" t="str">
        <f t="shared" si="1"/>
        <v/>
      </c>
    </row>
    <row r="42" spans="4:18" x14ac:dyDescent="0.25">
      <c r="D42" s="9"/>
      <c r="E42" s="9"/>
      <c r="F42" s="9"/>
      <c r="G42" s="9"/>
      <c r="H42" s="18"/>
      <c r="I42" s="18" t="str">
        <f t="shared" si="1"/>
        <v/>
      </c>
      <c r="J42" s="18" t="str">
        <f t="shared" si="1"/>
        <v/>
      </c>
      <c r="K42" s="18" t="str">
        <f t="shared" si="1"/>
        <v/>
      </c>
      <c r="L42" s="18" t="str">
        <f t="shared" si="1"/>
        <v/>
      </c>
      <c r="M42" s="18" t="str">
        <f t="shared" si="1"/>
        <v/>
      </c>
      <c r="N42" s="18" t="str">
        <f t="shared" si="1"/>
        <v/>
      </c>
      <c r="O42" s="18" t="str">
        <f t="shared" si="1"/>
        <v/>
      </c>
      <c r="P42" s="18" t="str">
        <f t="shared" si="1"/>
        <v/>
      </c>
      <c r="Q42" s="18" t="str">
        <f t="shared" si="1"/>
        <v/>
      </c>
      <c r="R42" s="18" t="str">
        <f t="shared" si="1"/>
        <v/>
      </c>
    </row>
    <row r="43" spans="4:18" x14ac:dyDescent="0.25">
      <c r="D43" s="9"/>
      <c r="E43" s="9"/>
      <c r="F43" s="9"/>
      <c r="G43" s="9"/>
      <c r="H43" s="18"/>
      <c r="I43" s="18" t="str">
        <f t="shared" si="1"/>
        <v/>
      </c>
      <c r="J43" s="18" t="str">
        <f t="shared" si="1"/>
        <v/>
      </c>
      <c r="K43" s="18" t="str">
        <f t="shared" si="1"/>
        <v/>
      </c>
      <c r="L43" s="18" t="str">
        <f t="shared" si="1"/>
        <v/>
      </c>
      <c r="M43" s="18" t="str">
        <f t="shared" si="1"/>
        <v/>
      </c>
      <c r="N43" s="18" t="str">
        <f t="shared" si="1"/>
        <v/>
      </c>
      <c r="O43" s="18" t="str">
        <f t="shared" si="1"/>
        <v/>
      </c>
      <c r="P43" s="18" t="str">
        <f t="shared" si="1"/>
        <v/>
      </c>
      <c r="Q43" s="18" t="str">
        <f t="shared" si="1"/>
        <v/>
      </c>
      <c r="R43" s="18" t="str">
        <f t="shared" si="1"/>
        <v/>
      </c>
    </row>
    <row r="44" spans="4:18" x14ac:dyDescent="0.25">
      <c r="D44" s="9"/>
      <c r="E44" s="9"/>
      <c r="F44" s="9"/>
      <c r="G44" s="9"/>
      <c r="H44" s="18"/>
      <c r="I44" s="18" t="str">
        <f t="shared" si="1"/>
        <v/>
      </c>
      <c r="J44" s="18" t="str">
        <f t="shared" si="1"/>
        <v/>
      </c>
      <c r="K44" s="18" t="str">
        <f t="shared" si="1"/>
        <v/>
      </c>
      <c r="L44" s="18" t="str">
        <f t="shared" si="1"/>
        <v/>
      </c>
      <c r="M44" s="18" t="str">
        <f t="shared" si="1"/>
        <v/>
      </c>
      <c r="N44" s="18" t="str">
        <f t="shared" si="1"/>
        <v/>
      </c>
      <c r="O44" s="18" t="str">
        <f t="shared" si="1"/>
        <v/>
      </c>
      <c r="P44" s="18" t="str">
        <f t="shared" si="1"/>
        <v/>
      </c>
      <c r="Q44" s="18" t="str">
        <f t="shared" si="1"/>
        <v/>
      </c>
      <c r="R44" s="18" t="str">
        <f t="shared" si="1"/>
        <v/>
      </c>
    </row>
    <row r="45" spans="4:18" x14ac:dyDescent="0.25">
      <c r="D45" s="9"/>
      <c r="E45" s="9"/>
      <c r="F45" s="9"/>
      <c r="G45" s="9"/>
      <c r="H45" s="18"/>
      <c r="I45" s="18" t="str">
        <f t="shared" si="1"/>
        <v/>
      </c>
      <c r="J45" s="18" t="str">
        <f t="shared" si="1"/>
        <v/>
      </c>
      <c r="K45" s="18" t="str">
        <f t="shared" si="1"/>
        <v/>
      </c>
      <c r="L45" s="18" t="str">
        <f t="shared" si="1"/>
        <v/>
      </c>
      <c r="M45" s="18" t="str">
        <f t="shared" si="1"/>
        <v/>
      </c>
      <c r="N45" s="18" t="str">
        <f t="shared" si="1"/>
        <v/>
      </c>
      <c r="O45" s="18" t="str">
        <f t="shared" si="1"/>
        <v/>
      </c>
      <c r="P45" s="18" t="str">
        <f t="shared" si="1"/>
        <v/>
      </c>
      <c r="Q45" s="18" t="str">
        <f t="shared" si="1"/>
        <v/>
      </c>
      <c r="R45" s="18" t="str">
        <f t="shared" si="1"/>
        <v/>
      </c>
    </row>
    <row r="46" spans="4:18" x14ac:dyDescent="0.25">
      <c r="D46" s="9"/>
      <c r="E46" s="9"/>
      <c r="F46" s="9"/>
      <c r="G46" s="9"/>
      <c r="H46" s="18"/>
      <c r="I46" s="18" t="str">
        <f t="shared" si="1"/>
        <v/>
      </c>
      <c r="J46" s="18" t="str">
        <f t="shared" si="1"/>
        <v/>
      </c>
      <c r="K46" s="18" t="str">
        <f t="shared" si="1"/>
        <v/>
      </c>
      <c r="L46" s="18" t="str">
        <f t="shared" si="1"/>
        <v/>
      </c>
      <c r="M46" s="18" t="str">
        <f t="shared" si="1"/>
        <v/>
      </c>
      <c r="N46" s="18" t="str">
        <f t="shared" si="1"/>
        <v/>
      </c>
      <c r="O46" s="18" t="str">
        <f t="shared" si="1"/>
        <v/>
      </c>
      <c r="P46" s="18" t="str">
        <f t="shared" si="1"/>
        <v/>
      </c>
      <c r="Q46" s="18" t="str">
        <f t="shared" si="1"/>
        <v/>
      </c>
      <c r="R46" s="18" t="str">
        <f t="shared" si="1"/>
        <v/>
      </c>
    </row>
    <row r="47" spans="4:18" x14ac:dyDescent="0.25">
      <c r="D47" s="9"/>
      <c r="E47" s="9"/>
      <c r="F47" s="9"/>
      <c r="G47" s="9"/>
      <c r="H47" s="18"/>
      <c r="I47" s="18" t="str">
        <f t="shared" si="1"/>
        <v/>
      </c>
      <c r="J47" s="18" t="str">
        <f t="shared" si="1"/>
        <v/>
      </c>
      <c r="K47" s="18" t="str">
        <f t="shared" si="1"/>
        <v/>
      </c>
      <c r="L47" s="18" t="str">
        <f t="shared" si="1"/>
        <v/>
      </c>
      <c r="M47" s="18" t="str">
        <f t="shared" si="1"/>
        <v/>
      </c>
      <c r="N47" s="18" t="str">
        <f t="shared" si="1"/>
        <v/>
      </c>
      <c r="O47" s="18" t="str">
        <f t="shared" si="1"/>
        <v/>
      </c>
      <c r="P47" s="18" t="str">
        <f t="shared" si="1"/>
        <v/>
      </c>
      <c r="Q47" s="18" t="str">
        <f t="shared" si="1"/>
        <v/>
      </c>
      <c r="R47" s="18" t="str">
        <f t="shared" si="1"/>
        <v/>
      </c>
    </row>
    <row r="48" spans="4:18" x14ac:dyDescent="0.25">
      <c r="D48" s="9"/>
      <c r="E48" s="9"/>
      <c r="F48" s="9"/>
      <c r="G48" s="9"/>
      <c r="H48" s="18"/>
      <c r="I48" s="18" t="str">
        <f t="shared" si="1"/>
        <v/>
      </c>
      <c r="J48" s="18" t="str">
        <f t="shared" si="1"/>
        <v/>
      </c>
      <c r="K48" s="18" t="str">
        <f t="shared" si="1"/>
        <v/>
      </c>
      <c r="L48" s="18" t="str">
        <f t="shared" si="1"/>
        <v/>
      </c>
      <c r="M48" s="18" t="str">
        <f t="shared" si="1"/>
        <v/>
      </c>
      <c r="N48" s="18" t="str">
        <f t="shared" si="1"/>
        <v/>
      </c>
      <c r="O48" s="18" t="str">
        <f t="shared" si="1"/>
        <v/>
      </c>
      <c r="P48" s="18" t="str">
        <f t="shared" si="1"/>
        <v/>
      </c>
      <c r="Q48" s="18" t="str">
        <f t="shared" si="1"/>
        <v/>
      </c>
      <c r="R48" s="18" t="str">
        <f t="shared" si="1"/>
        <v/>
      </c>
    </row>
    <row r="49" spans="4:18" x14ac:dyDescent="0.25">
      <c r="D49" s="9"/>
      <c r="E49" s="9"/>
      <c r="F49" s="9"/>
      <c r="G49" s="9"/>
      <c r="H49" s="18"/>
      <c r="I49" s="18" t="str">
        <f t="shared" si="1"/>
        <v/>
      </c>
      <c r="J49" s="18" t="str">
        <f t="shared" si="1"/>
        <v/>
      </c>
      <c r="K49" s="18" t="str">
        <f t="shared" si="1"/>
        <v/>
      </c>
      <c r="L49" s="18" t="str">
        <f t="shared" si="1"/>
        <v/>
      </c>
      <c r="M49" s="18" t="str">
        <f t="shared" si="1"/>
        <v/>
      </c>
      <c r="N49" s="18" t="str">
        <f t="shared" si="1"/>
        <v/>
      </c>
      <c r="O49" s="18" t="str">
        <f t="shared" si="1"/>
        <v/>
      </c>
      <c r="P49" s="18" t="str">
        <f t="shared" si="1"/>
        <v/>
      </c>
      <c r="Q49" s="18" t="str">
        <f t="shared" si="1"/>
        <v/>
      </c>
      <c r="R49" s="18" t="str">
        <f t="shared" si="1"/>
        <v/>
      </c>
    </row>
    <row r="50" spans="4:18" ht="15.75" thickBot="1" x14ac:dyDescent="0.3">
      <c r="D50" s="10"/>
      <c r="E50" s="10"/>
      <c r="F50" s="10"/>
      <c r="G50" s="10"/>
      <c r="H50" s="46"/>
      <c r="I50" s="46" t="str">
        <f t="shared" si="1"/>
        <v/>
      </c>
      <c r="J50" s="46" t="str">
        <f t="shared" si="1"/>
        <v/>
      </c>
      <c r="K50" s="46" t="str">
        <f t="shared" si="1"/>
        <v/>
      </c>
      <c r="L50" s="46" t="str">
        <f t="shared" si="1"/>
        <v/>
      </c>
      <c r="M50" s="46" t="str">
        <f t="shared" si="1"/>
        <v/>
      </c>
      <c r="N50" s="46" t="str">
        <f t="shared" si="1"/>
        <v/>
      </c>
      <c r="O50" s="46" t="str">
        <f t="shared" si="1"/>
        <v/>
      </c>
      <c r="P50" s="46" t="str">
        <f t="shared" si="1"/>
        <v/>
      </c>
      <c r="Q50" s="46" t="str">
        <f t="shared" si="1"/>
        <v/>
      </c>
      <c r="R50" s="46" t="str">
        <f t="shared" si="1"/>
        <v/>
      </c>
    </row>
    <row r="51" spans="4:18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SAPOptionsLocation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OPEX</formula1>
    </dataValidation>
    <dataValidation type="list" allowBlank="1" showInputMessage="1" showErrorMessage="1" sqref="G5:G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rgb="FFCCCC00"/>
  </sheetPr>
  <dimension ref="B1:S51"/>
  <sheetViews>
    <sheetView zoomScaleNormal="100" workbookViewId="0">
      <selection activeCell="D4" sqref="D4"/>
    </sheetView>
  </sheetViews>
  <sheetFormatPr baseColWidth="10" defaultColWidth="11.5703125" defaultRowHeight="15" x14ac:dyDescent="0.25"/>
  <cols>
    <col min="1" max="3" width="3.5703125" style="5" customWidth="1"/>
    <col min="4" max="5" width="15.5703125" style="5" customWidth="1"/>
    <col min="6" max="6" width="8.5703125" style="5" bestFit="1" customWidth="1"/>
    <col min="7" max="9" width="15.5703125" style="5" customWidth="1"/>
    <col min="10" max="19" width="8.5703125" style="5" customWidth="1"/>
    <col min="20" max="16384" width="11.5703125" style="5"/>
  </cols>
  <sheetData>
    <row r="1" spans="2:19" s="52" customFormat="1" ht="25.35" customHeight="1" x14ac:dyDescent="0.25">
      <c r="B1" s="58" t="s">
        <v>179</v>
      </c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</row>
    <row r="3" spans="2:19" ht="15.75" thickBot="1" x14ac:dyDescent="0.3">
      <c r="D3" s="38" t="str">
        <f>JESA_UploadTable(B1,D4:S10,db)</f>
        <v>SAP &amp; Power plant capex @09:45:18</v>
      </c>
      <c r="J3" s="152" t="s">
        <v>180</v>
      </c>
      <c r="K3" s="152"/>
      <c r="L3" s="152"/>
      <c r="M3" s="152"/>
      <c r="N3" s="152"/>
      <c r="O3" s="152"/>
      <c r="P3" s="152"/>
      <c r="Q3" s="152"/>
      <c r="R3" s="152"/>
      <c r="S3" s="152"/>
    </row>
    <row r="4" spans="2:19" ht="30" customHeight="1" thickBot="1" x14ac:dyDescent="0.3">
      <c r="D4" s="54" t="s">
        <v>8</v>
      </c>
      <c r="E4" s="54" t="s">
        <v>25</v>
      </c>
      <c r="F4" s="56" t="s">
        <v>268</v>
      </c>
      <c r="G4" s="54" t="s">
        <v>12</v>
      </c>
      <c r="H4" s="56" t="s">
        <v>17</v>
      </c>
      <c r="I4" s="57" t="s">
        <v>145</v>
      </c>
      <c r="J4" s="57" t="s">
        <v>71</v>
      </c>
      <c r="K4" s="57" t="s">
        <v>72</v>
      </c>
      <c r="L4" s="57" t="s">
        <v>73</v>
      </c>
      <c r="M4" s="57" t="s">
        <v>74</v>
      </c>
      <c r="N4" s="57" t="s">
        <v>75</v>
      </c>
      <c r="O4" s="57" t="s">
        <v>362</v>
      </c>
      <c r="P4" s="57" t="s">
        <v>76</v>
      </c>
      <c r="Q4" s="57" t="s">
        <v>77</v>
      </c>
      <c r="R4" s="57" t="s">
        <v>78</v>
      </c>
      <c r="S4" s="57" t="s">
        <v>79</v>
      </c>
    </row>
    <row r="5" spans="2:19" x14ac:dyDescent="0.25">
      <c r="D5" s="9" t="s">
        <v>3</v>
      </c>
      <c r="E5" s="9" t="s">
        <v>164</v>
      </c>
      <c r="F5" s="9">
        <v>1600</v>
      </c>
      <c r="G5" s="134" t="s">
        <v>22</v>
      </c>
      <c r="H5" s="9" t="s">
        <v>375</v>
      </c>
      <c r="I5" s="39">
        <v>150000000</v>
      </c>
      <c r="J5" s="27"/>
      <c r="K5" s="27"/>
      <c r="L5" s="27">
        <v>0.3</v>
      </c>
      <c r="M5" s="27">
        <v>0.3</v>
      </c>
      <c r="N5" s="27">
        <v>0.3</v>
      </c>
      <c r="O5" s="27">
        <v>0.1</v>
      </c>
      <c r="P5" s="27"/>
      <c r="Q5" s="27"/>
      <c r="R5" s="27"/>
      <c r="S5" s="27"/>
    </row>
    <row r="6" spans="2:19" x14ac:dyDescent="0.25">
      <c r="D6" s="9" t="s">
        <v>3</v>
      </c>
      <c r="E6" s="9" t="s">
        <v>165</v>
      </c>
      <c r="F6" s="9">
        <v>1600</v>
      </c>
      <c r="G6" s="134" t="s">
        <v>22</v>
      </c>
      <c r="H6" s="9" t="s">
        <v>375</v>
      </c>
      <c r="I6" s="39">
        <v>100000000</v>
      </c>
      <c r="J6" s="27"/>
      <c r="K6" s="27"/>
      <c r="L6" s="27">
        <v>0.3</v>
      </c>
      <c r="M6" s="27">
        <v>0.3</v>
      </c>
      <c r="N6" s="27">
        <v>0.3</v>
      </c>
      <c r="O6" s="27">
        <v>0.1</v>
      </c>
      <c r="P6" s="27"/>
      <c r="Q6" s="27"/>
      <c r="R6" s="27"/>
      <c r="S6" s="27"/>
    </row>
    <row r="7" spans="2:19" x14ac:dyDescent="0.25">
      <c r="D7" s="9" t="s">
        <v>3</v>
      </c>
      <c r="E7" s="9" t="s">
        <v>165</v>
      </c>
      <c r="F7" s="9">
        <v>3200</v>
      </c>
      <c r="G7" s="134" t="s">
        <v>22</v>
      </c>
      <c r="H7" s="9" t="s">
        <v>375</v>
      </c>
      <c r="I7" s="39">
        <v>200000000</v>
      </c>
      <c r="J7" s="27"/>
      <c r="K7" s="27"/>
      <c r="L7" s="27">
        <v>0.3</v>
      </c>
      <c r="M7" s="27">
        <v>0.3</v>
      </c>
      <c r="N7" s="27">
        <v>0.3</v>
      </c>
      <c r="O7" s="27">
        <v>0.1</v>
      </c>
      <c r="P7" s="27"/>
      <c r="Q7" s="27"/>
      <c r="R7" s="27"/>
      <c r="S7" s="27"/>
    </row>
    <row r="8" spans="2:19" x14ac:dyDescent="0.25">
      <c r="D8" s="9" t="s">
        <v>26</v>
      </c>
      <c r="E8" s="9" t="s">
        <v>164</v>
      </c>
      <c r="F8" s="9">
        <v>1600</v>
      </c>
      <c r="G8" s="134" t="s">
        <v>22</v>
      </c>
      <c r="H8" s="9" t="s">
        <v>375</v>
      </c>
      <c r="I8" s="39">
        <v>150000000</v>
      </c>
      <c r="J8" s="27"/>
      <c r="K8" s="27"/>
      <c r="L8" s="27">
        <v>0.3</v>
      </c>
      <c r="M8" s="27">
        <v>0.3</v>
      </c>
      <c r="N8" s="27">
        <v>0.3</v>
      </c>
      <c r="O8" s="27">
        <v>0.1</v>
      </c>
      <c r="P8" s="27"/>
      <c r="Q8" s="27"/>
      <c r="R8" s="27"/>
      <c r="S8" s="27"/>
    </row>
    <row r="9" spans="2:19" x14ac:dyDescent="0.25">
      <c r="D9" s="9" t="s">
        <v>26</v>
      </c>
      <c r="E9" s="9" t="s">
        <v>165</v>
      </c>
      <c r="F9" s="9">
        <v>1600</v>
      </c>
      <c r="G9" s="134" t="s">
        <v>22</v>
      </c>
      <c r="H9" s="9" t="s">
        <v>375</v>
      </c>
      <c r="I9" s="39">
        <v>100000000</v>
      </c>
      <c r="J9" s="27"/>
      <c r="K9" s="27"/>
      <c r="L9" s="27">
        <v>0.3</v>
      </c>
      <c r="M9" s="27">
        <v>0.3</v>
      </c>
      <c r="N9" s="27">
        <v>0.3</v>
      </c>
      <c r="O9" s="27">
        <v>0.1</v>
      </c>
      <c r="P9" s="27"/>
      <c r="Q9" s="27"/>
      <c r="R9" s="27"/>
      <c r="S9" s="27"/>
    </row>
    <row r="10" spans="2:19" x14ac:dyDescent="0.25">
      <c r="D10" s="9" t="s">
        <v>26</v>
      </c>
      <c r="E10" s="9" t="s">
        <v>165</v>
      </c>
      <c r="F10" s="9">
        <v>3200</v>
      </c>
      <c r="G10" s="134" t="s">
        <v>22</v>
      </c>
      <c r="H10" s="9" t="s">
        <v>375</v>
      </c>
      <c r="I10" s="39">
        <v>200000000</v>
      </c>
      <c r="J10" s="27"/>
      <c r="K10" s="27"/>
      <c r="L10" s="27">
        <v>0.3</v>
      </c>
      <c r="M10" s="27">
        <v>0.3</v>
      </c>
      <c r="N10" s="27">
        <v>0.3</v>
      </c>
      <c r="O10" s="27">
        <v>0.1</v>
      </c>
      <c r="P10" s="27"/>
      <c r="Q10" s="27"/>
      <c r="R10" s="27"/>
      <c r="S10" s="27"/>
    </row>
    <row r="11" spans="2:19" x14ac:dyDescent="0.25">
      <c r="D11" s="9"/>
      <c r="E11" s="9"/>
      <c r="F11" s="9"/>
      <c r="G11" s="134"/>
      <c r="H11" s="9"/>
      <c r="I11" s="39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25">
      <c r="D12" s="9"/>
      <c r="E12" s="9"/>
      <c r="F12" s="9"/>
      <c r="G12" s="134"/>
      <c r="H12" s="9"/>
      <c r="I12" s="39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25">
      <c r="D13" s="9"/>
      <c r="E13" s="9"/>
      <c r="F13" s="9"/>
      <c r="G13" s="134"/>
      <c r="H13" s="9"/>
      <c r="I13" s="39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25">
      <c r="D14" s="9"/>
      <c r="E14" s="9"/>
      <c r="F14" s="9"/>
      <c r="G14" s="134"/>
      <c r="H14" s="9"/>
      <c r="I14" s="39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25">
      <c r="D15" s="9"/>
      <c r="E15" s="9"/>
      <c r="F15" s="9"/>
      <c r="G15" s="134"/>
      <c r="H15" s="9"/>
      <c r="I15" s="39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25">
      <c r="D16" s="9"/>
      <c r="E16" s="9"/>
      <c r="F16" s="9"/>
      <c r="G16" s="134"/>
      <c r="H16" s="9"/>
      <c r="I16" s="39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25">
      <c r="D17" s="9"/>
      <c r="E17" s="9"/>
      <c r="F17" s="9"/>
      <c r="G17" s="134"/>
      <c r="H17" s="9"/>
      <c r="I17" s="39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25">
      <c r="D18" s="9"/>
      <c r="E18" s="9"/>
      <c r="F18" s="9"/>
      <c r="G18" s="134"/>
      <c r="H18" s="9"/>
      <c r="I18" s="39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25">
      <c r="D19" s="9"/>
      <c r="E19" s="9"/>
      <c r="F19" s="9"/>
      <c r="G19" s="134"/>
      <c r="H19" s="9"/>
      <c r="I19" s="39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25">
      <c r="D20" s="9"/>
      <c r="E20" s="9"/>
      <c r="F20" s="9"/>
      <c r="G20" s="134"/>
      <c r="H20" s="9"/>
      <c r="I20" s="39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25">
      <c r="D21" s="9"/>
      <c r="E21" s="9"/>
      <c r="F21" s="9"/>
      <c r="G21" s="134"/>
      <c r="H21" s="9"/>
      <c r="I21" s="39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25">
      <c r="D22" s="9"/>
      <c r="E22" s="9"/>
      <c r="F22" s="9"/>
      <c r="G22" s="134"/>
      <c r="H22" s="9"/>
      <c r="I22" s="39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25">
      <c r="D23" s="9"/>
      <c r="E23" s="9"/>
      <c r="F23" s="9"/>
      <c r="G23" s="134"/>
      <c r="H23" s="9"/>
      <c r="I23" s="39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25">
      <c r="D24" s="9"/>
      <c r="E24" s="9"/>
      <c r="F24" s="9"/>
      <c r="G24" s="134"/>
      <c r="H24" s="9"/>
      <c r="I24" s="39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25">
      <c r="D25" s="9"/>
      <c r="E25" s="9"/>
      <c r="F25" s="9"/>
      <c r="G25" s="134"/>
      <c r="H25" s="9"/>
      <c r="I25" s="39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25">
      <c r="D26" s="9"/>
      <c r="E26" s="9"/>
      <c r="F26" s="9"/>
      <c r="G26" s="134"/>
      <c r="H26" s="9"/>
      <c r="I26" s="39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25">
      <c r="D27" s="9"/>
      <c r="E27" s="9"/>
      <c r="F27" s="9"/>
      <c r="G27" s="134"/>
      <c r="H27" s="9"/>
      <c r="I27" s="39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25">
      <c r="D28" s="9"/>
      <c r="E28" s="9"/>
      <c r="F28" s="9"/>
      <c r="G28" s="134"/>
      <c r="H28" s="9"/>
      <c r="I28" s="39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25">
      <c r="D29" s="9"/>
      <c r="E29" s="9"/>
      <c r="F29" s="9"/>
      <c r="G29" s="134"/>
      <c r="H29" s="9"/>
      <c r="I29" s="39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25">
      <c r="D30" s="9"/>
      <c r="E30" s="9"/>
      <c r="F30" s="9"/>
      <c r="G30" s="134"/>
      <c r="H30" s="9"/>
      <c r="I30" s="39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25">
      <c r="D31" s="9"/>
      <c r="E31" s="9"/>
      <c r="F31" s="9"/>
      <c r="G31" s="134"/>
      <c r="H31" s="9"/>
      <c r="I31" s="39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25">
      <c r="D32" s="9"/>
      <c r="E32" s="9"/>
      <c r="F32" s="9"/>
      <c r="G32" s="134"/>
      <c r="H32" s="9"/>
      <c r="I32" s="39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25">
      <c r="D33" s="9"/>
      <c r="E33" s="9"/>
      <c r="F33" s="9"/>
      <c r="G33" s="134"/>
      <c r="H33" s="9"/>
      <c r="I33" s="39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25">
      <c r="D34" s="9"/>
      <c r="E34" s="9"/>
      <c r="F34" s="9"/>
      <c r="G34" s="134"/>
      <c r="H34" s="9"/>
      <c r="I34" s="39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25">
      <c r="D35" s="9"/>
      <c r="E35" s="9"/>
      <c r="F35" s="9"/>
      <c r="G35" s="134"/>
      <c r="H35" s="9"/>
      <c r="I35" s="39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25">
      <c r="D36" s="9"/>
      <c r="E36" s="9"/>
      <c r="F36" s="9"/>
      <c r="G36" s="134"/>
      <c r="H36" s="9"/>
      <c r="I36" s="39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25">
      <c r="D37" s="9"/>
      <c r="E37" s="9"/>
      <c r="F37" s="9"/>
      <c r="G37" s="134"/>
      <c r="H37" s="9"/>
      <c r="I37" s="39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25">
      <c r="D38" s="9"/>
      <c r="E38" s="9"/>
      <c r="F38" s="9"/>
      <c r="G38" s="134"/>
      <c r="H38" s="9"/>
      <c r="I38" s="39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25">
      <c r="D39" s="9"/>
      <c r="E39" s="9"/>
      <c r="F39" s="9"/>
      <c r="G39" s="134"/>
      <c r="H39" s="9"/>
      <c r="I39" s="39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25">
      <c r="D40" s="9"/>
      <c r="E40" s="9"/>
      <c r="F40" s="9"/>
      <c r="G40" s="134"/>
      <c r="H40" s="9"/>
      <c r="I40" s="39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25">
      <c r="D41" s="9"/>
      <c r="E41" s="9"/>
      <c r="F41" s="9"/>
      <c r="G41" s="134"/>
      <c r="H41" s="9"/>
      <c r="I41" s="39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25">
      <c r="D42" s="9"/>
      <c r="E42" s="9"/>
      <c r="F42" s="9"/>
      <c r="G42" s="134"/>
      <c r="H42" s="9"/>
      <c r="I42" s="39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25">
      <c r="D43" s="9"/>
      <c r="E43" s="9"/>
      <c r="F43" s="9"/>
      <c r="G43" s="134"/>
      <c r="H43" s="9"/>
      <c r="I43" s="39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25">
      <c r="D44" s="9"/>
      <c r="E44" s="9"/>
      <c r="F44" s="9"/>
      <c r="G44" s="134"/>
      <c r="H44" s="9"/>
      <c r="I44" s="39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25">
      <c r="D45" s="9"/>
      <c r="E45" s="9"/>
      <c r="F45" s="9"/>
      <c r="G45" s="134"/>
      <c r="H45" s="9"/>
      <c r="I45" s="39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25">
      <c r="D46" s="9"/>
      <c r="E46" s="9"/>
      <c r="F46" s="9"/>
      <c r="G46" s="134"/>
      <c r="H46" s="9"/>
      <c r="I46" s="39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25">
      <c r="D47" s="9"/>
      <c r="E47" s="9"/>
      <c r="F47" s="9"/>
      <c r="G47" s="134"/>
      <c r="H47" s="9"/>
      <c r="I47" s="39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25">
      <c r="D48" s="9"/>
      <c r="E48" s="9"/>
      <c r="F48" s="9"/>
      <c r="G48" s="134"/>
      <c r="H48" s="9"/>
      <c r="I48" s="39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25">
      <c r="D49" s="9"/>
      <c r="E49" s="9"/>
      <c r="F49" s="9"/>
      <c r="G49" s="134"/>
      <c r="H49" s="9"/>
      <c r="I49" s="39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.75" thickBot="1" x14ac:dyDescent="0.3">
      <c r="D50" s="10"/>
      <c r="E50" s="10"/>
      <c r="F50" s="10"/>
      <c r="G50" s="135"/>
      <c r="H50" s="10"/>
      <c r="I50" s="39"/>
      <c r="J50" s="27"/>
      <c r="K50" s="27"/>
      <c r="L50" s="27"/>
      <c r="M50" s="27"/>
      <c r="N50" s="27"/>
      <c r="O50" s="27"/>
      <c r="P50" s="27"/>
      <c r="Q50" s="27"/>
      <c r="R50" s="27"/>
      <c r="S50" s="27"/>
    </row>
    <row r="51" spans="4:19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mergeCells count="1">
    <mergeCell ref="J3:S3"/>
  </mergeCells>
  <dataValidations count="5">
    <dataValidation type="list" allowBlank="1" showInputMessage="1" showErrorMessage="1" sqref="F5:F50">
      <formula1>SAPOptionsCapacity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D5:D50">
      <formula1>SAPOptionsLocation</formula1>
    </dataValidation>
    <dataValidation type="list" allowBlank="1" showInputMessage="1" showErrorMessage="1" sqref="G5:G50">
      <formula1>SAPCapex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548235"/>
  </sheetPr>
  <dimension ref="B1:O41"/>
  <sheetViews>
    <sheetView zoomScaleNormal="100" workbookViewId="0">
      <selection activeCell="D3" sqref="D3:O3"/>
    </sheetView>
  </sheetViews>
  <sheetFormatPr baseColWidth="10" defaultColWidth="11.5703125" defaultRowHeight="15" x14ac:dyDescent="0.25"/>
  <cols>
    <col min="1" max="3" width="3.5703125" style="31" customWidth="1"/>
    <col min="4" max="4" width="20.5703125" style="31" customWidth="1"/>
    <col min="5" max="5" width="1.5703125" style="31" customWidth="1"/>
    <col min="6" max="6" width="30.5703125" style="31" customWidth="1"/>
    <col min="7" max="7" width="1.5703125" style="31" customWidth="1"/>
    <col min="8" max="9" width="20.5703125" style="31" customWidth="1"/>
    <col min="10" max="10" width="1.5703125" style="31" customWidth="1"/>
    <col min="11" max="11" width="20.5703125" style="31" customWidth="1"/>
    <col min="12" max="12" width="1.5703125" style="31" customWidth="1"/>
    <col min="13" max="13" width="20.5703125" style="31" customWidth="1"/>
    <col min="14" max="14" width="1.5703125" style="31" customWidth="1"/>
    <col min="15" max="15" width="20.5703125" style="31" customWidth="1"/>
    <col min="16" max="16384" width="11.5703125" style="31"/>
  </cols>
  <sheetData>
    <row r="1" spans="2:15" s="66" customFormat="1" ht="25.35" customHeight="1" x14ac:dyDescent="0.25">
      <c r="B1" s="65" t="s">
        <v>189</v>
      </c>
    </row>
    <row r="3" spans="2:15" ht="15.75" thickBot="1" x14ac:dyDescent="0.3">
      <c r="D3" s="1" t="str">
        <f>JESA_UploadTable(D4,D4:D40,db)</f>
        <v>PAP/Name @09:45:16</v>
      </c>
      <c r="F3" s="1" t="str">
        <f>JESA_UploadTable(F4,F4:F40,db)</f>
        <v>PAP/Process @09:45:16</v>
      </c>
      <c r="H3" s="1" t="str">
        <f>JESA_UploadTable("pap.product",H4:I40,db)</f>
        <v>pap.product @09:45:16</v>
      </c>
      <c r="K3" s="1" t="str">
        <f>JESA_UploadTable(K4,K4:K40,db)</f>
        <v>PAP/CAPEX @09:45:16</v>
      </c>
      <c r="M3" s="1" t="str">
        <f>JESA_UploadTable(M4,M4:M40,db)</f>
        <v>PAP/Size[ktP2O5] @09:45:17</v>
      </c>
      <c r="O3" s="1" t="str">
        <f>JESA_UploadTable(O4,O4:O40,db)</f>
        <v>PAP/Input @09:45:16</v>
      </c>
    </row>
    <row r="4" spans="2:15" ht="30" customHeight="1" thickBot="1" x14ac:dyDescent="0.3">
      <c r="D4" s="67" t="s">
        <v>190</v>
      </c>
      <c r="F4" s="67" t="s">
        <v>191</v>
      </c>
      <c r="H4" s="67" t="s">
        <v>24</v>
      </c>
      <c r="I4" s="67" t="s">
        <v>160</v>
      </c>
      <c r="K4" s="67" t="s">
        <v>192</v>
      </c>
      <c r="M4" s="67" t="s">
        <v>193</v>
      </c>
      <c r="O4" s="67" t="s">
        <v>194</v>
      </c>
    </row>
    <row r="5" spans="2:15" x14ac:dyDescent="0.25">
      <c r="D5" s="29" t="s">
        <v>195</v>
      </c>
      <c r="F5" s="33" t="s">
        <v>196</v>
      </c>
      <c r="H5" s="29" t="s">
        <v>458</v>
      </c>
      <c r="I5" s="29" t="s">
        <v>24</v>
      </c>
      <c r="K5" s="30" t="s">
        <v>22</v>
      </c>
      <c r="M5" s="29">
        <v>250</v>
      </c>
      <c r="O5" s="29" t="s">
        <v>290</v>
      </c>
    </row>
    <row r="6" spans="2:15" x14ac:dyDescent="0.25">
      <c r="D6" s="33" t="s">
        <v>197</v>
      </c>
      <c r="F6" s="33" t="s">
        <v>198</v>
      </c>
      <c r="H6" s="33" t="s">
        <v>202</v>
      </c>
      <c r="I6" s="33" t="s">
        <v>99</v>
      </c>
      <c r="K6" s="68" t="s">
        <v>199</v>
      </c>
      <c r="M6" s="33">
        <v>500</v>
      </c>
      <c r="O6" s="33"/>
    </row>
    <row r="7" spans="2:15" x14ac:dyDescent="0.25">
      <c r="D7" s="33" t="s">
        <v>200</v>
      </c>
      <c r="F7" s="33" t="s">
        <v>201</v>
      </c>
      <c r="H7" s="33" t="s">
        <v>205</v>
      </c>
      <c r="I7" s="33" t="s">
        <v>156</v>
      </c>
      <c r="K7" s="68" t="s">
        <v>203</v>
      </c>
      <c r="M7" s="33">
        <v>750</v>
      </c>
      <c r="O7" s="33"/>
    </row>
    <row r="8" spans="2:15" x14ac:dyDescent="0.25">
      <c r="D8" s="33" t="s">
        <v>204</v>
      </c>
      <c r="F8" s="33"/>
      <c r="H8" s="33" t="s">
        <v>208</v>
      </c>
      <c r="I8" s="33" t="s">
        <v>99</v>
      </c>
      <c r="K8" s="68" t="s">
        <v>206</v>
      </c>
      <c r="M8" s="33">
        <v>1500</v>
      </c>
      <c r="O8" s="33"/>
    </row>
    <row r="9" spans="2:15" x14ac:dyDescent="0.25">
      <c r="D9" s="33" t="s">
        <v>207</v>
      </c>
      <c r="F9" s="33"/>
      <c r="H9" s="33" t="s">
        <v>211</v>
      </c>
      <c r="I9" s="33" t="s">
        <v>156</v>
      </c>
      <c r="K9" s="68" t="s">
        <v>209</v>
      </c>
      <c r="M9" s="33"/>
      <c r="O9" s="33"/>
    </row>
    <row r="10" spans="2:15" x14ac:dyDescent="0.25">
      <c r="D10" s="33" t="s">
        <v>210</v>
      </c>
      <c r="F10" s="33"/>
      <c r="H10" s="33"/>
      <c r="I10" s="33"/>
      <c r="K10" s="68" t="s">
        <v>212</v>
      </c>
      <c r="M10" s="33"/>
      <c r="O10" s="33"/>
    </row>
    <row r="11" spans="2:15" x14ac:dyDescent="0.25">
      <c r="D11" s="33" t="s">
        <v>213</v>
      </c>
      <c r="F11" s="33"/>
      <c r="H11" s="33"/>
      <c r="I11" s="33"/>
      <c r="K11" s="68" t="s">
        <v>214</v>
      </c>
      <c r="M11" s="33"/>
      <c r="O11" s="33"/>
    </row>
    <row r="12" spans="2:15" x14ac:dyDescent="0.25">
      <c r="D12" s="33" t="s">
        <v>215</v>
      </c>
      <c r="F12" s="33"/>
      <c r="H12" s="33"/>
      <c r="I12" s="33"/>
      <c r="K12" s="68" t="s">
        <v>216</v>
      </c>
      <c r="M12" s="33"/>
      <c r="O12" s="33"/>
    </row>
    <row r="13" spans="2:15" x14ac:dyDescent="0.25">
      <c r="D13" s="33" t="s">
        <v>217</v>
      </c>
      <c r="F13" s="33"/>
      <c r="H13" s="33"/>
      <c r="I13" s="33"/>
      <c r="K13" s="68" t="s">
        <v>218</v>
      </c>
      <c r="M13" s="33"/>
      <c r="O13" s="33"/>
    </row>
    <row r="14" spans="2:15" x14ac:dyDescent="0.25">
      <c r="D14" s="33" t="s">
        <v>219</v>
      </c>
      <c r="F14" s="33"/>
      <c r="H14" s="33"/>
      <c r="I14" s="33"/>
      <c r="K14" s="68" t="s">
        <v>220</v>
      </c>
      <c r="M14" s="33"/>
      <c r="O14" s="33"/>
    </row>
    <row r="15" spans="2:15" x14ac:dyDescent="0.25">
      <c r="D15" s="33" t="s">
        <v>221</v>
      </c>
      <c r="F15" s="33"/>
      <c r="H15" s="33"/>
      <c r="I15" s="33"/>
      <c r="K15" s="33"/>
      <c r="M15" s="33"/>
      <c r="O15" s="33"/>
    </row>
    <row r="16" spans="2:15" x14ac:dyDescent="0.25">
      <c r="D16" s="33" t="s">
        <v>222</v>
      </c>
      <c r="F16" s="33"/>
      <c r="H16" s="33"/>
      <c r="I16" s="33"/>
      <c r="K16" s="33"/>
      <c r="M16" s="33"/>
      <c r="O16" s="33"/>
    </row>
    <row r="17" spans="4:15" x14ac:dyDescent="0.25">
      <c r="D17" s="33" t="s">
        <v>223</v>
      </c>
      <c r="F17" s="33"/>
      <c r="H17" s="33"/>
      <c r="I17" s="33"/>
      <c r="K17" s="33"/>
      <c r="M17" s="33"/>
      <c r="O17" s="33"/>
    </row>
    <row r="18" spans="4:15" x14ac:dyDescent="0.25">
      <c r="D18" s="33" t="s">
        <v>224</v>
      </c>
      <c r="F18" s="33"/>
      <c r="H18" s="33"/>
      <c r="I18" s="33"/>
      <c r="K18" s="33"/>
      <c r="M18" s="33"/>
      <c r="O18" s="33"/>
    </row>
    <row r="19" spans="4:15" x14ac:dyDescent="0.25">
      <c r="D19" s="33" t="s">
        <v>225</v>
      </c>
      <c r="F19" s="33"/>
      <c r="H19" s="33"/>
      <c r="I19" s="33"/>
      <c r="K19" s="33"/>
      <c r="M19" s="33"/>
      <c r="O19" s="33"/>
    </row>
    <row r="20" spans="4:15" x14ac:dyDescent="0.25">
      <c r="D20" s="33" t="s">
        <v>226</v>
      </c>
      <c r="F20" s="33"/>
      <c r="H20" s="33"/>
      <c r="I20" s="33"/>
      <c r="K20" s="33"/>
      <c r="M20" s="33"/>
      <c r="O20" s="33"/>
    </row>
    <row r="21" spans="4:15" x14ac:dyDescent="0.25">
      <c r="D21" s="33" t="s">
        <v>227</v>
      </c>
      <c r="F21" s="33"/>
      <c r="H21" s="33"/>
      <c r="I21" s="33"/>
      <c r="K21" s="33"/>
      <c r="M21" s="33"/>
      <c r="O21" s="33"/>
    </row>
    <row r="22" spans="4:15" x14ac:dyDescent="0.25">
      <c r="D22" s="33"/>
      <c r="F22" s="33"/>
      <c r="H22" s="33"/>
      <c r="I22" s="33"/>
      <c r="K22" s="33"/>
      <c r="M22" s="33"/>
      <c r="O22" s="33"/>
    </row>
    <row r="23" spans="4:15" x14ac:dyDescent="0.25">
      <c r="D23" s="33"/>
      <c r="F23" s="33"/>
      <c r="H23" s="33"/>
      <c r="I23" s="33"/>
      <c r="K23" s="33"/>
      <c r="M23" s="33"/>
      <c r="O23" s="33"/>
    </row>
    <row r="24" spans="4:15" x14ac:dyDescent="0.25">
      <c r="D24" s="33"/>
      <c r="F24" s="33"/>
      <c r="H24" s="33"/>
      <c r="I24" s="33"/>
      <c r="K24" s="33"/>
      <c r="M24" s="33"/>
      <c r="O24" s="33"/>
    </row>
    <row r="25" spans="4:15" x14ac:dyDescent="0.25">
      <c r="D25" s="33"/>
      <c r="F25" s="33"/>
      <c r="H25" s="33"/>
      <c r="I25" s="33"/>
      <c r="K25" s="33"/>
      <c r="M25" s="33"/>
      <c r="O25" s="33"/>
    </row>
    <row r="26" spans="4:15" x14ac:dyDescent="0.25">
      <c r="D26" s="33"/>
      <c r="F26" s="33"/>
      <c r="H26" s="33"/>
      <c r="I26" s="33"/>
      <c r="K26" s="33"/>
      <c r="M26" s="33"/>
      <c r="O26" s="33"/>
    </row>
    <row r="27" spans="4:15" x14ac:dyDescent="0.25">
      <c r="D27" s="33"/>
      <c r="F27" s="33"/>
      <c r="H27" s="33"/>
      <c r="I27" s="33"/>
      <c r="K27" s="33"/>
      <c r="M27" s="33"/>
      <c r="O27" s="33"/>
    </row>
    <row r="28" spans="4:15" x14ac:dyDescent="0.25">
      <c r="D28" s="33"/>
      <c r="F28" s="33"/>
      <c r="H28" s="33"/>
      <c r="I28" s="33"/>
      <c r="K28" s="33"/>
      <c r="M28" s="33"/>
      <c r="O28" s="33"/>
    </row>
    <row r="29" spans="4:15" x14ac:dyDescent="0.25">
      <c r="D29" s="33"/>
      <c r="F29" s="33"/>
      <c r="H29" s="33"/>
      <c r="I29" s="33"/>
      <c r="K29" s="33"/>
      <c r="M29" s="33"/>
      <c r="O29" s="33"/>
    </row>
    <row r="30" spans="4:15" x14ac:dyDescent="0.25">
      <c r="D30" s="33"/>
      <c r="F30" s="33"/>
      <c r="H30" s="33"/>
      <c r="I30" s="33"/>
      <c r="K30" s="33"/>
      <c r="M30" s="33"/>
      <c r="O30" s="33"/>
    </row>
    <row r="31" spans="4:15" x14ac:dyDescent="0.25">
      <c r="D31" s="33"/>
      <c r="F31" s="33"/>
      <c r="H31" s="33"/>
      <c r="I31" s="33"/>
      <c r="K31" s="33"/>
      <c r="M31" s="33"/>
      <c r="O31" s="33"/>
    </row>
    <row r="32" spans="4:15" x14ac:dyDescent="0.25">
      <c r="D32" s="33"/>
      <c r="F32" s="33"/>
      <c r="H32" s="33"/>
      <c r="I32" s="33"/>
      <c r="K32" s="33"/>
      <c r="M32" s="33"/>
      <c r="O32" s="33"/>
    </row>
    <row r="33" spans="4:15" x14ac:dyDescent="0.25">
      <c r="D33" s="33"/>
      <c r="F33" s="33"/>
      <c r="H33" s="33"/>
      <c r="I33" s="33"/>
      <c r="K33" s="33"/>
      <c r="M33" s="33"/>
      <c r="O33" s="33"/>
    </row>
    <row r="34" spans="4:15" x14ac:dyDescent="0.25">
      <c r="D34" s="33"/>
      <c r="F34" s="33"/>
      <c r="H34" s="33"/>
      <c r="I34" s="33"/>
      <c r="K34" s="33"/>
      <c r="M34" s="33"/>
      <c r="O34" s="33"/>
    </row>
    <row r="35" spans="4:15" x14ac:dyDescent="0.25">
      <c r="D35" s="33"/>
      <c r="F35" s="33"/>
      <c r="H35" s="33"/>
      <c r="I35" s="33"/>
      <c r="K35" s="33"/>
      <c r="M35" s="33"/>
      <c r="O35" s="33"/>
    </row>
    <row r="36" spans="4:15" x14ac:dyDescent="0.25">
      <c r="D36" s="33"/>
      <c r="F36" s="33"/>
      <c r="H36" s="33"/>
      <c r="I36" s="33"/>
      <c r="K36" s="33"/>
      <c r="M36" s="33"/>
      <c r="O36" s="33"/>
    </row>
    <row r="37" spans="4:15" x14ac:dyDescent="0.25">
      <c r="D37" s="33"/>
      <c r="F37" s="33"/>
      <c r="H37" s="33"/>
      <c r="I37" s="33"/>
      <c r="K37" s="33"/>
      <c r="M37" s="33"/>
      <c r="O37" s="33"/>
    </row>
    <row r="38" spans="4:15" x14ac:dyDescent="0.25">
      <c r="D38" s="33"/>
      <c r="F38" s="33"/>
      <c r="H38" s="33"/>
      <c r="I38" s="33"/>
      <c r="K38" s="33"/>
      <c r="M38" s="33"/>
      <c r="O38" s="33"/>
    </row>
    <row r="39" spans="4:15" x14ac:dyDescent="0.25">
      <c r="D39" s="33"/>
      <c r="F39" s="33"/>
      <c r="H39" s="33"/>
      <c r="I39" s="33"/>
      <c r="K39" s="33"/>
      <c r="M39" s="33"/>
      <c r="O39" s="33"/>
    </row>
    <row r="40" spans="4:15" ht="15.75" thickBot="1" x14ac:dyDescent="0.3">
      <c r="D40" s="34"/>
      <c r="F40" s="34"/>
      <c r="H40" s="34"/>
      <c r="I40" s="34"/>
      <c r="K40" s="34"/>
      <c r="M40" s="34"/>
      <c r="O40" s="34"/>
    </row>
    <row r="41" spans="4:15" x14ac:dyDescent="0.25">
      <c r="D41" s="31" t="s">
        <v>92</v>
      </c>
      <c r="F41" s="31" t="s">
        <v>92</v>
      </c>
      <c r="H41" s="31" t="s">
        <v>92</v>
      </c>
      <c r="I41" s="31" t="s">
        <v>92</v>
      </c>
      <c r="K41" s="31" t="s">
        <v>92</v>
      </c>
      <c r="M41" s="31" t="s">
        <v>92</v>
      </c>
      <c r="O41" s="31" t="s">
        <v>92</v>
      </c>
    </row>
  </sheetData>
  <dataConsolidate link="1"/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548235"/>
  </sheetPr>
  <dimension ref="B1:L46"/>
  <sheetViews>
    <sheetView zoomScaleNormal="100" workbookViewId="0">
      <selection activeCell="L20" sqref="L20"/>
    </sheetView>
  </sheetViews>
  <sheetFormatPr baseColWidth="10" defaultColWidth="11.5703125" defaultRowHeight="15" x14ac:dyDescent="0.25"/>
  <cols>
    <col min="1" max="3" width="3.5703125" style="5" customWidth="1"/>
    <col min="4" max="5" width="15.5703125" style="5" customWidth="1"/>
    <col min="6" max="6" width="30.5703125" style="5" customWidth="1"/>
    <col min="7" max="7" width="15.5703125" style="5" customWidth="1"/>
    <col min="8" max="8" width="15.85546875" style="5" customWidth="1"/>
    <col min="9" max="11" width="15.5703125" style="5" customWidth="1"/>
    <col min="12" max="12" width="67.5703125" style="5" bestFit="1" customWidth="1"/>
    <col min="13" max="16384" width="11.5703125" style="5"/>
  </cols>
  <sheetData>
    <row r="1" spans="2:12" s="70" customFormat="1" ht="25.35" customHeight="1" x14ac:dyDescent="0.25">
      <c r="B1" s="69" t="s">
        <v>228</v>
      </c>
    </row>
    <row r="3" spans="2:12" ht="15.75" thickBot="1" x14ac:dyDescent="0.3">
      <c r="D3" s="38" t="str">
        <f>JESA_UploadTable(B1,D4:L48,db)</f>
        <v>PAP options @09:45:19</v>
      </c>
    </row>
    <row r="4" spans="2:12" ht="30" customHeight="1" thickBot="1" x14ac:dyDescent="0.3">
      <c r="D4" s="71" t="s">
        <v>8</v>
      </c>
      <c r="E4" s="71" t="s">
        <v>30</v>
      </c>
      <c r="F4" s="72" t="s">
        <v>25</v>
      </c>
      <c r="G4" s="73" t="s">
        <v>268</v>
      </c>
      <c r="H4" s="73" t="s">
        <v>17</v>
      </c>
      <c r="I4" s="73" t="s">
        <v>70</v>
      </c>
      <c r="J4" s="73" t="s">
        <v>144</v>
      </c>
      <c r="K4" s="73" t="s">
        <v>148</v>
      </c>
      <c r="L4" s="71" t="s">
        <v>149</v>
      </c>
    </row>
    <row r="5" spans="2:12" x14ac:dyDescent="0.25">
      <c r="D5" s="8" t="s">
        <v>3</v>
      </c>
      <c r="E5" s="8" t="s">
        <v>195</v>
      </c>
      <c r="F5" s="8" t="s">
        <v>196</v>
      </c>
      <c r="G5" s="14">
        <v>500</v>
      </c>
      <c r="H5" s="13" t="s">
        <v>143</v>
      </c>
      <c r="I5" s="13" t="s">
        <v>36</v>
      </c>
      <c r="J5" s="14">
        <v>2024</v>
      </c>
      <c r="K5" s="14">
        <v>2100</v>
      </c>
      <c r="L5" s="8" t="str">
        <f>IF(D5="","","/PAP/"&amp;CONCATENATE(D5,"/",E5,"/",F5,"/",G5,"/",I5,"/",J5,"/",K5))</f>
        <v>/PAP/Mzinda/PAP1/DH/500/Existing/2024/2100</v>
      </c>
    </row>
    <row r="6" spans="2:12" x14ac:dyDescent="0.25">
      <c r="D6" s="9" t="s">
        <v>3</v>
      </c>
      <c r="E6" s="9" t="s">
        <v>197</v>
      </c>
      <c r="F6" s="9" t="s">
        <v>196</v>
      </c>
      <c r="G6" s="15">
        <v>500</v>
      </c>
      <c r="H6" s="11" t="s">
        <v>143</v>
      </c>
      <c r="I6" s="11" t="s">
        <v>36</v>
      </c>
      <c r="J6" s="15">
        <v>2024</v>
      </c>
      <c r="K6" s="15">
        <v>2100</v>
      </c>
      <c r="L6" s="9" t="str">
        <f t="shared" ref="L6:L46" si="0">IF(D6="","","/PAP/"&amp;CONCATENATE(D6,"/",E6,"/",F6,"/",G6,"/",I6,"/",J6,"/",K6))</f>
        <v>/PAP/Mzinda/PAP2/DH/500/Existing/2024/2100</v>
      </c>
    </row>
    <row r="7" spans="2:12" x14ac:dyDescent="0.25">
      <c r="D7" s="9" t="s">
        <v>3</v>
      </c>
      <c r="E7" s="9" t="s">
        <v>200</v>
      </c>
      <c r="F7" s="9" t="s">
        <v>196</v>
      </c>
      <c r="G7" s="15">
        <v>500</v>
      </c>
      <c r="H7" s="11" t="s">
        <v>143</v>
      </c>
      <c r="I7" s="11" t="s">
        <v>36</v>
      </c>
      <c r="J7" s="15">
        <v>2024</v>
      </c>
      <c r="K7" s="15">
        <v>2100</v>
      </c>
      <c r="L7" s="9" t="str">
        <f t="shared" si="0"/>
        <v>/PAP/Mzinda/PAP3/DH/500/Existing/2024/2100</v>
      </c>
    </row>
    <row r="8" spans="2:12" x14ac:dyDescent="0.25">
      <c r="D8" s="9" t="s">
        <v>3</v>
      </c>
      <c r="E8" s="9">
        <v>8</v>
      </c>
      <c r="F8" s="9" t="s">
        <v>196</v>
      </c>
      <c r="G8" s="15">
        <v>500</v>
      </c>
      <c r="H8" s="11" t="s">
        <v>143</v>
      </c>
      <c r="I8" s="11" t="s">
        <v>146</v>
      </c>
      <c r="J8" s="15">
        <v>2024</v>
      </c>
      <c r="K8" s="15">
        <v>2100</v>
      </c>
      <c r="L8" s="9" t="str">
        <f t="shared" si="0"/>
        <v>/PAP/Mzinda/8/DH/500/New/2024/2100</v>
      </c>
    </row>
    <row r="9" spans="2:12" x14ac:dyDescent="0.25">
      <c r="D9" s="9" t="s">
        <v>3</v>
      </c>
      <c r="E9" s="9">
        <v>6</v>
      </c>
      <c r="F9" s="9" t="s">
        <v>196</v>
      </c>
      <c r="G9" s="15">
        <v>750</v>
      </c>
      <c r="H9" s="11" t="s">
        <v>143</v>
      </c>
      <c r="I9" s="11" t="s">
        <v>146</v>
      </c>
      <c r="J9" s="15">
        <v>2024</v>
      </c>
      <c r="K9" s="15">
        <v>2100</v>
      </c>
      <c r="L9" s="9" t="str">
        <f t="shared" si="0"/>
        <v>/PAP/Mzinda/6/DH/750/New/2024/2100</v>
      </c>
    </row>
    <row r="10" spans="2:12" x14ac:dyDescent="0.25">
      <c r="D10" s="9" t="s">
        <v>26</v>
      </c>
      <c r="E10" s="9">
        <v>8</v>
      </c>
      <c r="F10" s="9" t="s">
        <v>196</v>
      </c>
      <c r="G10" s="15">
        <v>500</v>
      </c>
      <c r="H10" s="11" t="s">
        <v>143</v>
      </c>
      <c r="I10" s="11" t="s">
        <v>146</v>
      </c>
      <c r="J10" s="15">
        <v>2024</v>
      </c>
      <c r="K10" s="15">
        <v>2100</v>
      </c>
      <c r="L10" s="9" t="str">
        <f t="shared" si="0"/>
        <v>/PAP/Safi/8/DH/500/New/2024/2100</v>
      </c>
    </row>
    <row r="11" spans="2:12" x14ac:dyDescent="0.25">
      <c r="D11" s="9" t="s">
        <v>26</v>
      </c>
      <c r="E11" s="9">
        <v>6</v>
      </c>
      <c r="F11" s="9" t="s">
        <v>196</v>
      </c>
      <c r="G11" s="15">
        <v>750</v>
      </c>
      <c r="H11" s="11" t="s">
        <v>143</v>
      </c>
      <c r="I11" s="11" t="s">
        <v>146</v>
      </c>
      <c r="J11" s="15">
        <v>2024</v>
      </c>
      <c r="K11" s="15">
        <v>2100</v>
      </c>
      <c r="L11" s="9" t="str">
        <f t="shared" si="0"/>
        <v>/PAP/Safi/6/DH/750/New/2024/2100</v>
      </c>
    </row>
    <row r="12" spans="2:12" x14ac:dyDescent="0.25">
      <c r="D12" s="9" t="s">
        <v>26</v>
      </c>
      <c r="E12" s="9" t="s">
        <v>227</v>
      </c>
      <c r="F12" s="9" t="s">
        <v>201</v>
      </c>
      <c r="G12" s="15">
        <v>1500</v>
      </c>
      <c r="H12" s="11" t="s">
        <v>143</v>
      </c>
      <c r="I12" s="11" t="s">
        <v>36</v>
      </c>
      <c r="J12" s="15">
        <v>2019</v>
      </c>
      <c r="K12" s="15">
        <v>2100</v>
      </c>
      <c r="L12" s="9" t="str">
        <f t="shared" si="0"/>
        <v>/PAP/Safi/PAP SAFI EXISTING /PROCESS SAFI EXISTANT/1500/Existing/2019/2100</v>
      </c>
    </row>
    <row r="13" spans="2:12" x14ac:dyDescent="0.25">
      <c r="D13" s="9" t="s">
        <v>26</v>
      </c>
      <c r="E13" s="9" t="s">
        <v>227</v>
      </c>
      <c r="F13" s="9" t="s">
        <v>201</v>
      </c>
      <c r="G13" s="15">
        <v>1500</v>
      </c>
      <c r="H13" s="11" t="s">
        <v>143</v>
      </c>
      <c r="I13" s="11" t="s">
        <v>36</v>
      </c>
      <c r="J13" s="15">
        <v>2018</v>
      </c>
      <c r="K13" s="15">
        <v>2024</v>
      </c>
      <c r="L13" s="9" t="str">
        <f t="shared" si="0"/>
        <v>/PAP/Safi/PAP SAFI EXISTING /PROCESS SAFI EXISTANT/1500/Existing/2018/2024</v>
      </c>
    </row>
    <row r="14" spans="2:12" x14ac:dyDescent="0.25">
      <c r="D14" s="9" t="s">
        <v>26</v>
      </c>
      <c r="E14" s="9" t="s">
        <v>227</v>
      </c>
      <c r="F14" s="9" t="s">
        <v>201</v>
      </c>
      <c r="G14" s="15">
        <v>1500</v>
      </c>
      <c r="H14" s="11" t="s">
        <v>143</v>
      </c>
      <c r="I14" s="11" t="s">
        <v>36</v>
      </c>
      <c r="J14" s="15">
        <v>2018</v>
      </c>
      <c r="K14" s="15">
        <v>2030</v>
      </c>
      <c r="L14" s="9" t="str">
        <f t="shared" si="0"/>
        <v>/PAP/Safi/PAP SAFI EXISTING /PROCESS SAFI EXISTANT/1500/Existing/2018/2030</v>
      </c>
    </row>
    <row r="15" spans="2:12" x14ac:dyDescent="0.25">
      <c r="D15" s="9"/>
      <c r="E15" s="9"/>
      <c r="F15" s="9"/>
      <c r="G15" s="15"/>
      <c r="H15" s="11"/>
      <c r="I15" s="11"/>
      <c r="J15" s="15"/>
      <c r="K15" s="15"/>
      <c r="L15" s="9" t="str">
        <f t="shared" si="0"/>
        <v/>
      </c>
    </row>
    <row r="16" spans="2:12" x14ac:dyDescent="0.25">
      <c r="D16" s="9"/>
      <c r="E16" s="9"/>
      <c r="F16" s="9"/>
      <c r="G16" s="15"/>
      <c r="H16" s="11"/>
      <c r="I16" s="11"/>
      <c r="J16" s="15"/>
      <c r="K16" s="15"/>
      <c r="L16" s="9" t="str">
        <f t="shared" si="0"/>
        <v/>
      </c>
    </row>
    <row r="17" spans="4:12" x14ac:dyDescent="0.25">
      <c r="D17" s="9"/>
      <c r="E17" s="9"/>
      <c r="F17" s="9"/>
      <c r="G17" s="15"/>
      <c r="H17" s="11"/>
      <c r="I17" s="11"/>
      <c r="J17" s="15"/>
      <c r="K17" s="15"/>
      <c r="L17" s="9" t="str">
        <f t="shared" si="0"/>
        <v/>
      </c>
    </row>
    <row r="18" spans="4:12" x14ac:dyDescent="0.25">
      <c r="D18" s="9"/>
      <c r="E18" s="9"/>
      <c r="F18" s="9"/>
      <c r="G18" s="15"/>
      <c r="H18" s="11"/>
      <c r="I18" s="11"/>
      <c r="J18" s="15"/>
      <c r="K18" s="15"/>
      <c r="L18" s="9" t="str">
        <f t="shared" si="0"/>
        <v/>
      </c>
    </row>
    <row r="19" spans="4:12" x14ac:dyDescent="0.25">
      <c r="D19" s="9"/>
      <c r="E19" s="9"/>
      <c r="F19" s="9"/>
      <c r="G19" s="15"/>
      <c r="H19" s="11"/>
      <c r="I19" s="11"/>
      <c r="J19" s="15"/>
      <c r="K19" s="15"/>
      <c r="L19" s="9" t="str">
        <f t="shared" si="0"/>
        <v/>
      </c>
    </row>
    <row r="20" spans="4:12" x14ac:dyDescent="0.25">
      <c r="D20" s="9"/>
      <c r="E20" s="9"/>
      <c r="F20" s="9"/>
      <c r="G20" s="15"/>
      <c r="H20" s="11"/>
      <c r="I20" s="11"/>
      <c r="J20" s="15"/>
      <c r="K20" s="15"/>
      <c r="L20" s="9" t="str">
        <f t="shared" si="0"/>
        <v/>
      </c>
    </row>
    <row r="21" spans="4:12" x14ac:dyDescent="0.25">
      <c r="D21" s="9"/>
      <c r="E21" s="9"/>
      <c r="F21" s="9"/>
      <c r="G21" s="15"/>
      <c r="H21" s="11"/>
      <c r="I21" s="11"/>
      <c r="J21" s="15"/>
      <c r="K21" s="15"/>
      <c r="L21" s="9" t="str">
        <f t="shared" si="0"/>
        <v/>
      </c>
    </row>
    <row r="22" spans="4:12" x14ac:dyDescent="0.25">
      <c r="D22" s="9"/>
      <c r="E22" s="9"/>
      <c r="F22" s="9"/>
      <c r="G22" s="15"/>
      <c r="H22" s="11"/>
      <c r="I22" s="11"/>
      <c r="J22" s="15"/>
      <c r="K22" s="15"/>
      <c r="L22" s="9" t="str">
        <f t="shared" si="0"/>
        <v/>
      </c>
    </row>
    <row r="23" spans="4:12" x14ac:dyDescent="0.25">
      <c r="D23" s="9"/>
      <c r="E23" s="9"/>
      <c r="F23" s="9"/>
      <c r="G23" s="15"/>
      <c r="H23" s="11"/>
      <c r="I23" s="11"/>
      <c r="J23" s="15"/>
      <c r="K23" s="15"/>
      <c r="L23" s="9" t="str">
        <f t="shared" si="0"/>
        <v/>
      </c>
    </row>
    <row r="24" spans="4:12" x14ac:dyDescent="0.25">
      <c r="D24" s="9"/>
      <c r="E24" s="9"/>
      <c r="F24" s="9"/>
      <c r="G24" s="15"/>
      <c r="H24" s="11"/>
      <c r="I24" s="11"/>
      <c r="J24" s="15"/>
      <c r="K24" s="15"/>
      <c r="L24" s="9" t="str">
        <f t="shared" si="0"/>
        <v/>
      </c>
    </row>
    <row r="25" spans="4:12" x14ac:dyDescent="0.25">
      <c r="D25" s="9"/>
      <c r="E25" s="9"/>
      <c r="F25" s="9"/>
      <c r="G25" s="15"/>
      <c r="H25" s="11"/>
      <c r="I25" s="11"/>
      <c r="J25" s="15"/>
      <c r="K25" s="15"/>
      <c r="L25" s="9" t="str">
        <f t="shared" si="0"/>
        <v/>
      </c>
    </row>
    <row r="26" spans="4:12" x14ac:dyDescent="0.25">
      <c r="D26" s="9"/>
      <c r="E26" s="9"/>
      <c r="F26" s="9"/>
      <c r="G26" s="15"/>
      <c r="H26" s="11"/>
      <c r="I26" s="11"/>
      <c r="J26" s="15"/>
      <c r="K26" s="15"/>
      <c r="L26" s="9" t="str">
        <f t="shared" si="0"/>
        <v/>
      </c>
    </row>
    <row r="27" spans="4:12" x14ac:dyDescent="0.25">
      <c r="D27" s="9"/>
      <c r="E27" s="9"/>
      <c r="F27" s="9"/>
      <c r="G27" s="15"/>
      <c r="H27" s="11"/>
      <c r="I27" s="11"/>
      <c r="J27" s="15"/>
      <c r="K27" s="15"/>
      <c r="L27" s="9" t="str">
        <f t="shared" si="0"/>
        <v/>
      </c>
    </row>
    <row r="28" spans="4:12" x14ac:dyDescent="0.25">
      <c r="D28" s="9"/>
      <c r="E28" s="9"/>
      <c r="F28" s="9"/>
      <c r="G28" s="15"/>
      <c r="H28" s="11"/>
      <c r="I28" s="11"/>
      <c r="J28" s="15"/>
      <c r="K28" s="15"/>
      <c r="L28" s="9" t="str">
        <f t="shared" si="0"/>
        <v/>
      </c>
    </row>
    <row r="29" spans="4:12" x14ac:dyDescent="0.25">
      <c r="D29" s="9"/>
      <c r="E29" s="9"/>
      <c r="F29" s="9"/>
      <c r="G29" s="15"/>
      <c r="H29" s="11"/>
      <c r="I29" s="11"/>
      <c r="J29" s="15"/>
      <c r="K29" s="15"/>
      <c r="L29" s="9" t="str">
        <f t="shared" si="0"/>
        <v/>
      </c>
    </row>
    <row r="30" spans="4:12" x14ac:dyDescent="0.25">
      <c r="D30" s="9"/>
      <c r="E30" s="9"/>
      <c r="F30" s="9"/>
      <c r="G30" s="15"/>
      <c r="H30" s="11"/>
      <c r="I30" s="11"/>
      <c r="J30" s="15"/>
      <c r="K30" s="15"/>
      <c r="L30" s="9" t="str">
        <f t="shared" si="0"/>
        <v/>
      </c>
    </row>
    <row r="31" spans="4:12" x14ac:dyDescent="0.25">
      <c r="D31" s="9"/>
      <c r="E31" s="9"/>
      <c r="F31" s="9"/>
      <c r="G31" s="15"/>
      <c r="H31" s="11"/>
      <c r="I31" s="11"/>
      <c r="J31" s="15"/>
      <c r="K31" s="15"/>
      <c r="L31" s="9" t="str">
        <f t="shared" si="0"/>
        <v/>
      </c>
    </row>
    <row r="32" spans="4:12" x14ac:dyDescent="0.25">
      <c r="D32" s="9"/>
      <c r="E32" s="9"/>
      <c r="F32" s="9"/>
      <c r="G32" s="15"/>
      <c r="H32" s="11"/>
      <c r="I32" s="11"/>
      <c r="J32" s="15"/>
      <c r="K32" s="15"/>
      <c r="L32" s="9" t="str">
        <f t="shared" si="0"/>
        <v/>
      </c>
    </row>
    <row r="33" spans="4:12" x14ac:dyDescent="0.25">
      <c r="D33" s="9"/>
      <c r="E33" s="9"/>
      <c r="F33" s="9"/>
      <c r="G33" s="15"/>
      <c r="H33" s="11"/>
      <c r="I33" s="11"/>
      <c r="J33" s="15"/>
      <c r="K33" s="15"/>
      <c r="L33" s="9" t="str">
        <f t="shared" si="0"/>
        <v/>
      </c>
    </row>
    <row r="34" spans="4:12" x14ac:dyDescent="0.25">
      <c r="D34" s="9"/>
      <c r="E34" s="9"/>
      <c r="F34" s="9"/>
      <c r="G34" s="15"/>
      <c r="H34" s="11"/>
      <c r="I34" s="11"/>
      <c r="J34" s="15"/>
      <c r="K34" s="15"/>
      <c r="L34" s="9" t="str">
        <f t="shared" si="0"/>
        <v/>
      </c>
    </row>
    <row r="35" spans="4:12" x14ac:dyDescent="0.25">
      <c r="D35" s="9"/>
      <c r="E35" s="9"/>
      <c r="F35" s="9"/>
      <c r="G35" s="15"/>
      <c r="H35" s="11"/>
      <c r="I35" s="11"/>
      <c r="J35" s="15"/>
      <c r="K35" s="15"/>
      <c r="L35" s="9" t="str">
        <f t="shared" si="0"/>
        <v/>
      </c>
    </row>
    <row r="36" spans="4:12" x14ac:dyDescent="0.25">
      <c r="D36" s="9"/>
      <c r="E36" s="9"/>
      <c r="F36" s="9"/>
      <c r="G36" s="15"/>
      <c r="H36" s="11"/>
      <c r="I36" s="11"/>
      <c r="J36" s="15"/>
      <c r="K36" s="15"/>
      <c r="L36" s="9" t="str">
        <f t="shared" si="0"/>
        <v/>
      </c>
    </row>
    <row r="37" spans="4:12" x14ac:dyDescent="0.25">
      <c r="D37" s="9"/>
      <c r="E37" s="9"/>
      <c r="F37" s="9"/>
      <c r="G37" s="15"/>
      <c r="H37" s="11"/>
      <c r="I37" s="11"/>
      <c r="J37" s="15"/>
      <c r="K37" s="15"/>
      <c r="L37" s="9" t="str">
        <f t="shared" si="0"/>
        <v/>
      </c>
    </row>
    <row r="38" spans="4:12" x14ac:dyDescent="0.25">
      <c r="D38" s="9"/>
      <c r="E38" s="9"/>
      <c r="F38" s="9"/>
      <c r="G38" s="15"/>
      <c r="H38" s="11"/>
      <c r="I38" s="11"/>
      <c r="J38" s="15"/>
      <c r="K38" s="15"/>
      <c r="L38" s="9" t="str">
        <f t="shared" si="0"/>
        <v/>
      </c>
    </row>
    <row r="39" spans="4:12" x14ac:dyDescent="0.25">
      <c r="D39" s="9"/>
      <c r="E39" s="9"/>
      <c r="F39" s="9"/>
      <c r="G39" s="15"/>
      <c r="H39" s="11"/>
      <c r="I39" s="11"/>
      <c r="J39" s="15"/>
      <c r="K39" s="15"/>
      <c r="L39" s="9" t="str">
        <f t="shared" si="0"/>
        <v/>
      </c>
    </row>
    <row r="40" spans="4:12" x14ac:dyDescent="0.25">
      <c r="D40" s="9"/>
      <c r="E40" s="9"/>
      <c r="F40" s="9"/>
      <c r="G40" s="15"/>
      <c r="H40" s="11"/>
      <c r="I40" s="11"/>
      <c r="J40" s="15"/>
      <c r="K40" s="15"/>
      <c r="L40" s="9" t="str">
        <f t="shared" si="0"/>
        <v/>
      </c>
    </row>
    <row r="41" spans="4:12" x14ac:dyDescent="0.25">
      <c r="D41" s="9"/>
      <c r="E41" s="9"/>
      <c r="F41" s="9"/>
      <c r="G41" s="15"/>
      <c r="H41" s="11"/>
      <c r="I41" s="11"/>
      <c r="J41" s="15"/>
      <c r="K41" s="15"/>
      <c r="L41" s="9" t="str">
        <f t="shared" si="0"/>
        <v/>
      </c>
    </row>
    <row r="42" spans="4:12" x14ac:dyDescent="0.25">
      <c r="D42" s="9"/>
      <c r="E42" s="9"/>
      <c r="F42" s="9"/>
      <c r="G42" s="15"/>
      <c r="H42" s="11"/>
      <c r="I42" s="11"/>
      <c r="J42" s="15"/>
      <c r="K42" s="15"/>
      <c r="L42" s="9" t="str">
        <f t="shared" si="0"/>
        <v/>
      </c>
    </row>
    <row r="43" spans="4:12" x14ac:dyDescent="0.25">
      <c r="D43" s="9"/>
      <c r="E43" s="9"/>
      <c r="F43" s="9"/>
      <c r="G43" s="15"/>
      <c r="H43" s="11"/>
      <c r="I43" s="11"/>
      <c r="J43" s="15"/>
      <c r="K43" s="15"/>
      <c r="L43" s="9" t="str">
        <f t="shared" si="0"/>
        <v/>
      </c>
    </row>
    <row r="44" spans="4:12" x14ac:dyDescent="0.25">
      <c r="D44" s="9"/>
      <c r="E44" s="9"/>
      <c r="F44" s="9"/>
      <c r="G44" s="15"/>
      <c r="H44" s="11"/>
      <c r="I44" s="11"/>
      <c r="J44" s="15"/>
      <c r="K44" s="15"/>
      <c r="L44" s="9" t="str">
        <f t="shared" si="0"/>
        <v/>
      </c>
    </row>
    <row r="45" spans="4:12" x14ac:dyDescent="0.25">
      <c r="D45" s="9"/>
      <c r="E45" s="9"/>
      <c r="F45" s="9"/>
      <c r="G45" s="15"/>
      <c r="H45" s="11"/>
      <c r="I45" s="11"/>
      <c r="J45" s="15"/>
      <c r="K45" s="15"/>
      <c r="L45" s="9" t="str">
        <f t="shared" si="0"/>
        <v/>
      </c>
    </row>
    <row r="46" spans="4:12" ht="15.75" thickBot="1" x14ac:dyDescent="0.3">
      <c r="D46" s="10"/>
      <c r="E46" s="10"/>
      <c r="F46" s="10"/>
      <c r="G46" s="16"/>
      <c r="H46" s="12"/>
      <c r="I46" s="12"/>
      <c r="J46" s="16"/>
      <c r="K46" s="16"/>
      <c r="L46" s="10" t="str">
        <f t="shared" si="0"/>
        <v/>
      </c>
    </row>
  </sheetData>
  <dataValidations count="5">
    <dataValidation type="list" allowBlank="1" showInputMessage="1" showErrorMessage="1" sqref="I5:I46">
      <formula1>"Existing,New"</formula1>
    </dataValidation>
    <dataValidation type="list" allowBlank="1" showInputMessage="1" showErrorMessage="1" sqref="G5:G46">
      <formula1>PAPSize</formula1>
    </dataValidation>
    <dataValidation type="list" allowBlank="1" showInputMessage="1" showErrorMessage="1" sqref="D5:D46">
      <formula1>Location</formula1>
    </dataValidation>
    <dataValidation type="list" allowBlank="1" showInputMessage="1" showErrorMessage="1" sqref="F5:F46">
      <formula1>PAPProcess</formula1>
    </dataValidation>
    <dataValidation type="list" allowBlank="1" showInputMessage="1" showErrorMessage="1" sqref="H5:H46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548235"/>
  </sheetPr>
  <dimension ref="B1:R45"/>
  <sheetViews>
    <sheetView zoomScaleNormal="100" workbookViewId="0">
      <selection activeCell="I1" sqref="I1:S1048576"/>
    </sheetView>
  </sheetViews>
  <sheetFormatPr baseColWidth="10" defaultColWidth="11.5703125" defaultRowHeight="15" x14ac:dyDescent="0.25"/>
  <cols>
    <col min="1" max="3" width="3.5703125" style="5" customWidth="1"/>
    <col min="4" max="4" width="30.5703125" style="5" customWidth="1"/>
    <col min="5" max="7" width="15.5703125" style="5" customWidth="1"/>
    <col min="8" max="18" width="8.5703125" style="5" customWidth="1"/>
    <col min="19" max="16384" width="11.5703125" style="5"/>
  </cols>
  <sheetData>
    <row r="1" spans="2:18" s="70" customFormat="1" ht="25.35" customHeight="1" x14ac:dyDescent="0.25">
      <c r="B1" s="69" t="s">
        <v>229</v>
      </c>
    </row>
    <row r="3" spans="2:18" ht="15.75" thickBot="1" x14ac:dyDescent="0.3">
      <c r="D3" s="38" t="str">
        <f>JESA_UploadTable(B1,D4:R9,db)</f>
        <v>PAP production @09:45:19</v>
      </c>
    </row>
    <row r="4" spans="2:18" ht="30" customHeight="1" thickBot="1" x14ac:dyDescent="0.3">
      <c r="D4" s="71" t="s">
        <v>25</v>
      </c>
      <c r="E4" s="71" t="s">
        <v>230</v>
      </c>
      <c r="F4" s="71" t="s">
        <v>24</v>
      </c>
      <c r="G4" s="73" t="s">
        <v>17</v>
      </c>
      <c r="H4" s="75" t="s">
        <v>37</v>
      </c>
      <c r="I4" s="75" t="s">
        <v>38</v>
      </c>
      <c r="J4" s="75" t="s">
        <v>39</v>
      </c>
      <c r="K4" s="75" t="s">
        <v>40</v>
      </c>
      <c r="L4" s="75" t="s">
        <v>41</v>
      </c>
      <c r="M4" s="75" t="s">
        <v>42</v>
      </c>
      <c r="N4" s="75" t="s">
        <v>43</v>
      </c>
      <c r="O4" s="75" t="s">
        <v>44</v>
      </c>
      <c r="P4" s="75" t="s">
        <v>45</v>
      </c>
      <c r="Q4" s="75" t="s">
        <v>46</v>
      </c>
      <c r="R4" s="75" t="s">
        <v>47</v>
      </c>
    </row>
    <row r="5" spans="2:18" x14ac:dyDescent="0.25">
      <c r="D5" s="8" t="s">
        <v>196</v>
      </c>
      <c r="E5" s="8" t="s">
        <v>290</v>
      </c>
      <c r="F5" s="8" t="s">
        <v>458</v>
      </c>
      <c r="G5" s="8" t="s">
        <v>136</v>
      </c>
      <c r="H5" s="19">
        <v>1</v>
      </c>
      <c r="I5" s="19">
        <f>IF(H5="","",H5)</f>
        <v>1</v>
      </c>
      <c r="J5" s="19">
        <f t="shared" ref="J5:R5" si="0">IF(I5="","",I5)</f>
        <v>1</v>
      </c>
      <c r="K5" s="19">
        <f t="shared" si="0"/>
        <v>1</v>
      </c>
      <c r="L5" s="19">
        <f t="shared" si="0"/>
        <v>1</v>
      </c>
      <c r="M5" s="19">
        <f t="shared" si="0"/>
        <v>1</v>
      </c>
      <c r="N5" s="19">
        <f t="shared" si="0"/>
        <v>1</v>
      </c>
      <c r="O5" s="19">
        <f t="shared" si="0"/>
        <v>1</v>
      </c>
      <c r="P5" s="19">
        <f t="shared" si="0"/>
        <v>1</v>
      </c>
      <c r="Q5" s="19">
        <f t="shared" si="0"/>
        <v>1</v>
      </c>
      <c r="R5" s="19">
        <f t="shared" si="0"/>
        <v>1</v>
      </c>
    </row>
    <row r="6" spans="2:18" x14ac:dyDescent="0.25">
      <c r="D6" s="9" t="s">
        <v>196</v>
      </c>
      <c r="E6" s="9" t="s">
        <v>290</v>
      </c>
      <c r="F6" s="9" t="s">
        <v>202</v>
      </c>
      <c r="G6" s="9" t="s">
        <v>55</v>
      </c>
      <c r="H6" s="20">
        <v>5.5</v>
      </c>
      <c r="I6" s="20">
        <f t="shared" ref="I6:R17" si="1">IF(H6="","",H6)</f>
        <v>5.5</v>
      </c>
      <c r="J6" s="20">
        <f t="shared" si="1"/>
        <v>5.5</v>
      </c>
      <c r="K6" s="20">
        <f t="shared" si="1"/>
        <v>5.5</v>
      </c>
      <c r="L6" s="20">
        <f t="shared" si="1"/>
        <v>5.5</v>
      </c>
      <c r="M6" s="20">
        <f t="shared" si="1"/>
        <v>5.5</v>
      </c>
      <c r="N6" s="20">
        <f t="shared" si="1"/>
        <v>5.5</v>
      </c>
      <c r="O6" s="20">
        <f t="shared" si="1"/>
        <v>5.5</v>
      </c>
      <c r="P6" s="20">
        <f t="shared" si="1"/>
        <v>5.5</v>
      </c>
      <c r="Q6" s="20">
        <f t="shared" si="1"/>
        <v>5.5</v>
      </c>
      <c r="R6" s="20">
        <f t="shared" si="1"/>
        <v>5.5</v>
      </c>
    </row>
    <row r="7" spans="2:18" x14ac:dyDescent="0.25">
      <c r="D7" s="9" t="s">
        <v>196</v>
      </c>
      <c r="E7" s="9" t="s">
        <v>290</v>
      </c>
      <c r="F7" s="9" t="s">
        <v>205</v>
      </c>
      <c r="G7" s="9" t="s">
        <v>55</v>
      </c>
      <c r="H7" s="18">
        <v>0.04</v>
      </c>
      <c r="I7" s="18">
        <f t="shared" si="1"/>
        <v>0.04</v>
      </c>
      <c r="J7" s="18">
        <f t="shared" si="1"/>
        <v>0.04</v>
      </c>
      <c r="K7" s="18">
        <f t="shared" si="1"/>
        <v>0.04</v>
      </c>
      <c r="L7" s="18">
        <f t="shared" si="1"/>
        <v>0.04</v>
      </c>
      <c r="M7" s="18">
        <f t="shared" si="1"/>
        <v>0.04</v>
      </c>
      <c r="N7" s="18">
        <f t="shared" si="1"/>
        <v>0.04</v>
      </c>
      <c r="O7" s="18">
        <f t="shared" si="1"/>
        <v>0.04</v>
      </c>
      <c r="P7" s="18">
        <f t="shared" si="1"/>
        <v>0.04</v>
      </c>
      <c r="Q7" s="18">
        <f t="shared" si="1"/>
        <v>0.04</v>
      </c>
      <c r="R7" s="18">
        <f t="shared" si="1"/>
        <v>0.04</v>
      </c>
    </row>
    <row r="8" spans="2:18" x14ac:dyDescent="0.25">
      <c r="D8" s="9" t="s">
        <v>201</v>
      </c>
      <c r="E8" s="9" t="s">
        <v>290</v>
      </c>
      <c r="F8" s="9" t="s">
        <v>458</v>
      </c>
      <c r="G8" s="9" t="s">
        <v>136</v>
      </c>
      <c r="H8" s="20">
        <v>1</v>
      </c>
      <c r="I8" s="20">
        <f>IF(H8="","",H8)</f>
        <v>1</v>
      </c>
      <c r="J8" s="20">
        <f t="shared" si="1"/>
        <v>1</v>
      </c>
      <c r="K8" s="20">
        <f t="shared" si="1"/>
        <v>1</v>
      </c>
      <c r="L8" s="20">
        <f t="shared" si="1"/>
        <v>1</v>
      </c>
      <c r="M8" s="20">
        <f t="shared" si="1"/>
        <v>1</v>
      </c>
      <c r="N8" s="20">
        <f t="shared" si="1"/>
        <v>1</v>
      </c>
      <c r="O8" s="20">
        <f t="shared" si="1"/>
        <v>1</v>
      </c>
      <c r="P8" s="20">
        <f t="shared" si="1"/>
        <v>1</v>
      </c>
      <c r="Q8" s="20">
        <f t="shared" si="1"/>
        <v>1</v>
      </c>
      <c r="R8" s="20">
        <f t="shared" si="1"/>
        <v>1</v>
      </c>
    </row>
    <row r="9" spans="2:18" x14ac:dyDescent="0.25">
      <c r="D9" s="9" t="s">
        <v>201</v>
      </c>
      <c r="E9" s="9" t="s">
        <v>290</v>
      </c>
      <c r="F9" s="9" t="s">
        <v>202</v>
      </c>
      <c r="G9" s="9" t="s">
        <v>55</v>
      </c>
      <c r="H9" s="20">
        <v>5.5</v>
      </c>
      <c r="I9" s="20">
        <f t="shared" si="1"/>
        <v>5.5</v>
      </c>
      <c r="J9" s="20">
        <f t="shared" si="1"/>
        <v>5.5</v>
      </c>
      <c r="K9" s="20">
        <f t="shared" si="1"/>
        <v>5.5</v>
      </c>
      <c r="L9" s="20">
        <f t="shared" si="1"/>
        <v>5.5</v>
      </c>
      <c r="M9" s="20">
        <f t="shared" si="1"/>
        <v>5.5</v>
      </c>
      <c r="N9" s="20">
        <f t="shared" si="1"/>
        <v>5.5</v>
      </c>
      <c r="O9" s="20">
        <f t="shared" si="1"/>
        <v>5.5</v>
      </c>
      <c r="P9" s="20">
        <f t="shared" si="1"/>
        <v>5.5</v>
      </c>
      <c r="Q9" s="20">
        <f t="shared" si="1"/>
        <v>5.5</v>
      </c>
      <c r="R9" s="20">
        <f t="shared" si="1"/>
        <v>5.5</v>
      </c>
    </row>
    <row r="10" spans="2:18" x14ac:dyDescent="0.25">
      <c r="D10" s="9"/>
      <c r="E10" s="9"/>
      <c r="F10" s="9"/>
      <c r="G10" s="9"/>
      <c r="H10" s="20"/>
      <c r="I10" s="20" t="str">
        <f t="shared" si="1"/>
        <v/>
      </c>
      <c r="J10" s="20" t="str">
        <f t="shared" si="1"/>
        <v/>
      </c>
      <c r="K10" s="20" t="str">
        <f t="shared" si="1"/>
        <v/>
      </c>
      <c r="L10" s="20" t="str">
        <f t="shared" si="1"/>
        <v/>
      </c>
      <c r="M10" s="20" t="str">
        <f t="shared" si="1"/>
        <v/>
      </c>
      <c r="N10" s="20" t="str">
        <f t="shared" si="1"/>
        <v/>
      </c>
      <c r="O10" s="20" t="str">
        <f t="shared" si="1"/>
        <v/>
      </c>
      <c r="P10" s="20" t="str">
        <f t="shared" si="1"/>
        <v/>
      </c>
      <c r="Q10" s="20" t="str">
        <f t="shared" si="1"/>
        <v/>
      </c>
      <c r="R10" s="20" t="str">
        <f t="shared" si="1"/>
        <v/>
      </c>
    </row>
    <row r="11" spans="2:18" x14ac:dyDescent="0.25">
      <c r="D11" s="9"/>
      <c r="E11" s="9"/>
      <c r="F11" s="9"/>
      <c r="G11" s="9"/>
      <c r="H11" s="20"/>
      <c r="I11" s="20" t="str">
        <f t="shared" si="1"/>
        <v/>
      </c>
      <c r="J11" s="20" t="str">
        <f t="shared" si="1"/>
        <v/>
      </c>
      <c r="K11" s="20" t="str">
        <f t="shared" si="1"/>
        <v/>
      </c>
      <c r="L11" s="20" t="str">
        <f t="shared" si="1"/>
        <v/>
      </c>
      <c r="M11" s="20" t="str">
        <f t="shared" si="1"/>
        <v/>
      </c>
      <c r="N11" s="20" t="str">
        <f t="shared" si="1"/>
        <v/>
      </c>
      <c r="O11" s="20" t="str">
        <f t="shared" si="1"/>
        <v/>
      </c>
      <c r="P11" s="20" t="str">
        <f t="shared" si="1"/>
        <v/>
      </c>
      <c r="Q11" s="20" t="str">
        <f t="shared" si="1"/>
        <v/>
      </c>
      <c r="R11" s="20" t="str">
        <f t="shared" si="1"/>
        <v/>
      </c>
    </row>
    <row r="12" spans="2:18" x14ac:dyDescent="0.25">
      <c r="D12" s="9"/>
      <c r="E12" s="9"/>
      <c r="F12" s="9"/>
      <c r="G12" s="9"/>
      <c r="H12" s="20"/>
      <c r="I12" s="20" t="str">
        <f t="shared" si="1"/>
        <v/>
      </c>
      <c r="J12" s="20" t="str">
        <f t="shared" si="1"/>
        <v/>
      </c>
      <c r="K12" s="20" t="str">
        <f t="shared" si="1"/>
        <v/>
      </c>
      <c r="L12" s="20" t="str">
        <f t="shared" si="1"/>
        <v/>
      </c>
      <c r="M12" s="20" t="str">
        <f t="shared" si="1"/>
        <v/>
      </c>
      <c r="N12" s="20" t="str">
        <f t="shared" si="1"/>
        <v/>
      </c>
      <c r="O12" s="20" t="str">
        <f t="shared" si="1"/>
        <v/>
      </c>
      <c r="P12" s="20" t="str">
        <f t="shared" si="1"/>
        <v/>
      </c>
      <c r="Q12" s="20" t="str">
        <f t="shared" si="1"/>
        <v/>
      </c>
      <c r="R12" s="20" t="str">
        <f t="shared" si="1"/>
        <v/>
      </c>
    </row>
    <row r="13" spans="2:18" x14ac:dyDescent="0.25">
      <c r="D13" s="9"/>
      <c r="E13" s="9"/>
      <c r="F13" s="9"/>
      <c r="G13" s="9"/>
      <c r="H13" s="20"/>
      <c r="I13" s="20" t="str">
        <f t="shared" si="1"/>
        <v/>
      </c>
      <c r="J13" s="20" t="str">
        <f t="shared" si="1"/>
        <v/>
      </c>
      <c r="K13" s="20" t="str">
        <f t="shared" si="1"/>
        <v/>
      </c>
      <c r="L13" s="20" t="str">
        <f t="shared" si="1"/>
        <v/>
      </c>
      <c r="M13" s="20" t="str">
        <f t="shared" si="1"/>
        <v/>
      </c>
      <c r="N13" s="20" t="str">
        <f t="shared" si="1"/>
        <v/>
      </c>
      <c r="O13" s="20" t="str">
        <f t="shared" si="1"/>
        <v/>
      </c>
      <c r="P13" s="20" t="str">
        <f t="shared" si="1"/>
        <v/>
      </c>
      <c r="Q13" s="20" t="str">
        <f t="shared" si="1"/>
        <v/>
      </c>
      <c r="R13" s="20" t="str">
        <f t="shared" si="1"/>
        <v/>
      </c>
    </row>
    <row r="14" spans="2:18" x14ac:dyDescent="0.25">
      <c r="D14" s="9"/>
      <c r="E14" s="9"/>
      <c r="F14" s="9"/>
      <c r="G14" s="9"/>
      <c r="H14" s="20"/>
      <c r="I14" s="20" t="str">
        <f t="shared" si="1"/>
        <v/>
      </c>
      <c r="J14" s="20" t="str">
        <f t="shared" si="1"/>
        <v/>
      </c>
      <c r="K14" s="20" t="str">
        <f t="shared" si="1"/>
        <v/>
      </c>
      <c r="L14" s="20" t="str">
        <f t="shared" si="1"/>
        <v/>
      </c>
      <c r="M14" s="20" t="str">
        <f t="shared" si="1"/>
        <v/>
      </c>
      <c r="N14" s="20" t="str">
        <f t="shared" si="1"/>
        <v/>
      </c>
      <c r="O14" s="20" t="str">
        <f t="shared" si="1"/>
        <v/>
      </c>
      <c r="P14" s="20" t="str">
        <f t="shared" si="1"/>
        <v/>
      </c>
      <c r="Q14" s="20" t="str">
        <f t="shared" si="1"/>
        <v/>
      </c>
      <c r="R14" s="20" t="str">
        <f t="shared" si="1"/>
        <v/>
      </c>
    </row>
    <row r="15" spans="2:18" x14ac:dyDescent="0.25">
      <c r="D15" s="9"/>
      <c r="E15" s="9"/>
      <c r="F15" s="9"/>
      <c r="G15" s="9"/>
      <c r="H15" s="20"/>
      <c r="I15" s="20" t="str">
        <f t="shared" si="1"/>
        <v/>
      </c>
      <c r="J15" s="20" t="str">
        <f t="shared" si="1"/>
        <v/>
      </c>
      <c r="K15" s="20" t="str">
        <f t="shared" si="1"/>
        <v/>
      </c>
      <c r="L15" s="20" t="str">
        <f t="shared" si="1"/>
        <v/>
      </c>
      <c r="M15" s="20" t="str">
        <f t="shared" si="1"/>
        <v/>
      </c>
      <c r="N15" s="20" t="str">
        <f t="shared" si="1"/>
        <v/>
      </c>
      <c r="O15" s="20" t="str">
        <f t="shared" si="1"/>
        <v/>
      </c>
      <c r="P15" s="20" t="str">
        <f t="shared" si="1"/>
        <v/>
      </c>
      <c r="Q15" s="20" t="str">
        <f t="shared" si="1"/>
        <v/>
      </c>
      <c r="R15" s="20" t="str">
        <f t="shared" si="1"/>
        <v/>
      </c>
    </row>
    <row r="16" spans="2:18" x14ac:dyDescent="0.25">
      <c r="D16" s="9"/>
      <c r="E16" s="9"/>
      <c r="F16" s="9"/>
      <c r="G16" s="9"/>
      <c r="H16" s="20"/>
      <c r="I16" s="20" t="str">
        <f t="shared" si="1"/>
        <v/>
      </c>
      <c r="J16" s="20" t="str">
        <f t="shared" si="1"/>
        <v/>
      </c>
      <c r="K16" s="20" t="str">
        <f t="shared" si="1"/>
        <v/>
      </c>
      <c r="L16" s="20" t="str">
        <f t="shared" si="1"/>
        <v/>
      </c>
      <c r="M16" s="20" t="str">
        <f t="shared" si="1"/>
        <v/>
      </c>
      <c r="N16" s="20" t="str">
        <f t="shared" si="1"/>
        <v/>
      </c>
      <c r="O16" s="20" t="str">
        <f t="shared" si="1"/>
        <v/>
      </c>
      <c r="P16" s="20" t="str">
        <f t="shared" si="1"/>
        <v/>
      </c>
      <c r="Q16" s="20" t="str">
        <f t="shared" si="1"/>
        <v/>
      </c>
      <c r="R16" s="20" t="str">
        <f t="shared" si="1"/>
        <v/>
      </c>
    </row>
    <row r="17" spans="4:18" x14ac:dyDescent="0.25">
      <c r="D17" s="9"/>
      <c r="E17" s="9"/>
      <c r="F17" s="9"/>
      <c r="G17" s="9"/>
      <c r="H17" s="20"/>
      <c r="I17" s="20" t="str">
        <f t="shared" si="1"/>
        <v/>
      </c>
      <c r="J17" s="20" t="str">
        <f t="shared" si="1"/>
        <v/>
      </c>
      <c r="K17" s="20" t="str">
        <f t="shared" si="1"/>
        <v/>
      </c>
      <c r="L17" s="20" t="str">
        <f t="shared" si="1"/>
        <v/>
      </c>
      <c r="M17" s="20" t="str">
        <f t="shared" si="1"/>
        <v/>
      </c>
      <c r="N17" s="20" t="str">
        <f t="shared" si="1"/>
        <v/>
      </c>
      <c r="O17" s="20" t="str">
        <f t="shared" si="1"/>
        <v/>
      </c>
      <c r="P17" s="20" t="str">
        <f t="shared" si="1"/>
        <v/>
      </c>
      <c r="Q17" s="20" t="str">
        <f t="shared" si="1"/>
        <v/>
      </c>
      <c r="R17" s="20" t="str">
        <f t="shared" si="1"/>
        <v/>
      </c>
    </row>
    <row r="18" spans="4:18" x14ac:dyDescent="0.25">
      <c r="D18" s="9"/>
      <c r="E18" s="9"/>
      <c r="F18" s="9"/>
      <c r="G18" s="9"/>
      <c r="H18" s="20"/>
      <c r="I18" s="20" t="str">
        <f t="shared" ref="I18:R33" si="2">IF(H18="","",H18)</f>
        <v/>
      </c>
      <c r="J18" s="20" t="str">
        <f t="shared" si="2"/>
        <v/>
      </c>
      <c r="K18" s="20" t="str">
        <f t="shared" si="2"/>
        <v/>
      </c>
      <c r="L18" s="20" t="str">
        <f t="shared" si="2"/>
        <v/>
      </c>
      <c r="M18" s="20" t="str">
        <f t="shared" si="2"/>
        <v/>
      </c>
      <c r="N18" s="20" t="str">
        <f t="shared" si="2"/>
        <v/>
      </c>
      <c r="O18" s="20" t="str">
        <f t="shared" si="2"/>
        <v/>
      </c>
      <c r="P18" s="20" t="str">
        <f t="shared" si="2"/>
        <v/>
      </c>
      <c r="Q18" s="20" t="str">
        <f t="shared" si="2"/>
        <v/>
      </c>
      <c r="R18" s="20" t="str">
        <f t="shared" si="2"/>
        <v/>
      </c>
    </row>
    <row r="19" spans="4:18" x14ac:dyDescent="0.25">
      <c r="D19" s="9"/>
      <c r="E19" s="9"/>
      <c r="F19" s="9"/>
      <c r="G19" s="9"/>
      <c r="H19" s="20"/>
      <c r="I19" s="20" t="str">
        <f t="shared" si="2"/>
        <v/>
      </c>
      <c r="J19" s="20" t="str">
        <f t="shared" si="2"/>
        <v/>
      </c>
      <c r="K19" s="20" t="str">
        <f t="shared" si="2"/>
        <v/>
      </c>
      <c r="L19" s="20" t="str">
        <f t="shared" si="2"/>
        <v/>
      </c>
      <c r="M19" s="20" t="str">
        <f t="shared" si="2"/>
        <v/>
      </c>
      <c r="N19" s="20" t="str">
        <f t="shared" si="2"/>
        <v/>
      </c>
      <c r="O19" s="20" t="str">
        <f t="shared" si="2"/>
        <v/>
      </c>
      <c r="P19" s="20" t="str">
        <f t="shared" si="2"/>
        <v/>
      </c>
      <c r="Q19" s="20" t="str">
        <f t="shared" si="2"/>
        <v/>
      </c>
      <c r="R19" s="20" t="str">
        <f t="shared" si="2"/>
        <v/>
      </c>
    </row>
    <row r="20" spans="4:18" x14ac:dyDescent="0.25">
      <c r="D20" s="9"/>
      <c r="E20" s="9"/>
      <c r="F20" s="9"/>
      <c r="G20" s="9"/>
      <c r="H20" s="20"/>
      <c r="I20" s="20" t="str">
        <f t="shared" si="2"/>
        <v/>
      </c>
      <c r="J20" s="20" t="str">
        <f t="shared" si="2"/>
        <v/>
      </c>
      <c r="K20" s="20" t="str">
        <f t="shared" si="2"/>
        <v/>
      </c>
      <c r="L20" s="20" t="str">
        <f t="shared" si="2"/>
        <v/>
      </c>
      <c r="M20" s="20" t="str">
        <f t="shared" si="2"/>
        <v/>
      </c>
      <c r="N20" s="20" t="str">
        <f t="shared" si="2"/>
        <v/>
      </c>
      <c r="O20" s="20" t="str">
        <f t="shared" si="2"/>
        <v/>
      </c>
      <c r="P20" s="20" t="str">
        <f t="shared" si="2"/>
        <v/>
      </c>
      <c r="Q20" s="20" t="str">
        <f t="shared" si="2"/>
        <v/>
      </c>
      <c r="R20" s="20" t="str">
        <f t="shared" si="2"/>
        <v/>
      </c>
    </row>
    <row r="21" spans="4:18" x14ac:dyDescent="0.25">
      <c r="D21" s="9"/>
      <c r="E21" s="9"/>
      <c r="F21" s="9"/>
      <c r="G21" s="9"/>
      <c r="H21" s="20"/>
      <c r="I21" s="20" t="str">
        <f t="shared" si="2"/>
        <v/>
      </c>
      <c r="J21" s="20" t="str">
        <f t="shared" si="2"/>
        <v/>
      </c>
      <c r="K21" s="20" t="str">
        <f t="shared" si="2"/>
        <v/>
      </c>
      <c r="L21" s="20" t="str">
        <f t="shared" si="2"/>
        <v/>
      </c>
      <c r="M21" s="20" t="str">
        <f t="shared" si="2"/>
        <v/>
      </c>
      <c r="N21" s="20" t="str">
        <f t="shared" si="2"/>
        <v/>
      </c>
      <c r="O21" s="20" t="str">
        <f t="shared" si="2"/>
        <v/>
      </c>
      <c r="P21" s="20" t="str">
        <f t="shared" si="2"/>
        <v/>
      </c>
      <c r="Q21" s="20" t="str">
        <f t="shared" si="2"/>
        <v/>
      </c>
      <c r="R21" s="20" t="str">
        <f t="shared" si="2"/>
        <v/>
      </c>
    </row>
    <row r="22" spans="4:18" x14ac:dyDescent="0.25">
      <c r="D22" s="9"/>
      <c r="E22" s="9"/>
      <c r="F22" s="9"/>
      <c r="G22" s="9"/>
      <c r="H22" s="20"/>
      <c r="I22" s="20" t="str">
        <f t="shared" si="2"/>
        <v/>
      </c>
      <c r="J22" s="20" t="str">
        <f t="shared" si="2"/>
        <v/>
      </c>
      <c r="K22" s="20" t="str">
        <f t="shared" si="2"/>
        <v/>
      </c>
      <c r="L22" s="20" t="str">
        <f t="shared" si="2"/>
        <v/>
      </c>
      <c r="M22" s="20" t="str">
        <f t="shared" si="2"/>
        <v/>
      </c>
      <c r="N22" s="20" t="str">
        <f t="shared" si="2"/>
        <v/>
      </c>
      <c r="O22" s="20" t="str">
        <f t="shared" si="2"/>
        <v/>
      </c>
      <c r="P22" s="20" t="str">
        <f t="shared" si="2"/>
        <v/>
      </c>
      <c r="Q22" s="20" t="str">
        <f t="shared" si="2"/>
        <v/>
      </c>
      <c r="R22" s="20" t="str">
        <f t="shared" si="2"/>
        <v/>
      </c>
    </row>
    <row r="23" spans="4:18" x14ac:dyDescent="0.25">
      <c r="D23" s="9"/>
      <c r="E23" s="9"/>
      <c r="F23" s="9"/>
      <c r="G23" s="9"/>
      <c r="H23" s="20"/>
      <c r="I23" s="20" t="str">
        <f t="shared" si="2"/>
        <v/>
      </c>
      <c r="J23" s="20" t="str">
        <f t="shared" si="2"/>
        <v/>
      </c>
      <c r="K23" s="20" t="str">
        <f t="shared" si="2"/>
        <v/>
      </c>
      <c r="L23" s="20" t="str">
        <f t="shared" si="2"/>
        <v/>
      </c>
      <c r="M23" s="20" t="str">
        <f t="shared" si="2"/>
        <v/>
      </c>
      <c r="N23" s="20" t="str">
        <f t="shared" si="2"/>
        <v/>
      </c>
      <c r="O23" s="20" t="str">
        <f t="shared" si="2"/>
        <v/>
      </c>
      <c r="P23" s="20" t="str">
        <f t="shared" si="2"/>
        <v/>
      </c>
      <c r="Q23" s="20" t="str">
        <f t="shared" si="2"/>
        <v/>
      </c>
      <c r="R23" s="20" t="str">
        <f t="shared" si="2"/>
        <v/>
      </c>
    </row>
    <row r="24" spans="4:18" x14ac:dyDescent="0.25">
      <c r="D24" s="9"/>
      <c r="E24" s="9"/>
      <c r="F24" s="9"/>
      <c r="G24" s="9"/>
      <c r="H24" s="20"/>
      <c r="I24" s="20" t="str">
        <f t="shared" si="2"/>
        <v/>
      </c>
      <c r="J24" s="20" t="str">
        <f t="shared" si="2"/>
        <v/>
      </c>
      <c r="K24" s="20" t="str">
        <f t="shared" si="2"/>
        <v/>
      </c>
      <c r="L24" s="20" t="str">
        <f t="shared" si="2"/>
        <v/>
      </c>
      <c r="M24" s="20" t="str">
        <f t="shared" si="2"/>
        <v/>
      </c>
      <c r="N24" s="20" t="str">
        <f t="shared" si="2"/>
        <v/>
      </c>
      <c r="O24" s="20" t="str">
        <f t="shared" si="2"/>
        <v/>
      </c>
      <c r="P24" s="20" t="str">
        <f t="shared" si="2"/>
        <v/>
      </c>
      <c r="Q24" s="20" t="str">
        <f t="shared" si="2"/>
        <v/>
      </c>
      <c r="R24" s="20" t="str">
        <f t="shared" si="2"/>
        <v/>
      </c>
    </row>
    <row r="25" spans="4:18" x14ac:dyDescent="0.25">
      <c r="D25" s="9"/>
      <c r="E25" s="9"/>
      <c r="F25" s="9"/>
      <c r="G25" s="9"/>
      <c r="H25" s="20"/>
      <c r="I25" s="20" t="str">
        <f t="shared" si="2"/>
        <v/>
      </c>
      <c r="J25" s="20" t="str">
        <f t="shared" si="2"/>
        <v/>
      </c>
      <c r="K25" s="20" t="str">
        <f t="shared" si="2"/>
        <v/>
      </c>
      <c r="L25" s="20" t="str">
        <f t="shared" si="2"/>
        <v/>
      </c>
      <c r="M25" s="20" t="str">
        <f t="shared" si="2"/>
        <v/>
      </c>
      <c r="N25" s="20" t="str">
        <f t="shared" si="2"/>
        <v/>
      </c>
      <c r="O25" s="20" t="str">
        <f t="shared" si="2"/>
        <v/>
      </c>
      <c r="P25" s="20" t="str">
        <f t="shared" si="2"/>
        <v/>
      </c>
      <c r="Q25" s="20" t="str">
        <f t="shared" si="2"/>
        <v/>
      </c>
      <c r="R25" s="20" t="str">
        <f t="shared" si="2"/>
        <v/>
      </c>
    </row>
    <row r="26" spans="4:18" x14ac:dyDescent="0.25">
      <c r="D26" s="9"/>
      <c r="E26" s="9"/>
      <c r="F26" s="9"/>
      <c r="G26" s="9"/>
      <c r="H26" s="20"/>
      <c r="I26" s="20" t="str">
        <f t="shared" si="2"/>
        <v/>
      </c>
      <c r="J26" s="20" t="str">
        <f t="shared" si="2"/>
        <v/>
      </c>
      <c r="K26" s="20" t="str">
        <f t="shared" si="2"/>
        <v/>
      </c>
      <c r="L26" s="20" t="str">
        <f t="shared" si="2"/>
        <v/>
      </c>
      <c r="M26" s="20" t="str">
        <f t="shared" si="2"/>
        <v/>
      </c>
      <c r="N26" s="20" t="str">
        <f t="shared" si="2"/>
        <v/>
      </c>
      <c r="O26" s="20" t="str">
        <f t="shared" si="2"/>
        <v/>
      </c>
      <c r="P26" s="20" t="str">
        <f t="shared" si="2"/>
        <v/>
      </c>
      <c r="Q26" s="20" t="str">
        <f t="shared" si="2"/>
        <v/>
      </c>
      <c r="R26" s="20" t="str">
        <f t="shared" si="2"/>
        <v/>
      </c>
    </row>
    <row r="27" spans="4:18" x14ac:dyDescent="0.25">
      <c r="D27" s="9"/>
      <c r="E27" s="9"/>
      <c r="F27" s="9"/>
      <c r="G27" s="9"/>
      <c r="H27" s="20"/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20" t="str">
        <f t="shared" si="2"/>
        <v/>
      </c>
      <c r="R27" s="20" t="str">
        <f t="shared" si="2"/>
        <v/>
      </c>
    </row>
    <row r="28" spans="4:18" x14ac:dyDescent="0.25">
      <c r="D28" s="9"/>
      <c r="E28" s="9"/>
      <c r="F28" s="9"/>
      <c r="G28" s="9"/>
      <c r="H28" s="20"/>
      <c r="I28" s="20" t="str">
        <f t="shared" si="2"/>
        <v/>
      </c>
      <c r="J28" s="20" t="str">
        <f t="shared" si="2"/>
        <v/>
      </c>
      <c r="K28" s="20" t="str">
        <f t="shared" si="2"/>
        <v/>
      </c>
      <c r="L28" s="20" t="str">
        <f t="shared" si="2"/>
        <v/>
      </c>
      <c r="M28" s="20" t="str">
        <f t="shared" si="2"/>
        <v/>
      </c>
      <c r="N28" s="20" t="str">
        <f t="shared" si="2"/>
        <v/>
      </c>
      <c r="O28" s="20" t="str">
        <f t="shared" si="2"/>
        <v/>
      </c>
      <c r="P28" s="20" t="str">
        <f t="shared" si="2"/>
        <v/>
      </c>
      <c r="Q28" s="20" t="str">
        <f t="shared" si="2"/>
        <v/>
      </c>
      <c r="R28" s="20" t="str">
        <f t="shared" si="2"/>
        <v/>
      </c>
    </row>
    <row r="29" spans="4:18" x14ac:dyDescent="0.25">
      <c r="D29" s="9"/>
      <c r="E29" s="9"/>
      <c r="F29" s="9"/>
      <c r="G29" s="9"/>
      <c r="H29" s="20"/>
      <c r="I29" s="20" t="str">
        <f t="shared" si="2"/>
        <v/>
      </c>
      <c r="J29" s="20" t="str">
        <f t="shared" si="2"/>
        <v/>
      </c>
      <c r="K29" s="20" t="str">
        <f t="shared" si="2"/>
        <v/>
      </c>
      <c r="L29" s="20" t="str">
        <f t="shared" si="2"/>
        <v/>
      </c>
      <c r="M29" s="20" t="str">
        <f t="shared" si="2"/>
        <v/>
      </c>
      <c r="N29" s="20" t="str">
        <f t="shared" si="2"/>
        <v/>
      </c>
      <c r="O29" s="20" t="str">
        <f t="shared" si="2"/>
        <v/>
      </c>
      <c r="P29" s="20" t="str">
        <f t="shared" si="2"/>
        <v/>
      </c>
      <c r="Q29" s="20" t="str">
        <f t="shared" si="2"/>
        <v/>
      </c>
      <c r="R29" s="20" t="str">
        <f t="shared" si="2"/>
        <v/>
      </c>
    </row>
    <row r="30" spans="4:18" x14ac:dyDescent="0.25">
      <c r="D30" s="9"/>
      <c r="E30" s="9"/>
      <c r="F30" s="9"/>
      <c r="G30" s="9"/>
      <c r="H30" s="20"/>
      <c r="I30" s="20" t="str">
        <f t="shared" si="2"/>
        <v/>
      </c>
      <c r="J30" s="20" t="str">
        <f t="shared" si="2"/>
        <v/>
      </c>
      <c r="K30" s="20" t="str">
        <f t="shared" si="2"/>
        <v/>
      </c>
      <c r="L30" s="20" t="str">
        <f t="shared" si="2"/>
        <v/>
      </c>
      <c r="M30" s="20" t="str">
        <f t="shared" si="2"/>
        <v/>
      </c>
      <c r="N30" s="20" t="str">
        <f t="shared" si="2"/>
        <v/>
      </c>
      <c r="O30" s="20" t="str">
        <f t="shared" si="2"/>
        <v/>
      </c>
      <c r="P30" s="20" t="str">
        <f t="shared" si="2"/>
        <v/>
      </c>
      <c r="Q30" s="20" t="str">
        <f t="shared" si="2"/>
        <v/>
      </c>
      <c r="R30" s="20" t="str">
        <f t="shared" si="2"/>
        <v/>
      </c>
    </row>
    <row r="31" spans="4:18" x14ac:dyDescent="0.25">
      <c r="D31" s="9"/>
      <c r="E31" s="9"/>
      <c r="F31" s="9"/>
      <c r="G31" s="9"/>
      <c r="H31" s="20"/>
      <c r="I31" s="20" t="str">
        <f t="shared" si="2"/>
        <v/>
      </c>
      <c r="J31" s="20" t="str">
        <f t="shared" si="2"/>
        <v/>
      </c>
      <c r="K31" s="20" t="str">
        <f t="shared" si="2"/>
        <v/>
      </c>
      <c r="L31" s="20" t="str">
        <f t="shared" si="2"/>
        <v/>
      </c>
      <c r="M31" s="20" t="str">
        <f t="shared" si="2"/>
        <v/>
      </c>
      <c r="N31" s="20" t="str">
        <f t="shared" si="2"/>
        <v/>
      </c>
      <c r="O31" s="20" t="str">
        <f t="shared" si="2"/>
        <v/>
      </c>
      <c r="P31" s="20" t="str">
        <f t="shared" si="2"/>
        <v/>
      </c>
      <c r="Q31" s="20" t="str">
        <f t="shared" si="2"/>
        <v/>
      </c>
      <c r="R31" s="20" t="str">
        <f t="shared" si="2"/>
        <v/>
      </c>
    </row>
    <row r="32" spans="4:18" x14ac:dyDescent="0.25">
      <c r="D32" s="9"/>
      <c r="E32" s="9"/>
      <c r="F32" s="9"/>
      <c r="G32" s="9"/>
      <c r="H32" s="20"/>
      <c r="I32" s="20" t="str">
        <f t="shared" si="2"/>
        <v/>
      </c>
      <c r="J32" s="20" t="str">
        <f t="shared" si="2"/>
        <v/>
      </c>
      <c r="K32" s="20" t="str">
        <f t="shared" si="2"/>
        <v/>
      </c>
      <c r="L32" s="20" t="str">
        <f t="shared" si="2"/>
        <v/>
      </c>
      <c r="M32" s="20" t="str">
        <f t="shared" si="2"/>
        <v/>
      </c>
      <c r="N32" s="20" t="str">
        <f t="shared" si="2"/>
        <v/>
      </c>
      <c r="O32" s="20" t="str">
        <f t="shared" si="2"/>
        <v/>
      </c>
      <c r="P32" s="20" t="str">
        <f t="shared" si="2"/>
        <v/>
      </c>
      <c r="Q32" s="20" t="str">
        <f t="shared" si="2"/>
        <v/>
      </c>
      <c r="R32" s="20" t="str">
        <f t="shared" si="2"/>
        <v/>
      </c>
    </row>
    <row r="33" spans="4:18" x14ac:dyDescent="0.25">
      <c r="D33" s="9"/>
      <c r="E33" s="9"/>
      <c r="F33" s="9"/>
      <c r="G33" s="9"/>
      <c r="H33" s="20"/>
      <c r="I33" s="20" t="str">
        <f t="shared" si="2"/>
        <v/>
      </c>
      <c r="J33" s="20" t="str">
        <f t="shared" si="2"/>
        <v/>
      </c>
      <c r="K33" s="20" t="str">
        <f t="shared" si="2"/>
        <v/>
      </c>
      <c r="L33" s="20" t="str">
        <f t="shared" si="2"/>
        <v/>
      </c>
      <c r="M33" s="20" t="str">
        <f t="shared" si="2"/>
        <v/>
      </c>
      <c r="N33" s="20" t="str">
        <f t="shared" si="2"/>
        <v/>
      </c>
      <c r="O33" s="20" t="str">
        <f t="shared" si="2"/>
        <v/>
      </c>
      <c r="P33" s="20" t="str">
        <f t="shared" si="2"/>
        <v/>
      </c>
      <c r="Q33" s="20" t="str">
        <f t="shared" si="2"/>
        <v/>
      </c>
      <c r="R33" s="20" t="str">
        <f t="shared" si="2"/>
        <v/>
      </c>
    </row>
    <row r="34" spans="4:18" x14ac:dyDescent="0.25">
      <c r="D34" s="9"/>
      <c r="E34" s="9"/>
      <c r="F34" s="9"/>
      <c r="G34" s="9"/>
      <c r="H34" s="20"/>
      <c r="I34" s="20" t="str">
        <f t="shared" ref="I34:R44" si="3">IF(H34="","",H34)</f>
        <v/>
      </c>
      <c r="J34" s="20" t="str">
        <f t="shared" si="3"/>
        <v/>
      </c>
      <c r="K34" s="20" t="str">
        <f t="shared" si="3"/>
        <v/>
      </c>
      <c r="L34" s="20" t="str">
        <f t="shared" si="3"/>
        <v/>
      </c>
      <c r="M34" s="20" t="str">
        <f t="shared" si="3"/>
        <v/>
      </c>
      <c r="N34" s="20" t="str">
        <f t="shared" si="3"/>
        <v/>
      </c>
      <c r="O34" s="20" t="str">
        <f t="shared" si="3"/>
        <v/>
      </c>
      <c r="P34" s="20" t="str">
        <f t="shared" si="3"/>
        <v/>
      </c>
      <c r="Q34" s="20" t="str">
        <f t="shared" si="3"/>
        <v/>
      </c>
      <c r="R34" s="20" t="str">
        <f t="shared" si="3"/>
        <v/>
      </c>
    </row>
    <row r="35" spans="4:18" x14ac:dyDescent="0.25">
      <c r="D35" s="9"/>
      <c r="E35" s="9"/>
      <c r="F35" s="9"/>
      <c r="G35" s="9"/>
      <c r="H35" s="20"/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20" t="str">
        <f t="shared" si="3"/>
        <v/>
      </c>
      <c r="R35" s="20" t="str">
        <f t="shared" si="3"/>
        <v/>
      </c>
    </row>
    <row r="36" spans="4:18" x14ac:dyDescent="0.25">
      <c r="D36" s="9"/>
      <c r="E36" s="9"/>
      <c r="F36" s="9"/>
      <c r="G36" s="9"/>
      <c r="H36" s="20"/>
      <c r="I36" s="20" t="str">
        <f t="shared" si="3"/>
        <v/>
      </c>
      <c r="J36" s="20" t="str">
        <f t="shared" si="3"/>
        <v/>
      </c>
      <c r="K36" s="20" t="str">
        <f t="shared" si="3"/>
        <v/>
      </c>
      <c r="L36" s="20" t="str">
        <f t="shared" si="3"/>
        <v/>
      </c>
      <c r="M36" s="20" t="str">
        <f t="shared" si="3"/>
        <v/>
      </c>
      <c r="N36" s="20" t="str">
        <f t="shared" si="3"/>
        <v/>
      </c>
      <c r="O36" s="20" t="str">
        <f t="shared" si="3"/>
        <v/>
      </c>
      <c r="P36" s="20" t="str">
        <f t="shared" si="3"/>
        <v/>
      </c>
      <c r="Q36" s="20" t="str">
        <f t="shared" si="3"/>
        <v/>
      </c>
      <c r="R36" s="20" t="str">
        <f t="shared" si="3"/>
        <v/>
      </c>
    </row>
    <row r="37" spans="4:18" x14ac:dyDescent="0.25">
      <c r="D37" s="9"/>
      <c r="E37" s="9"/>
      <c r="F37" s="9"/>
      <c r="G37" s="9"/>
      <c r="H37" s="20"/>
      <c r="I37" s="20" t="str">
        <f t="shared" si="3"/>
        <v/>
      </c>
      <c r="J37" s="20" t="str">
        <f t="shared" si="3"/>
        <v/>
      </c>
      <c r="K37" s="20" t="str">
        <f t="shared" si="3"/>
        <v/>
      </c>
      <c r="L37" s="20" t="str">
        <f t="shared" si="3"/>
        <v/>
      </c>
      <c r="M37" s="20" t="str">
        <f t="shared" si="3"/>
        <v/>
      </c>
      <c r="N37" s="20" t="str">
        <f t="shared" si="3"/>
        <v/>
      </c>
      <c r="O37" s="20" t="str">
        <f t="shared" si="3"/>
        <v/>
      </c>
      <c r="P37" s="20" t="str">
        <f t="shared" si="3"/>
        <v/>
      </c>
      <c r="Q37" s="20" t="str">
        <f t="shared" si="3"/>
        <v/>
      </c>
      <c r="R37" s="20" t="str">
        <f t="shared" si="3"/>
        <v/>
      </c>
    </row>
    <row r="38" spans="4:18" x14ac:dyDescent="0.25">
      <c r="D38" s="9"/>
      <c r="E38" s="9"/>
      <c r="F38" s="9"/>
      <c r="G38" s="9"/>
      <c r="H38" s="20"/>
      <c r="I38" s="20" t="str">
        <f t="shared" si="3"/>
        <v/>
      </c>
      <c r="J38" s="20" t="str">
        <f t="shared" si="3"/>
        <v/>
      </c>
      <c r="K38" s="20" t="str">
        <f t="shared" si="3"/>
        <v/>
      </c>
      <c r="L38" s="20" t="str">
        <f t="shared" si="3"/>
        <v/>
      </c>
      <c r="M38" s="20" t="str">
        <f t="shared" si="3"/>
        <v/>
      </c>
      <c r="N38" s="20" t="str">
        <f t="shared" si="3"/>
        <v/>
      </c>
      <c r="O38" s="20" t="str">
        <f t="shared" si="3"/>
        <v/>
      </c>
      <c r="P38" s="20" t="str">
        <f t="shared" si="3"/>
        <v/>
      </c>
      <c r="Q38" s="20" t="str">
        <f t="shared" si="3"/>
        <v/>
      </c>
      <c r="R38" s="20" t="str">
        <f t="shared" si="3"/>
        <v/>
      </c>
    </row>
    <row r="39" spans="4:18" x14ac:dyDescent="0.25">
      <c r="D39" s="9"/>
      <c r="E39" s="9"/>
      <c r="F39" s="9"/>
      <c r="G39" s="9"/>
      <c r="H39" s="20"/>
      <c r="I39" s="20" t="str">
        <f t="shared" si="3"/>
        <v/>
      </c>
      <c r="J39" s="20" t="str">
        <f t="shared" si="3"/>
        <v/>
      </c>
      <c r="K39" s="20" t="str">
        <f t="shared" si="3"/>
        <v/>
      </c>
      <c r="L39" s="20" t="str">
        <f t="shared" si="3"/>
        <v/>
      </c>
      <c r="M39" s="20" t="str">
        <f t="shared" si="3"/>
        <v/>
      </c>
      <c r="N39" s="20" t="str">
        <f t="shared" si="3"/>
        <v/>
      </c>
      <c r="O39" s="20" t="str">
        <f t="shared" si="3"/>
        <v/>
      </c>
      <c r="P39" s="20" t="str">
        <f t="shared" si="3"/>
        <v/>
      </c>
      <c r="Q39" s="20" t="str">
        <f t="shared" si="3"/>
        <v/>
      </c>
      <c r="R39" s="20" t="str">
        <f t="shared" si="3"/>
        <v/>
      </c>
    </row>
    <row r="40" spans="4:18" x14ac:dyDescent="0.25">
      <c r="D40" s="9"/>
      <c r="E40" s="9"/>
      <c r="F40" s="9"/>
      <c r="G40" s="9"/>
      <c r="H40" s="20"/>
      <c r="I40" s="20" t="str">
        <f t="shared" si="3"/>
        <v/>
      </c>
      <c r="J40" s="20" t="str">
        <f t="shared" si="3"/>
        <v/>
      </c>
      <c r="K40" s="20" t="str">
        <f t="shared" si="3"/>
        <v/>
      </c>
      <c r="L40" s="20" t="str">
        <f t="shared" si="3"/>
        <v/>
      </c>
      <c r="M40" s="20" t="str">
        <f t="shared" si="3"/>
        <v/>
      </c>
      <c r="N40" s="20" t="str">
        <f t="shared" si="3"/>
        <v/>
      </c>
      <c r="O40" s="20" t="str">
        <f t="shared" si="3"/>
        <v/>
      </c>
      <c r="P40" s="20" t="str">
        <f t="shared" si="3"/>
        <v/>
      </c>
      <c r="Q40" s="20" t="str">
        <f t="shared" si="3"/>
        <v/>
      </c>
      <c r="R40" s="20" t="str">
        <f t="shared" si="3"/>
        <v/>
      </c>
    </row>
    <row r="41" spans="4:18" x14ac:dyDescent="0.25">
      <c r="D41" s="9"/>
      <c r="E41" s="9"/>
      <c r="F41" s="9"/>
      <c r="G41" s="9"/>
      <c r="H41" s="20"/>
      <c r="I41" s="20" t="str">
        <f t="shared" si="3"/>
        <v/>
      </c>
      <c r="J41" s="20" t="str">
        <f t="shared" si="3"/>
        <v/>
      </c>
      <c r="K41" s="20" t="str">
        <f t="shared" si="3"/>
        <v/>
      </c>
      <c r="L41" s="20" t="str">
        <f t="shared" si="3"/>
        <v/>
      </c>
      <c r="M41" s="20" t="str">
        <f t="shared" si="3"/>
        <v/>
      </c>
      <c r="N41" s="20" t="str">
        <f t="shared" si="3"/>
        <v/>
      </c>
      <c r="O41" s="20" t="str">
        <f t="shared" si="3"/>
        <v/>
      </c>
      <c r="P41" s="20" t="str">
        <f t="shared" si="3"/>
        <v/>
      </c>
      <c r="Q41" s="20" t="str">
        <f t="shared" si="3"/>
        <v/>
      </c>
      <c r="R41" s="20" t="str">
        <f t="shared" si="3"/>
        <v/>
      </c>
    </row>
    <row r="42" spans="4:18" x14ac:dyDescent="0.25">
      <c r="D42" s="9"/>
      <c r="E42" s="9"/>
      <c r="F42" s="9"/>
      <c r="G42" s="9"/>
      <c r="H42" s="20"/>
      <c r="I42" s="20" t="str">
        <f t="shared" si="3"/>
        <v/>
      </c>
      <c r="J42" s="20" t="str">
        <f t="shared" si="3"/>
        <v/>
      </c>
      <c r="K42" s="20" t="str">
        <f t="shared" si="3"/>
        <v/>
      </c>
      <c r="L42" s="20" t="str">
        <f t="shared" si="3"/>
        <v/>
      </c>
      <c r="M42" s="20" t="str">
        <f t="shared" si="3"/>
        <v/>
      </c>
      <c r="N42" s="20" t="str">
        <f t="shared" si="3"/>
        <v/>
      </c>
      <c r="O42" s="20" t="str">
        <f t="shared" si="3"/>
        <v/>
      </c>
      <c r="P42" s="20" t="str">
        <f t="shared" si="3"/>
        <v/>
      </c>
      <c r="Q42" s="20" t="str">
        <f t="shared" si="3"/>
        <v/>
      </c>
      <c r="R42" s="20" t="str">
        <f t="shared" si="3"/>
        <v/>
      </c>
    </row>
    <row r="43" spans="4:18" x14ac:dyDescent="0.25">
      <c r="D43" s="9"/>
      <c r="E43" s="9"/>
      <c r="F43" s="9"/>
      <c r="G43" s="9"/>
      <c r="H43" s="20"/>
      <c r="I43" s="20" t="str">
        <f t="shared" si="3"/>
        <v/>
      </c>
      <c r="J43" s="20" t="str">
        <f t="shared" si="3"/>
        <v/>
      </c>
      <c r="K43" s="20" t="str">
        <f t="shared" si="3"/>
        <v/>
      </c>
      <c r="L43" s="20" t="str">
        <f t="shared" si="3"/>
        <v/>
      </c>
      <c r="M43" s="20" t="str">
        <f t="shared" si="3"/>
        <v/>
      </c>
      <c r="N43" s="20" t="str">
        <f t="shared" si="3"/>
        <v/>
      </c>
      <c r="O43" s="20" t="str">
        <f t="shared" si="3"/>
        <v/>
      </c>
      <c r="P43" s="20" t="str">
        <f t="shared" si="3"/>
        <v/>
      </c>
      <c r="Q43" s="20" t="str">
        <f t="shared" si="3"/>
        <v/>
      </c>
      <c r="R43" s="20" t="str">
        <f t="shared" si="3"/>
        <v/>
      </c>
    </row>
    <row r="44" spans="4:18" ht="15.75" thickBot="1" x14ac:dyDescent="0.3">
      <c r="D44" s="10"/>
      <c r="E44" s="10"/>
      <c r="F44" s="10"/>
      <c r="G44" s="10"/>
      <c r="H44" s="28"/>
      <c r="I44" s="28" t="str">
        <f t="shared" si="3"/>
        <v/>
      </c>
      <c r="J44" s="28" t="str">
        <f t="shared" si="3"/>
        <v/>
      </c>
      <c r="K44" s="28" t="str">
        <f t="shared" si="3"/>
        <v/>
      </c>
      <c r="L44" s="28" t="str">
        <f t="shared" si="3"/>
        <v/>
      </c>
      <c r="M44" s="28" t="str">
        <f t="shared" si="3"/>
        <v/>
      </c>
      <c r="N44" s="28" t="str">
        <f t="shared" si="3"/>
        <v/>
      </c>
      <c r="O44" s="28" t="str">
        <f t="shared" si="3"/>
        <v/>
      </c>
      <c r="P44" s="28" t="str">
        <f t="shared" si="3"/>
        <v/>
      </c>
      <c r="Q44" s="28" t="str">
        <f t="shared" si="3"/>
        <v/>
      </c>
      <c r="R44" s="28" t="str">
        <f t="shared" si="3"/>
        <v/>
      </c>
    </row>
    <row r="45" spans="4:18" x14ac:dyDescent="0.25">
      <c r="D45" s="5" t="e">
        <v>#N/A</v>
      </c>
      <c r="F45" s="5" t="e">
        <v>#N/A</v>
      </c>
      <c r="G45" s="5" t="e">
        <v>#N/A</v>
      </c>
      <c r="H45" s="5" t="e">
        <v>#N/A</v>
      </c>
      <c r="I45" s="5" t="e">
        <v>#N/A</v>
      </c>
      <c r="J45" s="5" t="e">
        <v>#N/A</v>
      </c>
      <c r="K45" s="5" t="e">
        <v>#N/A</v>
      </c>
      <c r="L45" s="5" t="e">
        <v>#N/A</v>
      </c>
      <c r="M45" s="5" t="e">
        <v>#N/A</v>
      </c>
      <c r="N45" s="5" t="e">
        <v>#N/A</v>
      </c>
      <c r="O45" s="5" t="e">
        <v>#N/A</v>
      </c>
      <c r="P45" s="5" t="e">
        <v>#N/A</v>
      </c>
      <c r="Q45" s="5" t="e">
        <v>#N/A</v>
      </c>
      <c r="R45" s="5" t="e">
        <v>#N/A</v>
      </c>
    </row>
  </sheetData>
  <dataValidations count="4">
    <dataValidation type="list" allowBlank="1" showInputMessage="1" showErrorMessage="1" sqref="E5:E44">
      <formula1>PAPInputs</formula1>
    </dataValidation>
    <dataValidation type="list" allowBlank="1" showInputMessage="1" showErrorMessage="1" sqref="D5:D44">
      <formula1>PAPProcess</formula1>
    </dataValidation>
    <dataValidation type="list" allowBlank="1" showInputMessage="1" showErrorMessage="1" sqref="F5:F44">
      <formula1>PAPProducts</formula1>
    </dataValidation>
    <dataValidation type="list" allowBlank="1" showInputMessage="1" showErrorMessage="1" sqref="G5:G44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rgb="FF548235"/>
  </sheetPr>
  <dimension ref="B1:V48"/>
  <sheetViews>
    <sheetView zoomScaleNormal="100" workbookViewId="0">
      <selection activeCell="V16" sqref="V16"/>
    </sheetView>
  </sheetViews>
  <sheetFormatPr baseColWidth="10" defaultColWidth="11.5703125" defaultRowHeight="15" x14ac:dyDescent="0.25"/>
  <cols>
    <col min="1" max="3" width="3.5703125" style="5" customWidth="1"/>
    <col min="4" max="4" width="15.5703125" style="5" customWidth="1"/>
    <col min="5" max="5" width="30.5703125" style="5" customWidth="1"/>
    <col min="6" max="10" width="15.5703125" style="5" customWidth="1"/>
    <col min="11" max="21" width="8.5703125" style="5" customWidth="1"/>
    <col min="22" max="16384" width="11.5703125" style="5"/>
  </cols>
  <sheetData>
    <row r="1" spans="2:21" s="70" customFormat="1" ht="25.35" customHeight="1" x14ac:dyDescent="0.25">
      <c r="B1" s="69" t="s">
        <v>231</v>
      </c>
    </row>
    <row r="3" spans="2:21" ht="15.75" thickBot="1" x14ac:dyDescent="0.3">
      <c r="D3" s="38" t="str">
        <f>JESA_UploadTable(B1,D4:U40,db)</f>
        <v>PAP opex &amp; specific consumptions @09:45:19</v>
      </c>
    </row>
    <row r="4" spans="2:21" ht="30" customHeight="1" thickBot="1" x14ac:dyDescent="0.3">
      <c r="D4" s="71" t="s">
        <v>8</v>
      </c>
      <c r="E4" s="71" t="s">
        <v>25</v>
      </c>
      <c r="F4" s="73" t="s">
        <v>268</v>
      </c>
      <c r="G4" s="71" t="s">
        <v>230</v>
      </c>
      <c r="H4" s="71" t="s">
        <v>12</v>
      </c>
      <c r="I4" s="71" t="s">
        <v>24</v>
      </c>
      <c r="J4" s="73" t="s">
        <v>17</v>
      </c>
      <c r="K4" s="75" t="s">
        <v>37</v>
      </c>
      <c r="L4" s="75" t="s">
        <v>38</v>
      </c>
      <c r="M4" s="75" t="s">
        <v>39</v>
      </c>
      <c r="N4" s="75" t="s">
        <v>40</v>
      </c>
      <c r="O4" s="75" t="s">
        <v>41</v>
      </c>
      <c r="P4" s="75" t="s">
        <v>42</v>
      </c>
      <c r="Q4" s="75" t="s">
        <v>43</v>
      </c>
      <c r="R4" s="75" t="s">
        <v>44</v>
      </c>
      <c r="S4" s="75" t="s">
        <v>45</v>
      </c>
      <c r="T4" s="75" t="s">
        <v>46</v>
      </c>
      <c r="U4" s="75" t="s">
        <v>47</v>
      </c>
    </row>
    <row r="5" spans="2:21" x14ac:dyDescent="0.25">
      <c r="D5" s="8" t="s">
        <v>3</v>
      </c>
      <c r="E5" s="8" t="s">
        <v>196</v>
      </c>
      <c r="F5" s="8">
        <v>500</v>
      </c>
      <c r="G5" s="8" t="s">
        <v>290</v>
      </c>
      <c r="H5" s="8" t="s">
        <v>13</v>
      </c>
      <c r="I5" s="8" t="s">
        <v>458</v>
      </c>
      <c r="J5" s="8" t="s">
        <v>59</v>
      </c>
      <c r="K5" s="17">
        <v>7.9</v>
      </c>
      <c r="L5" s="18">
        <v>7.9</v>
      </c>
      <c r="M5" s="18">
        <v>7.9</v>
      </c>
      <c r="N5" s="18">
        <v>7.9</v>
      </c>
      <c r="O5" s="18">
        <v>7.9</v>
      </c>
      <c r="P5" s="18">
        <v>7.9</v>
      </c>
      <c r="Q5" s="18">
        <v>7.9</v>
      </c>
      <c r="R5" s="18">
        <v>7.9</v>
      </c>
      <c r="S5" s="18">
        <v>7.9</v>
      </c>
      <c r="T5" s="18">
        <v>7.9</v>
      </c>
      <c r="U5" s="18">
        <v>7.9</v>
      </c>
    </row>
    <row r="6" spans="2:21" x14ac:dyDescent="0.25">
      <c r="D6" s="9" t="s">
        <v>3</v>
      </c>
      <c r="E6" s="9" t="s">
        <v>196</v>
      </c>
      <c r="F6" s="9">
        <v>500</v>
      </c>
      <c r="G6" s="9" t="s">
        <v>290</v>
      </c>
      <c r="H6" s="9" t="s">
        <v>15</v>
      </c>
      <c r="I6" s="9" t="s">
        <v>458</v>
      </c>
      <c r="J6" s="9" t="s">
        <v>63</v>
      </c>
      <c r="K6" s="18">
        <v>150</v>
      </c>
      <c r="L6" s="18">
        <v>150</v>
      </c>
      <c r="M6" s="18">
        <v>150</v>
      </c>
      <c r="N6" s="18">
        <v>150</v>
      </c>
      <c r="O6" s="18">
        <v>150</v>
      </c>
      <c r="P6" s="18">
        <v>150</v>
      </c>
      <c r="Q6" s="18">
        <v>150</v>
      </c>
      <c r="R6" s="18">
        <v>150</v>
      </c>
      <c r="S6" s="18">
        <v>150</v>
      </c>
      <c r="T6" s="18">
        <v>150</v>
      </c>
      <c r="U6" s="18">
        <v>150</v>
      </c>
    </row>
    <row r="7" spans="2:21" x14ac:dyDescent="0.25">
      <c r="D7" s="9" t="s">
        <v>3</v>
      </c>
      <c r="E7" s="9" t="s">
        <v>196</v>
      </c>
      <c r="F7" s="9">
        <v>500</v>
      </c>
      <c r="G7" s="9" t="s">
        <v>290</v>
      </c>
      <c r="H7" s="9" t="s">
        <v>29</v>
      </c>
      <c r="I7" s="9" t="s">
        <v>458</v>
      </c>
      <c r="J7" s="9" t="s">
        <v>55</v>
      </c>
      <c r="K7" s="18">
        <v>3</v>
      </c>
      <c r="L7" s="18">
        <v>3</v>
      </c>
      <c r="M7" s="18">
        <v>3</v>
      </c>
      <c r="N7" s="18">
        <v>3</v>
      </c>
      <c r="O7" s="18">
        <v>3</v>
      </c>
      <c r="P7" s="18">
        <v>3</v>
      </c>
      <c r="Q7" s="18">
        <v>3</v>
      </c>
      <c r="R7" s="18">
        <v>3</v>
      </c>
      <c r="S7" s="18">
        <v>3</v>
      </c>
      <c r="T7" s="18">
        <v>3</v>
      </c>
      <c r="U7" s="18">
        <v>3</v>
      </c>
    </row>
    <row r="8" spans="2:21" x14ac:dyDescent="0.25">
      <c r="D8" s="9" t="s">
        <v>3</v>
      </c>
      <c r="E8" s="9" t="s">
        <v>196</v>
      </c>
      <c r="F8" s="9">
        <v>500</v>
      </c>
      <c r="G8" s="9" t="s">
        <v>290</v>
      </c>
      <c r="H8" s="9" t="s">
        <v>290</v>
      </c>
      <c r="I8" s="9" t="s">
        <v>458</v>
      </c>
      <c r="J8" s="9" t="s">
        <v>187</v>
      </c>
      <c r="K8" s="18">
        <v>3.6</v>
      </c>
      <c r="L8" s="18">
        <v>3.6</v>
      </c>
      <c r="M8" s="18">
        <v>3.6</v>
      </c>
      <c r="N8" s="18">
        <v>3.6</v>
      </c>
      <c r="O8" s="18">
        <v>3.6</v>
      </c>
      <c r="P8" s="18">
        <v>3.6</v>
      </c>
      <c r="Q8" s="18">
        <v>3.6</v>
      </c>
      <c r="R8" s="18">
        <v>3.6</v>
      </c>
      <c r="S8" s="18">
        <v>3.6</v>
      </c>
      <c r="T8" s="18">
        <v>3.6</v>
      </c>
      <c r="U8" s="18">
        <v>3.6</v>
      </c>
    </row>
    <row r="9" spans="2:21" ht="15.75" thickBot="1" x14ac:dyDescent="0.3">
      <c r="D9" s="74" t="s">
        <v>3</v>
      </c>
      <c r="E9" s="74" t="s">
        <v>196</v>
      </c>
      <c r="F9" s="74">
        <v>500</v>
      </c>
      <c r="G9" s="74" t="s">
        <v>290</v>
      </c>
      <c r="H9" s="74" t="s">
        <v>22</v>
      </c>
      <c r="I9" s="74" t="s">
        <v>458</v>
      </c>
      <c r="J9" s="74" t="s">
        <v>129</v>
      </c>
      <c r="K9" s="76">
        <v>275</v>
      </c>
      <c r="L9" s="76">
        <v>275</v>
      </c>
      <c r="M9" s="76">
        <v>275</v>
      </c>
      <c r="N9" s="76">
        <v>275</v>
      </c>
      <c r="O9" s="76">
        <v>275</v>
      </c>
      <c r="P9" s="76">
        <v>275</v>
      </c>
      <c r="Q9" s="76">
        <v>275</v>
      </c>
      <c r="R9" s="76">
        <v>275</v>
      </c>
      <c r="S9" s="76">
        <v>275</v>
      </c>
      <c r="T9" s="76">
        <v>275</v>
      </c>
      <c r="U9" s="76">
        <v>275</v>
      </c>
    </row>
    <row r="10" spans="2:21" x14ac:dyDescent="0.25">
      <c r="D10" s="8" t="s">
        <v>3</v>
      </c>
      <c r="E10" s="8" t="s">
        <v>196</v>
      </c>
      <c r="F10" s="8">
        <v>750</v>
      </c>
      <c r="G10" s="8" t="s">
        <v>290</v>
      </c>
      <c r="H10" s="8" t="s">
        <v>13</v>
      </c>
      <c r="I10" s="8" t="s">
        <v>458</v>
      </c>
      <c r="J10" s="8" t="s">
        <v>59</v>
      </c>
      <c r="K10" s="40">
        <v>7.9</v>
      </c>
      <c r="L10" s="40">
        <v>7.9</v>
      </c>
      <c r="M10" s="40">
        <v>7.9</v>
      </c>
      <c r="N10" s="40">
        <v>7.9</v>
      </c>
      <c r="O10" s="40">
        <v>7.9</v>
      </c>
      <c r="P10" s="40">
        <v>7.9</v>
      </c>
      <c r="Q10" s="40">
        <v>7.9</v>
      </c>
      <c r="R10" s="40">
        <v>7.9</v>
      </c>
      <c r="S10" s="40">
        <v>7.9</v>
      </c>
      <c r="T10" s="40">
        <v>7.9</v>
      </c>
      <c r="U10" s="40">
        <v>7.9</v>
      </c>
    </row>
    <row r="11" spans="2:21" x14ac:dyDescent="0.25">
      <c r="D11" s="9" t="s">
        <v>3</v>
      </c>
      <c r="E11" s="9" t="s">
        <v>196</v>
      </c>
      <c r="F11" s="9">
        <v>750</v>
      </c>
      <c r="G11" s="9" t="s">
        <v>290</v>
      </c>
      <c r="H11" s="9" t="s">
        <v>15</v>
      </c>
      <c r="I11" s="9" t="s">
        <v>458</v>
      </c>
      <c r="J11" s="9" t="s">
        <v>63</v>
      </c>
      <c r="K11" s="41">
        <v>150</v>
      </c>
      <c r="L11" s="41">
        <v>150</v>
      </c>
      <c r="M11" s="41">
        <v>150</v>
      </c>
      <c r="N11" s="41">
        <v>150</v>
      </c>
      <c r="O11" s="41">
        <v>150</v>
      </c>
      <c r="P11" s="41">
        <v>150</v>
      </c>
      <c r="Q11" s="41">
        <v>150</v>
      </c>
      <c r="R11" s="41">
        <v>150</v>
      </c>
      <c r="S11" s="41">
        <v>150</v>
      </c>
      <c r="T11" s="41">
        <v>150</v>
      </c>
      <c r="U11" s="41">
        <v>150</v>
      </c>
    </row>
    <row r="12" spans="2:21" x14ac:dyDescent="0.25">
      <c r="D12" s="9" t="s">
        <v>3</v>
      </c>
      <c r="E12" s="9" t="s">
        <v>196</v>
      </c>
      <c r="F12" s="9">
        <v>750</v>
      </c>
      <c r="G12" s="9" t="s">
        <v>290</v>
      </c>
      <c r="H12" s="9" t="s">
        <v>29</v>
      </c>
      <c r="I12" s="9" t="s">
        <v>458</v>
      </c>
      <c r="J12" s="9" t="s">
        <v>55</v>
      </c>
      <c r="K12" s="18">
        <v>3</v>
      </c>
      <c r="L12" s="18">
        <v>3</v>
      </c>
      <c r="M12" s="18">
        <v>3</v>
      </c>
      <c r="N12" s="18">
        <v>3</v>
      </c>
      <c r="O12" s="18">
        <v>3</v>
      </c>
      <c r="P12" s="18">
        <v>3</v>
      </c>
      <c r="Q12" s="18">
        <v>3</v>
      </c>
      <c r="R12" s="18">
        <v>3</v>
      </c>
      <c r="S12" s="18">
        <v>3</v>
      </c>
      <c r="T12" s="18">
        <v>3</v>
      </c>
      <c r="U12" s="18">
        <v>3</v>
      </c>
    </row>
    <row r="13" spans="2:21" x14ac:dyDescent="0.25">
      <c r="D13" s="9" t="s">
        <v>3</v>
      </c>
      <c r="E13" s="9" t="s">
        <v>196</v>
      </c>
      <c r="F13" s="9">
        <v>750</v>
      </c>
      <c r="G13" s="9" t="s">
        <v>290</v>
      </c>
      <c r="H13" s="9" t="s">
        <v>290</v>
      </c>
      <c r="I13" s="9" t="s">
        <v>458</v>
      </c>
      <c r="J13" s="9" t="s">
        <v>187</v>
      </c>
      <c r="K13" s="41">
        <v>3.6</v>
      </c>
      <c r="L13" s="41">
        <v>3.6</v>
      </c>
      <c r="M13" s="41">
        <v>3.6</v>
      </c>
      <c r="N13" s="41">
        <v>3.6</v>
      </c>
      <c r="O13" s="41">
        <v>3.6</v>
      </c>
      <c r="P13" s="41">
        <v>3.6</v>
      </c>
      <c r="Q13" s="41">
        <v>3.6</v>
      </c>
      <c r="R13" s="41">
        <v>3.6</v>
      </c>
      <c r="S13" s="41">
        <v>3.6</v>
      </c>
      <c r="T13" s="41">
        <v>3.6</v>
      </c>
      <c r="U13" s="41">
        <v>3.6</v>
      </c>
    </row>
    <row r="14" spans="2:21" ht="15.75" thickBot="1" x14ac:dyDescent="0.3">
      <c r="D14" s="10" t="s">
        <v>3</v>
      </c>
      <c r="E14" s="10" t="s">
        <v>196</v>
      </c>
      <c r="F14" s="10">
        <v>750</v>
      </c>
      <c r="G14" s="10" t="s">
        <v>290</v>
      </c>
      <c r="H14" s="10" t="s">
        <v>22</v>
      </c>
      <c r="I14" s="10" t="s">
        <v>458</v>
      </c>
      <c r="J14" s="10" t="s">
        <v>129</v>
      </c>
      <c r="K14" s="42">
        <v>265</v>
      </c>
      <c r="L14" s="42">
        <v>265</v>
      </c>
      <c r="M14" s="42">
        <v>265</v>
      </c>
      <c r="N14" s="42">
        <v>265</v>
      </c>
      <c r="O14" s="42">
        <v>265</v>
      </c>
      <c r="P14" s="42">
        <v>265</v>
      </c>
      <c r="Q14" s="42">
        <v>265</v>
      </c>
      <c r="R14" s="42">
        <v>265</v>
      </c>
      <c r="S14" s="42">
        <v>265</v>
      </c>
      <c r="T14" s="42">
        <v>265</v>
      </c>
      <c r="U14" s="42">
        <v>265</v>
      </c>
    </row>
    <row r="15" spans="2:21" x14ac:dyDescent="0.25">
      <c r="D15" s="8" t="s">
        <v>26</v>
      </c>
      <c r="E15" s="8" t="s">
        <v>196</v>
      </c>
      <c r="F15" s="8">
        <v>500</v>
      </c>
      <c r="G15" s="8" t="s">
        <v>290</v>
      </c>
      <c r="H15" s="8" t="s">
        <v>13</v>
      </c>
      <c r="I15" s="8" t="s">
        <v>458</v>
      </c>
      <c r="J15" s="8" t="s">
        <v>59</v>
      </c>
      <c r="K15" s="17">
        <v>7.9</v>
      </c>
      <c r="L15" s="18">
        <v>7.9</v>
      </c>
      <c r="M15" s="18">
        <v>7.9</v>
      </c>
      <c r="N15" s="18">
        <v>7.9</v>
      </c>
      <c r="O15" s="18">
        <v>7.9</v>
      </c>
      <c r="P15" s="18">
        <v>7.9</v>
      </c>
      <c r="Q15" s="18">
        <v>7.9</v>
      </c>
      <c r="R15" s="18">
        <v>7.9</v>
      </c>
      <c r="S15" s="18">
        <v>7.9</v>
      </c>
      <c r="T15" s="18">
        <v>7.9</v>
      </c>
      <c r="U15" s="18">
        <v>7.9</v>
      </c>
    </row>
    <row r="16" spans="2:21" x14ac:dyDescent="0.25">
      <c r="D16" s="9" t="s">
        <v>26</v>
      </c>
      <c r="E16" s="9" t="s">
        <v>196</v>
      </c>
      <c r="F16" s="9">
        <v>500</v>
      </c>
      <c r="G16" s="9" t="s">
        <v>290</v>
      </c>
      <c r="H16" s="9" t="s">
        <v>15</v>
      </c>
      <c r="I16" s="9" t="s">
        <v>458</v>
      </c>
      <c r="J16" s="9" t="s">
        <v>63</v>
      </c>
      <c r="K16" s="18">
        <v>150</v>
      </c>
      <c r="L16" s="18">
        <v>150</v>
      </c>
      <c r="M16" s="18">
        <v>150</v>
      </c>
      <c r="N16" s="18">
        <v>150</v>
      </c>
      <c r="O16" s="18">
        <v>150</v>
      </c>
      <c r="P16" s="18">
        <v>150</v>
      </c>
      <c r="Q16" s="18">
        <v>150</v>
      </c>
      <c r="R16" s="18">
        <v>150</v>
      </c>
      <c r="S16" s="18">
        <v>150</v>
      </c>
      <c r="T16" s="18">
        <v>150</v>
      </c>
      <c r="U16" s="18">
        <v>150</v>
      </c>
    </row>
    <row r="17" spans="4:22" x14ac:dyDescent="0.25">
      <c r="D17" s="9" t="s">
        <v>26</v>
      </c>
      <c r="E17" s="9" t="s">
        <v>196</v>
      </c>
      <c r="F17" s="9">
        <v>500</v>
      </c>
      <c r="G17" s="9" t="s">
        <v>290</v>
      </c>
      <c r="H17" s="9" t="s">
        <v>29</v>
      </c>
      <c r="I17" s="9" t="s">
        <v>458</v>
      </c>
      <c r="J17" s="9" t="s">
        <v>55</v>
      </c>
      <c r="K17" s="18">
        <v>3</v>
      </c>
      <c r="L17" s="18">
        <v>3</v>
      </c>
      <c r="M17" s="18">
        <v>3</v>
      </c>
      <c r="N17" s="18">
        <v>3</v>
      </c>
      <c r="O17" s="18">
        <v>3</v>
      </c>
      <c r="P17" s="18">
        <v>3</v>
      </c>
      <c r="Q17" s="18">
        <v>3</v>
      </c>
      <c r="R17" s="18">
        <v>3</v>
      </c>
      <c r="S17" s="18">
        <v>3</v>
      </c>
      <c r="T17" s="18">
        <v>3</v>
      </c>
      <c r="U17" s="18">
        <v>3</v>
      </c>
    </row>
    <row r="18" spans="4:22" x14ac:dyDescent="0.25">
      <c r="D18" s="9" t="s">
        <v>26</v>
      </c>
      <c r="E18" s="9" t="s">
        <v>196</v>
      </c>
      <c r="F18" s="9">
        <v>500</v>
      </c>
      <c r="G18" s="9" t="s">
        <v>290</v>
      </c>
      <c r="H18" s="9" t="s">
        <v>290</v>
      </c>
      <c r="I18" s="9" t="s">
        <v>458</v>
      </c>
      <c r="J18" s="9" t="s">
        <v>187</v>
      </c>
      <c r="K18" s="18">
        <v>3.6</v>
      </c>
      <c r="L18" s="18">
        <v>3.6</v>
      </c>
      <c r="M18" s="18">
        <v>3.6</v>
      </c>
      <c r="N18" s="18">
        <v>3.6</v>
      </c>
      <c r="O18" s="18">
        <v>3.6</v>
      </c>
      <c r="P18" s="18">
        <v>3.6</v>
      </c>
      <c r="Q18" s="18">
        <v>3.6</v>
      </c>
      <c r="R18" s="18">
        <v>3.6</v>
      </c>
      <c r="S18" s="18">
        <v>3.6</v>
      </c>
      <c r="T18" s="18">
        <v>3.6</v>
      </c>
      <c r="U18" s="18">
        <v>3.6</v>
      </c>
    </row>
    <row r="19" spans="4:22" ht="15.75" thickBot="1" x14ac:dyDescent="0.3">
      <c r="D19" s="74" t="s">
        <v>26</v>
      </c>
      <c r="E19" s="74" t="s">
        <v>196</v>
      </c>
      <c r="F19" s="74">
        <v>500</v>
      </c>
      <c r="G19" s="74" t="s">
        <v>290</v>
      </c>
      <c r="H19" s="74" t="s">
        <v>22</v>
      </c>
      <c r="I19" s="74" t="s">
        <v>458</v>
      </c>
      <c r="J19" s="74" t="s">
        <v>129</v>
      </c>
      <c r="K19" s="76">
        <v>275</v>
      </c>
      <c r="L19" s="76">
        <v>275</v>
      </c>
      <c r="M19" s="76">
        <v>275</v>
      </c>
      <c r="N19" s="76">
        <v>275</v>
      </c>
      <c r="O19" s="76">
        <v>275</v>
      </c>
      <c r="P19" s="76">
        <v>275</v>
      </c>
      <c r="Q19" s="76">
        <v>275</v>
      </c>
      <c r="R19" s="76">
        <v>275</v>
      </c>
      <c r="S19" s="76">
        <v>275</v>
      </c>
      <c r="T19" s="76">
        <v>275</v>
      </c>
      <c r="U19" s="76">
        <v>275</v>
      </c>
    </row>
    <row r="20" spans="4:22" x14ac:dyDescent="0.25">
      <c r="D20" s="8" t="s">
        <v>26</v>
      </c>
      <c r="E20" s="8" t="s">
        <v>196</v>
      </c>
      <c r="F20" s="8">
        <v>750</v>
      </c>
      <c r="G20" s="8" t="s">
        <v>290</v>
      </c>
      <c r="H20" s="8" t="s">
        <v>13</v>
      </c>
      <c r="I20" s="8" t="s">
        <v>458</v>
      </c>
      <c r="J20" s="8" t="s">
        <v>59</v>
      </c>
      <c r="K20" s="17">
        <v>7.9</v>
      </c>
      <c r="L20" s="17">
        <v>7.9</v>
      </c>
      <c r="M20" s="17">
        <v>7.9</v>
      </c>
      <c r="N20" s="17">
        <v>7.9</v>
      </c>
      <c r="O20" s="17">
        <v>7.9</v>
      </c>
      <c r="P20" s="17">
        <v>7.9</v>
      </c>
      <c r="Q20" s="17">
        <v>7.9</v>
      </c>
      <c r="R20" s="17">
        <v>7.9</v>
      </c>
      <c r="S20" s="17">
        <v>7.9</v>
      </c>
      <c r="T20" s="17">
        <v>7.9</v>
      </c>
      <c r="U20" s="17">
        <v>7.9</v>
      </c>
    </row>
    <row r="21" spans="4:22" x14ac:dyDescent="0.25">
      <c r="D21" s="9" t="s">
        <v>26</v>
      </c>
      <c r="E21" s="9" t="s">
        <v>196</v>
      </c>
      <c r="F21" s="9">
        <v>750</v>
      </c>
      <c r="G21" s="9" t="s">
        <v>290</v>
      </c>
      <c r="H21" s="9" t="s">
        <v>15</v>
      </c>
      <c r="I21" s="9" t="s">
        <v>458</v>
      </c>
      <c r="J21" s="9" t="s">
        <v>63</v>
      </c>
      <c r="K21" s="18">
        <v>150</v>
      </c>
      <c r="L21" s="18">
        <v>150</v>
      </c>
      <c r="M21" s="18">
        <v>150</v>
      </c>
      <c r="N21" s="18">
        <v>150</v>
      </c>
      <c r="O21" s="18">
        <v>150</v>
      </c>
      <c r="P21" s="18">
        <v>150</v>
      </c>
      <c r="Q21" s="18">
        <v>150</v>
      </c>
      <c r="R21" s="18">
        <v>150</v>
      </c>
      <c r="S21" s="18">
        <v>150</v>
      </c>
      <c r="T21" s="18">
        <v>150</v>
      </c>
      <c r="U21" s="18">
        <v>150</v>
      </c>
    </row>
    <row r="22" spans="4:22" x14ac:dyDescent="0.25">
      <c r="D22" s="9" t="s">
        <v>26</v>
      </c>
      <c r="E22" s="9" t="s">
        <v>196</v>
      </c>
      <c r="F22" s="9">
        <v>750</v>
      </c>
      <c r="G22" s="9" t="s">
        <v>290</v>
      </c>
      <c r="H22" s="9" t="s">
        <v>29</v>
      </c>
      <c r="I22" s="9" t="s">
        <v>458</v>
      </c>
      <c r="J22" s="9" t="s">
        <v>55</v>
      </c>
      <c r="K22" s="18">
        <v>3</v>
      </c>
      <c r="L22" s="18">
        <v>3</v>
      </c>
      <c r="M22" s="18">
        <v>3</v>
      </c>
      <c r="N22" s="18">
        <v>3</v>
      </c>
      <c r="O22" s="18">
        <v>3</v>
      </c>
      <c r="P22" s="18">
        <v>3</v>
      </c>
      <c r="Q22" s="18">
        <v>3</v>
      </c>
      <c r="R22" s="18">
        <v>3</v>
      </c>
      <c r="S22" s="18">
        <v>3</v>
      </c>
      <c r="T22" s="18">
        <v>3</v>
      </c>
      <c r="U22" s="18">
        <v>3</v>
      </c>
    </row>
    <row r="23" spans="4:22" x14ac:dyDescent="0.25">
      <c r="D23" s="9" t="s">
        <v>26</v>
      </c>
      <c r="E23" s="9" t="s">
        <v>196</v>
      </c>
      <c r="F23" s="9">
        <v>750</v>
      </c>
      <c r="G23" s="9" t="s">
        <v>290</v>
      </c>
      <c r="H23" s="9" t="s">
        <v>290</v>
      </c>
      <c r="I23" s="9" t="s">
        <v>458</v>
      </c>
      <c r="J23" s="9" t="s">
        <v>187</v>
      </c>
      <c r="K23" s="18">
        <v>3.6</v>
      </c>
      <c r="L23" s="18">
        <v>3.6</v>
      </c>
      <c r="M23" s="18">
        <v>3.6</v>
      </c>
      <c r="N23" s="18">
        <v>3.6</v>
      </c>
      <c r="O23" s="18">
        <v>3.6</v>
      </c>
      <c r="P23" s="18">
        <v>3.6</v>
      </c>
      <c r="Q23" s="18">
        <v>3.6</v>
      </c>
      <c r="R23" s="18">
        <v>3.6</v>
      </c>
      <c r="S23" s="18">
        <v>3.6</v>
      </c>
      <c r="T23" s="18">
        <v>3.6</v>
      </c>
      <c r="U23" s="18">
        <v>3.6</v>
      </c>
    </row>
    <row r="24" spans="4:22" ht="15.75" thickBot="1" x14ac:dyDescent="0.3">
      <c r="D24" s="10" t="s">
        <v>26</v>
      </c>
      <c r="E24" s="10" t="s">
        <v>196</v>
      </c>
      <c r="F24" s="10">
        <v>750</v>
      </c>
      <c r="G24" s="10" t="s">
        <v>290</v>
      </c>
      <c r="H24" s="10" t="s">
        <v>22</v>
      </c>
      <c r="I24" s="10" t="s">
        <v>458</v>
      </c>
      <c r="J24" s="10" t="s">
        <v>129</v>
      </c>
      <c r="K24" s="42">
        <v>265</v>
      </c>
      <c r="L24" s="42">
        <v>265</v>
      </c>
      <c r="M24" s="42">
        <v>265</v>
      </c>
      <c r="N24" s="42">
        <v>265</v>
      </c>
      <c r="O24" s="42">
        <v>265</v>
      </c>
      <c r="P24" s="42">
        <v>265</v>
      </c>
      <c r="Q24" s="42">
        <v>265</v>
      </c>
      <c r="R24" s="42">
        <v>265</v>
      </c>
      <c r="S24" s="42">
        <v>265</v>
      </c>
      <c r="T24" s="42">
        <v>265</v>
      </c>
      <c r="U24" s="42">
        <v>265</v>
      </c>
    </row>
    <row r="25" spans="4:22" ht="15.75" thickBot="1" x14ac:dyDescent="0.3">
      <c r="D25" s="8" t="s">
        <v>26</v>
      </c>
      <c r="E25" s="8" t="s">
        <v>201</v>
      </c>
      <c r="F25" s="8">
        <v>1500</v>
      </c>
      <c r="G25" s="8" t="s">
        <v>290</v>
      </c>
      <c r="H25" s="8" t="s">
        <v>13</v>
      </c>
      <c r="I25" s="8" t="s">
        <v>458</v>
      </c>
      <c r="J25" s="8" t="s">
        <v>59</v>
      </c>
      <c r="K25" s="17">
        <v>11</v>
      </c>
      <c r="L25" s="18">
        <v>11</v>
      </c>
      <c r="M25" s="18">
        <v>11</v>
      </c>
      <c r="N25" s="18">
        <v>11</v>
      </c>
      <c r="O25" s="18">
        <v>11</v>
      </c>
      <c r="P25" s="18">
        <v>11</v>
      </c>
      <c r="Q25" s="18">
        <v>11</v>
      </c>
      <c r="R25" s="18">
        <v>11</v>
      </c>
      <c r="S25" s="18">
        <v>11</v>
      </c>
      <c r="T25" s="18">
        <v>11</v>
      </c>
      <c r="U25" s="18">
        <v>11</v>
      </c>
      <c r="V25" s="153"/>
    </row>
    <row r="26" spans="4:22" ht="15.75" thickBot="1" x14ac:dyDescent="0.3">
      <c r="D26" s="9" t="s">
        <v>26</v>
      </c>
      <c r="E26" s="9" t="s">
        <v>201</v>
      </c>
      <c r="F26" s="8">
        <v>1500</v>
      </c>
      <c r="G26" s="9" t="s">
        <v>290</v>
      </c>
      <c r="H26" s="9" t="s">
        <v>15</v>
      </c>
      <c r="I26" s="9" t="s">
        <v>458</v>
      </c>
      <c r="J26" s="9" t="s">
        <v>63</v>
      </c>
      <c r="K26" s="18">
        <v>150</v>
      </c>
      <c r="L26" s="18">
        <v>150</v>
      </c>
      <c r="M26" s="18">
        <v>150</v>
      </c>
      <c r="N26" s="18">
        <v>150</v>
      </c>
      <c r="O26" s="18">
        <v>150</v>
      </c>
      <c r="P26" s="18">
        <v>150</v>
      </c>
      <c r="Q26" s="18">
        <v>150</v>
      </c>
      <c r="R26" s="18">
        <v>150</v>
      </c>
      <c r="S26" s="18">
        <v>150</v>
      </c>
      <c r="T26" s="18">
        <v>150</v>
      </c>
      <c r="U26" s="18">
        <v>150</v>
      </c>
      <c r="V26" s="153"/>
    </row>
    <row r="27" spans="4:22" ht="15.75" thickBot="1" x14ac:dyDescent="0.3">
      <c r="D27" s="9" t="s">
        <v>26</v>
      </c>
      <c r="E27" s="9" t="s">
        <v>201</v>
      </c>
      <c r="F27" s="8">
        <v>1500</v>
      </c>
      <c r="G27" s="9" t="s">
        <v>290</v>
      </c>
      <c r="H27" s="9" t="s">
        <v>29</v>
      </c>
      <c r="I27" s="9" t="s">
        <v>458</v>
      </c>
      <c r="J27" s="9" t="s">
        <v>55</v>
      </c>
      <c r="K27" s="18">
        <v>3.5</v>
      </c>
      <c r="L27" s="18">
        <v>3.5</v>
      </c>
      <c r="M27" s="18">
        <v>3.5</v>
      </c>
      <c r="N27" s="18">
        <v>3.5</v>
      </c>
      <c r="O27" s="18">
        <v>3.5</v>
      </c>
      <c r="P27" s="18">
        <v>3.5</v>
      </c>
      <c r="Q27" s="18">
        <v>3.5</v>
      </c>
      <c r="R27" s="18">
        <v>3.5</v>
      </c>
      <c r="S27" s="18">
        <v>3.5</v>
      </c>
      <c r="T27" s="18">
        <v>3.5</v>
      </c>
      <c r="U27" s="18">
        <v>3.5</v>
      </c>
      <c r="V27" s="153"/>
    </row>
    <row r="28" spans="4:22" ht="15.75" thickBot="1" x14ac:dyDescent="0.3">
      <c r="D28" s="9" t="s">
        <v>26</v>
      </c>
      <c r="E28" s="9" t="s">
        <v>201</v>
      </c>
      <c r="F28" s="8">
        <v>1500</v>
      </c>
      <c r="G28" s="9" t="s">
        <v>290</v>
      </c>
      <c r="H28" s="9" t="s">
        <v>290</v>
      </c>
      <c r="I28" s="9" t="s">
        <v>458</v>
      </c>
      <c r="J28" s="9" t="s">
        <v>187</v>
      </c>
      <c r="K28" s="18">
        <v>3.6</v>
      </c>
      <c r="L28" s="18">
        <v>3.6</v>
      </c>
      <c r="M28" s="18">
        <v>3.6</v>
      </c>
      <c r="N28" s="18">
        <v>3.6</v>
      </c>
      <c r="O28" s="18">
        <v>3.6</v>
      </c>
      <c r="P28" s="18">
        <v>3.6</v>
      </c>
      <c r="Q28" s="18">
        <v>3.6</v>
      </c>
      <c r="R28" s="18">
        <v>3.6</v>
      </c>
      <c r="S28" s="18">
        <v>3.6</v>
      </c>
      <c r="T28" s="18">
        <v>3.6</v>
      </c>
      <c r="U28" s="18">
        <v>3.6</v>
      </c>
      <c r="V28" s="153"/>
    </row>
    <row r="29" spans="4:22" ht="15.75" thickBot="1" x14ac:dyDescent="0.3">
      <c r="D29" s="10" t="s">
        <v>26</v>
      </c>
      <c r="E29" s="9" t="s">
        <v>201</v>
      </c>
      <c r="F29" s="8">
        <v>1500</v>
      </c>
      <c r="G29" s="10" t="s">
        <v>290</v>
      </c>
      <c r="H29" s="10" t="s">
        <v>22</v>
      </c>
      <c r="I29" s="10" t="s">
        <v>458</v>
      </c>
      <c r="J29" s="10" t="s">
        <v>129</v>
      </c>
      <c r="K29" s="76">
        <v>275</v>
      </c>
      <c r="L29" s="76">
        <v>275</v>
      </c>
      <c r="M29" s="76">
        <v>275</v>
      </c>
      <c r="N29" s="76">
        <v>275</v>
      </c>
      <c r="O29" s="76">
        <v>275</v>
      </c>
      <c r="P29" s="76">
        <v>275</v>
      </c>
      <c r="Q29" s="76">
        <v>275</v>
      </c>
      <c r="R29" s="76">
        <v>275</v>
      </c>
      <c r="S29" s="76">
        <v>275</v>
      </c>
      <c r="T29" s="76">
        <v>275</v>
      </c>
      <c r="U29" s="76">
        <v>275</v>
      </c>
      <c r="V29" s="153"/>
    </row>
    <row r="30" spans="4:22" x14ac:dyDescent="0.25">
      <c r="D30" s="9"/>
      <c r="E30" s="9"/>
      <c r="F30" s="9"/>
      <c r="G30" s="9"/>
      <c r="H30" s="9"/>
      <c r="I30" s="9"/>
      <c r="J30" s="9"/>
      <c r="K30" s="18"/>
      <c r="L30" s="18" t="str">
        <f t="shared" ref="L30:U41" si="0">IF(K30="","",K30)</f>
        <v/>
      </c>
      <c r="M30" s="18" t="str">
        <f t="shared" si="0"/>
        <v/>
      </c>
      <c r="N30" s="18" t="str">
        <f t="shared" si="0"/>
        <v/>
      </c>
      <c r="O30" s="18" t="str">
        <f t="shared" si="0"/>
        <v/>
      </c>
      <c r="P30" s="18" t="str">
        <f t="shared" si="0"/>
        <v/>
      </c>
      <c r="Q30" s="18" t="str">
        <f t="shared" si="0"/>
        <v/>
      </c>
      <c r="R30" s="18" t="str">
        <f t="shared" si="0"/>
        <v/>
      </c>
      <c r="S30" s="18" t="str">
        <f t="shared" si="0"/>
        <v/>
      </c>
      <c r="T30" s="18" t="str">
        <f t="shared" si="0"/>
        <v/>
      </c>
      <c r="U30" s="18" t="str">
        <f t="shared" si="0"/>
        <v/>
      </c>
    </row>
    <row r="31" spans="4:22" x14ac:dyDescent="0.25">
      <c r="D31" s="9"/>
      <c r="E31" s="9"/>
      <c r="F31" s="9"/>
      <c r="G31" s="9"/>
      <c r="H31" s="9"/>
      <c r="I31" s="9"/>
      <c r="J31" s="9"/>
      <c r="K31" s="18"/>
      <c r="L31" s="18" t="str">
        <f t="shared" si="0"/>
        <v/>
      </c>
      <c r="M31" s="18" t="str">
        <f t="shared" si="0"/>
        <v/>
      </c>
      <c r="N31" s="18" t="str">
        <f t="shared" si="0"/>
        <v/>
      </c>
      <c r="O31" s="18" t="str">
        <f t="shared" si="0"/>
        <v/>
      </c>
      <c r="P31" s="18" t="str">
        <f t="shared" si="0"/>
        <v/>
      </c>
      <c r="Q31" s="18" t="str">
        <f t="shared" si="0"/>
        <v/>
      </c>
      <c r="R31" s="18" t="str">
        <f t="shared" si="0"/>
        <v/>
      </c>
      <c r="S31" s="18" t="str">
        <f t="shared" si="0"/>
        <v/>
      </c>
      <c r="T31" s="18" t="str">
        <f t="shared" si="0"/>
        <v/>
      </c>
      <c r="U31" s="18" t="str">
        <f t="shared" si="0"/>
        <v/>
      </c>
    </row>
    <row r="32" spans="4:22" x14ac:dyDescent="0.25">
      <c r="D32" s="9"/>
      <c r="E32" s="9"/>
      <c r="F32" s="9"/>
      <c r="G32" s="9"/>
      <c r="H32" s="9"/>
      <c r="I32" s="9"/>
      <c r="J32" s="9"/>
      <c r="K32" s="18"/>
      <c r="L32" s="18" t="str">
        <f t="shared" si="0"/>
        <v/>
      </c>
      <c r="M32" s="18" t="str">
        <f t="shared" si="0"/>
        <v/>
      </c>
      <c r="N32" s="18" t="str">
        <f t="shared" si="0"/>
        <v/>
      </c>
      <c r="O32" s="18" t="str">
        <f t="shared" si="0"/>
        <v/>
      </c>
      <c r="P32" s="18" t="str">
        <f t="shared" si="0"/>
        <v/>
      </c>
      <c r="Q32" s="18" t="str">
        <f t="shared" si="0"/>
        <v/>
      </c>
      <c r="R32" s="18" t="str">
        <f t="shared" si="0"/>
        <v/>
      </c>
      <c r="S32" s="18" t="str">
        <f t="shared" si="0"/>
        <v/>
      </c>
      <c r="T32" s="18" t="str">
        <f t="shared" si="0"/>
        <v/>
      </c>
      <c r="U32" s="18" t="str">
        <f t="shared" si="0"/>
        <v/>
      </c>
    </row>
    <row r="33" spans="4:21" x14ac:dyDescent="0.25">
      <c r="D33" s="9"/>
      <c r="E33" s="9"/>
      <c r="F33" s="9"/>
      <c r="G33" s="9"/>
      <c r="H33" s="9"/>
      <c r="I33" s="9"/>
      <c r="J33" s="9"/>
      <c r="K33" s="18"/>
      <c r="L33" s="18" t="str">
        <f t="shared" si="0"/>
        <v/>
      </c>
      <c r="M33" s="18" t="str">
        <f t="shared" si="0"/>
        <v/>
      </c>
      <c r="N33" s="18" t="str">
        <f t="shared" si="0"/>
        <v/>
      </c>
      <c r="O33" s="18" t="str">
        <f t="shared" si="0"/>
        <v/>
      </c>
      <c r="P33" s="18" t="str">
        <f t="shared" si="0"/>
        <v/>
      </c>
      <c r="Q33" s="18" t="str">
        <f t="shared" si="0"/>
        <v/>
      </c>
      <c r="R33" s="18" t="str">
        <f t="shared" si="0"/>
        <v/>
      </c>
      <c r="S33" s="18" t="str">
        <f t="shared" si="0"/>
        <v/>
      </c>
      <c r="T33" s="18" t="str">
        <f t="shared" si="0"/>
        <v/>
      </c>
      <c r="U33" s="18" t="str">
        <f t="shared" si="0"/>
        <v/>
      </c>
    </row>
    <row r="34" spans="4:21" x14ac:dyDescent="0.25">
      <c r="D34" s="9"/>
      <c r="E34" s="9"/>
      <c r="F34" s="9"/>
      <c r="G34" s="9"/>
      <c r="H34" s="9"/>
      <c r="I34" s="9"/>
      <c r="J34" s="9"/>
      <c r="K34" s="18"/>
      <c r="L34" s="18" t="str">
        <f t="shared" si="0"/>
        <v/>
      </c>
      <c r="M34" s="18" t="str">
        <f t="shared" si="0"/>
        <v/>
      </c>
      <c r="N34" s="18" t="str">
        <f t="shared" si="0"/>
        <v/>
      </c>
      <c r="O34" s="18" t="str">
        <f t="shared" si="0"/>
        <v/>
      </c>
      <c r="P34" s="18" t="str">
        <f t="shared" si="0"/>
        <v/>
      </c>
      <c r="Q34" s="18" t="str">
        <f t="shared" si="0"/>
        <v/>
      </c>
      <c r="R34" s="18" t="str">
        <f t="shared" si="0"/>
        <v/>
      </c>
      <c r="S34" s="18" t="str">
        <f t="shared" si="0"/>
        <v/>
      </c>
      <c r="T34" s="18" t="str">
        <f t="shared" si="0"/>
        <v/>
      </c>
      <c r="U34" s="18" t="str">
        <f t="shared" si="0"/>
        <v/>
      </c>
    </row>
    <row r="35" spans="4:21" x14ac:dyDescent="0.25">
      <c r="D35" s="9"/>
      <c r="E35" s="9"/>
      <c r="F35" s="9"/>
      <c r="G35" s="9"/>
      <c r="H35" s="9"/>
      <c r="I35" s="9"/>
      <c r="J35" s="9"/>
      <c r="K35" s="18"/>
      <c r="L35" s="18" t="str">
        <f t="shared" si="0"/>
        <v/>
      </c>
      <c r="M35" s="18" t="str">
        <f t="shared" si="0"/>
        <v/>
      </c>
      <c r="N35" s="18" t="str">
        <f t="shared" si="0"/>
        <v/>
      </c>
      <c r="O35" s="18" t="str">
        <f t="shared" si="0"/>
        <v/>
      </c>
      <c r="P35" s="18" t="str">
        <f t="shared" si="0"/>
        <v/>
      </c>
      <c r="Q35" s="18" t="str">
        <f t="shared" si="0"/>
        <v/>
      </c>
      <c r="R35" s="18" t="str">
        <f t="shared" si="0"/>
        <v/>
      </c>
      <c r="S35" s="18" t="str">
        <f t="shared" si="0"/>
        <v/>
      </c>
      <c r="T35" s="18" t="str">
        <f t="shared" si="0"/>
        <v/>
      </c>
      <c r="U35" s="18" t="str">
        <f t="shared" si="0"/>
        <v/>
      </c>
    </row>
    <row r="36" spans="4:21" x14ac:dyDescent="0.25">
      <c r="D36" s="9"/>
      <c r="E36" s="9"/>
      <c r="F36" s="9"/>
      <c r="G36" s="9"/>
      <c r="H36" s="9"/>
      <c r="I36" s="9"/>
      <c r="J36" s="9"/>
      <c r="K36" s="18"/>
      <c r="L36" s="18" t="str">
        <f t="shared" si="0"/>
        <v/>
      </c>
      <c r="M36" s="18" t="str">
        <f t="shared" si="0"/>
        <v/>
      </c>
      <c r="N36" s="18" t="str">
        <f t="shared" si="0"/>
        <v/>
      </c>
      <c r="O36" s="18" t="str">
        <f t="shared" si="0"/>
        <v/>
      </c>
      <c r="P36" s="18" t="str">
        <f t="shared" si="0"/>
        <v/>
      </c>
      <c r="Q36" s="18" t="str">
        <f t="shared" si="0"/>
        <v/>
      </c>
      <c r="R36" s="18" t="str">
        <f t="shared" si="0"/>
        <v/>
      </c>
      <c r="S36" s="18" t="str">
        <f t="shared" si="0"/>
        <v/>
      </c>
      <c r="T36" s="18" t="str">
        <f t="shared" si="0"/>
        <v/>
      </c>
      <c r="U36" s="18" t="str">
        <f t="shared" si="0"/>
        <v/>
      </c>
    </row>
    <row r="37" spans="4:21" x14ac:dyDescent="0.25">
      <c r="D37" s="9"/>
      <c r="E37" s="9"/>
      <c r="F37" s="9"/>
      <c r="G37" s="9"/>
      <c r="H37" s="9"/>
      <c r="I37" s="9"/>
      <c r="J37" s="9"/>
      <c r="K37" s="18"/>
      <c r="L37" s="18" t="str">
        <f t="shared" si="0"/>
        <v/>
      </c>
      <c r="M37" s="18" t="str">
        <f t="shared" si="0"/>
        <v/>
      </c>
      <c r="N37" s="18" t="str">
        <f t="shared" si="0"/>
        <v/>
      </c>
      <c r="O37" s="18" t="str">
        <f t="shared" si="0"/>
        <v/>
      </c>
      <c r="P37" s="18" t="str">
        <f t="shared" si="0"/>
        <v/>
      </c>
      <c r="Q37" s="18" t="str">
        <f t="shared" si="0"/>
        <v/>
      </c>
      <c r="R37" s="18" t="str">
        <f t="shared" si="0"/>
        <v/>
      </c>
      <c r="S37" s="18" t="str">
        <f t="shared" si="0"/>
        <v/>
      </c>
      <c r="T37" s="18" t="str">
        <f t="shared" si="0"/>
        <v/>
      </c>
      <c r="U37" s="18" t="str">
        <f t="shared" si="0"/>
        <v/>
      </c>
    </row>
    <row r="38" spans="4:21" x14ac:dyDescent="0.25">
      <c r="D38" s="9"/>
      <c r="E38" s="9"/>
      <c r="F38" s="9"/>
      <c r="G38" s="9"/>
      <c r="H38" s="9"/>
      <c r="I38" s="9"/>
      <c r="J38" s="9"/>
      <c r="K38" s="18"/>
      <c r="L38" s="18" t="str">
        <f t="shared" si="0"/>
        <v/>
      </c>
      <c r="M38" s="18" t="str">
        <f t="shared" si="0"/>
        <v/>
      </c>
      <c r="N38" s="18" t="str">
        <f t="shared" si="0"/>
        <v/>
      </c>
      <c r="O38" s="18" t="str">
        <f t="shared" si="0"/>
        <v/>
      </c>
      <c r="P38" s="18" t="str">
        <f t="shared" si="0"/>
        <v/>
      </c>
      <c r="Q38" s="18" t="str">
        <f t="shared" si="0"/>
        <v/>
      </c>
      <c r="R38" s="18" t="str">
        <f t="shared" si="0"/>
        <v/>
      </c>
      <c r="S38" s="18" t="str">
        <f t="shared" si="0"/>
        <v/>
      </c>
      <c r="T38" s="18" t="str">
        <f t="shared" si="0"/>
        <v/>
      </c>
      <c r="U38" s="18" t="str">
        <f t="shared" si="0"/>
        <v/>
      </c>
    </row>
    <row r="39" spans="4:21" x14ac:dyDescent="0.25">
      <c r="D39" s="9"/>
      <c r="E39" s="9"/>
      <c r="F39" s="9"/>
      <c r="G39" s="9"/>
      <c r="H39" s="9"/>
      <c r="I39" s="9"/>
      <c r="J39" s="9"/>
      <c r="K39" s="18"/>
      <c r="L39" s="18" t="str">
        <f t="shared" si="0"/>
        <v/>
      </c>
      <c r="M39" s="18" t="str">
        <f t="shared" si="0"/>
        <v/>
      </c>
      <c r="N39" s="18" t="str">
        <f t="shared" si="0"/>
        <v/>
      </c>
      <c r="O39" s="18" t="str">
        <f t="shared" si="0"/>
        <v/>
      </c>
      <c r="P39" s="18" t="str">
        <f t="shared" si="0"/>
        <v/>
      </c>
      <c r="Q39" s="18" t="str">
        <f t="shared" si="0"/>
        <v/>
      </c>
      <c r="R39" s="18" t="str">
        <f t="shared" si="0"/>
        <v/>
      </c>
      <c r="S39" s="18" t="str">
        <f t="shared" si="0"/>
        <v/>
      </c>
      <c r="T39" s="18" t="str">
        <f t="shared" si="0"/>
        <v/>
      </c>
      <c r="U39" s="18" t="str">
        <f t="shared" si="0"/>
        <v/>
      </c>
    </row>
    <row r="40" spans="4:21" x14ac:dyDescent="0.25">
      <c r="D40" s="9"/>
      <c r="E40" s="9"/>
      <c r="F40" s="9"/>
      <c r="G40" s="9"/>
      <c r="H40" s="9"/>
      <c r="I40" s="9"/>
      <c r="J40" s="9"/>
      <c r="K40" s="18"/>
      <c r="L40" s="18" t="str">
        <f t="shared" si="0"/>
        <v/>
      </c>
      <c r="M40" s="18" t="str">
        <f t="shared" si="0"/>
        <v/>
      </c>
      <c r="N40" s="18" t="str">
        <f t="shared" si="0"/>
        <v/>
      </c>
      <c r="O40" s="18" t="str">
        <f t="shared" si="0"/>
        <v/>
      </c>
      <c r="P40" s="18" t="str">
        <f t="shared" si="0"/>
        <v/>
      </c>
      <c r="Q40" s="18" t="str">
        <f t="shared" si="0"/>
        <v/>
      </c>
      <c r="R40" s="18" t="str">
        <f t="shared" si="0"/>
        <v/>
      </c>
      <c r="S40" s="18" t="str">
        <f t="shared" si="0"/>
        <v/>
      </c>
      <c r="T40" s="18" t="str">
        <f t="shared" si="0"/>
        <v/>
      </c>
      <c r="U40" s="18" t="str">
        <f t="shared" si="0"/>
        <v/>
      </c>
    </row>
    <row r="41" spans="4:21" x14ac:dyDescent="0.25">
      <c r="D41" s="9"/>
      <c r="E41" s="9"/>
      <c r="F41" s="9"/>
      <c r="G41" s="9"/>
      <c r="H41" s="9"/>
      <c r="I41" s="9"/>
      <c r="J41" s="9"/>
      <c r="K41" s="18"/>
      <c r="L41" s="18" t="str">
        <f t="shared" si="0"/>
        <v/>
      </c>
      <c r="M41" s="18" t="str">
        <f t="shared" si="0"/>
        <v/>
      </c>
      <c r="N41" s="18" t="str">
        <f t="shared" si="0"/>
        <v/>
      </c>
      <c r="O41" s="18" t="str">
        <f t="shared" si="0"/>
        <v/>
      </c>
      <c r="P41" s="18" t="str">
        <f t="shared" si="0"/>
        <v/>
      </c>
      <c r="Q41" s="18" t="str">
        <f t="shared" si="0"/>
        <v/>
      </c>
      <c r="R41" s="18" t="str">
        <f t="shared" si="0"/>
        <v/>
      </c>
      <c r="S41" s="18" t="str">
        <f t="shared" si="0"/>
        <v/>
      </c>
      <c r="T41" s="18" t="str">
        <f t="shared" si="0"/>
        <v/>
      </c>
      <c r="U41" s="18" t="str">
        <f t="shared" si="0"/>
        <v/>
      </c>
    </row>
    <row r="42" spans="4:21" x14ac:dyDescent="0.25">
      <c r="D42" s="9"/>
      <c r="E42" s="9"/>
      <c r="F42" s="9"/>
      <c r="G42" s="9"/>
      <c r="H42" s="9"/>
      <c r="I42" s="9"/>
      <c r="J42" s="9"/>
      <c r="K42" s="18"/>
      <c r="L42" s="18" t="str">
        <f t="shared" ref="L42:U47" si="1">IF(K42="","",K42)</f>
        <v/>
      </c>
      <c r="M42" s="18" t="str">
        <f t="shared" si="1"/>
        <v/>
      </c>
      <c r="N42" s="18" t="str">
        <f t="shared" si="1"/>
        <v/>
      </c>
      <c r="O42" s="18" t="str">
        <f t="shared" si="1"/>
        <v/>
      </c>
      <c r="P42" s="18" t="str">
        <f t="shared" si="1"/>
        <v/>
      </c>
      <c r="Q42" s="18" t="str">
        <f t="shared" si="1"/>
        <v/>
      </c>
      <c r="R42" s="18" t="str">
        <f t="shared" si="1"/>
        <v/>
      </c>
      <c r="S42" s="18" t="str">
        <f t="shared" si="1"/>
        <v/>
      </c>
      <c r="T42" s="18" t="str">
        <f t="shared" si="1"/>
        <v/>
      </c>
      <c r="U42" s="18" t="str">
        <f t="shared" si="1"/>
        <v/>
      </c>
    </row>
    <row r="43" spans="4:21" x14ac:dyDescent="0.25">
      <c r="D43" s="9"/>
      <c r="E43" s="9"/>
      <c r="F43" s="9"/>
      <c r="G43" s="9"/>
      <c r="H43" s="9"/>
      <c r="I43" s="9"/>
      <c r="J43" s="9"/>
      <c r="K43" s="18"/>
      <c r="L43" s="18" t="str">
        <f t="shared" si="1"/>
        <v/>
      </c>
      <c r="M43" s="18" t="str">
        <f t="shared" si="1"/>
        <v/>
      </c>
      <c r="N43" s="18" t="str">
        <f t="shared" si="1"/>
        <v/>
      </c>
      <c r="O43" s="18" t="str">
        <f t="shared" si="1"/>
        <v/>
      </c>
      <c r="P43" s="18" t="str">
        <f t="shared" si="1"/>
        <v/>
      </c>
      <c r="Q43" s="18" t="str">
        <f t="shared" si="1"/>
        <v/>
      </c>
      <c r="R43" s="18" t="str">
        <f t="shared" si="1"/>
        <v/>
      </c>
      <c r="S43" s="18" t="str">
        <f t="shared" si="1"/>
        <v/>
      </c>
      <c r="T43" s="18" t="str">
        <f t="shared" si="1"/>
        <v/>
      </c>
      <c r="U43" s="18" t="str">
        <f t="shared" si="1"/>
        <v/>
      </c>
    </row>
    <row r="44" spans="4:21" x14ac:dyDescent="0.25">
      <c r="D44" s="9"/>
      <c r="E44" s="9"/>
      <c r="F44" s="9"/>
      <c r="G44" s="9"/>
      <c r="H44" s="9"/>
      <c r="I44" s="9"/>
      <c r="J44" s="9"/>
      <c r="K44" s="18"/>
      <c r="L44" s="18" t="str">
        <f t="shared" si="1"/>
        <v/>
      </c>
      <c r="M44" s="18" t="str">
        <f t="shared" si="1"/>
        <v/>
      </c>
      <c r="N44" s="18" t="str">
        <f t="shared" si="1"/>
        <v/>
      </c>
      <c r="O44" s="18" t="str">
        <f t="shared" si="1"/>
        <v/>
      </c>
      <c r="P44" s="18" t="str">
        <f t="shared" si="1"/>
        <v/>
      </c>
      <c r="Q44" s="18" t="str">
        <f t="shared" si="1"/>
        <v/>
      </c>
      <c r="R44" s="18" t="str">
        <f t="shared" si="1"/>
        <v/>
      </c>
      <c r="S44" s="18" t="str">
        <f t="shared" si="1"/>
        <v/>
      </c>
      <c r="T44" s="18" t="str">
        <f t="shared" si="1"/>
        <v/>
      </c>
      <c r="U44" s="18" t="str">
        <f t="shared" si="1"/>
        <v/>
      </c>
    </row>
    <row r="45" spans="4:21" x14ac:dyDescent="0.25">
      <c r="D45" s="9"/>
      <c r="E45" s="9"/>
      <c r="F45" s="9"/>
      <c r="G45" s="9"/>
      <c r="H45" s="9"/>
      <c r="I45" s="9"/>
      <c r="J45" s="9"/>
      <c r="K45" s="18"/>
      <c r="L45" s="18" t="str">
        <f t="shared" si="1"/>
        <v/>
      </c>
      <c r="M45" s="18" t="str">
        <f t="shared" si="1"/>
        <v/>
      </c>
      <c r="N45" s="18" t="str">
        <f t="shared" si="1"/>
        <v/>
      </c>
      <c r="O45" s="18" t="str">
        <f t="shared" si="1"/>
        <v/>
      </c>
      <c r="P45" s="18" t="str">
        <f t="shared" si="1"/>
        <v/>
      </c>
      <c r="Q45" s="18" t="str">
        <f t="shared" si="1"/>
        <v/>
      </c>
      <c r="R45" s="18" t="str">
        <f t="shared" si="1"/>
        <v/>
      </c>
      <c r="S45" s="18" t="str">
        <f t="shared" si="1"/>
        <v/>
      </c>
      <c r="T45" s="18" t="str">
        <f t="shared" si="1"/>
        <v/>
      </c>
      <c r="U45" s="18" t="str">
        <f t="shared" si="1"/>
        <v/>
      </c>
    </row>
    <row r="46" spans="4:21" x14ac:dyDescent="0.25">
      <c r="D46" s="9"/>
      <c r="E46" s="9"/>
      <c r="F46" s="9"/>
      <c r="G46" s="9"/>
      <c r="H46" s="9"/>
      <c r="I46" s="9"/>
      <c r="J46" s="9"/>
      <c r="K46" s="18"/>
      <c r="L46" s="18" t="str">
        <f t="shared" si="1"/>
        <v/>
      </c>
      <c r="M46" s="18" t="str">
        <f t="shared" si="1"/>
        <v/>
      </c>
      <c r="N46" s="18" t="str">
        <f t="shared" si="1"/>
        <v/>
      </c>
      <c r="O46" s="18" t="str">
        <f t="shared" si="1"/>
        <v/>
      </c>
      <c r="P46" s="18" t="str">
        <f t="shared" si="1"/>
        <v/>
      </c>
      <c r="Q46" s="18" t="str">
        <f t="shared" si="1"/>
        <v/>
      </c>
      <c r="R46" s="18" t="str">
        <f t="shared" si="1"/>
        <v/>
      </c>
      <c r="S46" s="18" t="str">
        <f t="shared" si="1"/>
        <v/>
      </c>
      <c r="T46" s="18" t="str">
        <f t="shared" si="1"/>
        <v/>
      </c>
      <c r="U46" s="18" t="str">
        <f t="shared" si="1"/>
        <v/>
      </c>
    </row>
    <row r="47" spans="4:21" ht="15.75" thickBot="1" x14ac:dyDescent="0.3">
      <c r="D47" s="10"/>
      <c r="E47" s="10"/>
      <c r="F47" s="10"/>
      <c r="G47" s="10"/>
      <c r="H47" s="10"/>
      <c r="I47" s="10"/>
      <c r="J47" s="10"/>
      <c r="K47" s="46"/>
      <c r="L47" s="46" t="str">
        <f t="shared" si="1"/>
        <v/>
      </c>
      <c r="M47" s="46" t="str">
        <f t="shared" si="1"/>
        <v/>
      </c>
      <c r="N47" s="46" t="str">
        <f t="shared" si="1"/>
        <v/>
      </c>
      <c r="O47" s="46" t="str">
        <f t="shared" si="1"/>
        <v/>
      </c>
      <c r="P47" s="46" t="str">
        <f t="shared" si="1"/>
        <v/>
      </c>
      <c r="Q47" s="46" t="str">
        <f t="shared" si="1"/>
        <v/>
      </c>
      <c r="R47" s="46" t="str">
        <f t="shared" si="1"/>
        <v/>
      </c>
      <c r="S47" s="46" t="str">
        <f t="shared" si="1"/>
        <v/>
      </c>
      <c r="T47" s="46" t="str">
        <f t="shared" si="1"/>
        <v/>
      </c>
      <c r="U47" s="46" t="str">
        <f t="shared" si="1"/>
        <v/>
      </c>
    </row>
    <row r="48" spans="4:21" x14ac:dyDescent="0.25">
      <c r="D48" s="5" t="e">
        <v>#N/A</v>
      </c>
      <c r="E48" s="5" t="e">
        <v>#N/A</v>
      </c>
      <c r="F48" s="5" t="e">
        <v>#N/A</v>
      </c>
      <c r="H48" s="5" t="e">
        <v>#N/A</v>
      </c>
      <c r="I48" s="5" t="e">
        <v>#N/A</v>
      </c>
      <c r="J48" s="5" t="e">
        <v>#N/A</v>
      </c>
      <c r="K48" s="5" t="e">
        <v>#N/A</v>
      </c>
      <c r="L48" s="5" t="e">
        <v>#N/A</v>
      </c>
      <c r="M48" s="5" t="e">
        <v>#N/A</v>
      </c>
      <c r="N48" s="5" t="e">
        <v>#N/A</v>
      </c>
      <c r="O48" s="5" t="e">
        <v>#N/A</v>
      </c>
      <c r="P48" s="5" t="e">
        <v>#N/A</v>
      </c>
      <c r="Q48" s="5" t="e">
        <v>#N/A</v>
      </c>
      <c r="R48" s="5" t="e">
        <v>#N/A</v>
      </c>
      <c r="S48" s="5" t="e">
        <v>#N/A</v>
      </c>
      <c r="T48" s="5" t="e">
        <v>#N/A</v>
      </c>
      <c r="U48" s="5" t="e">
        <v>#N/A</v>
      </c>
    </row>
  </sheetData>
  <mergeCells count="1">
    <mergeCell ref="V25:V29"/>
  </mergeCells>
  <conditionalFormatting sqref="I5:I6 I8:I9">
    <cfRule type="uniqueValues" dxfId="5" priority="8"/>
  </conditionalFormatting>
  <conditionalFormatting sqref="I7">
    <cfRule type="uniqueValues" dxfId="4" priority="7"/>
  </conditionalFormatting>
  <conditionalFormatting sqref="I12">
    <cfRule type="uniqueValues" dxfId="3" priority="6"/>
  </conditionalFormatting>
  <conditionalFormatting sqref="I17">
    <cfRule type="uniqueValues" dxfId="2" priority="4"/>
  </conditionalFormatting>
  <conditionalFormatting sqref="I22">
    <cfRule type="uniqueValues" dxfId="1" priority="3"/>
  </conditionalFormatting>
  <conditionalFormatting sqref="I27">
    <cfRule type="uniqueValues" dxfId="0" priority="1"/>
  </conditionalFormatting>
  <dataValidations count="7">
    <dataValidation type="list" allowBlank="1" showInputMessage="1" showErrorMessage="1" sqref="G5:G47">
      <formula1>PAPInputs</formula1>
    </dataValidation>
    <dataValidation type="list" allowBlank="1" showInputMessage="1" showErrorMessage="1" sqref="I5:I47">
      <formula1>PAPProducts</formula1>
    </dataValidation>
    <dataValidation type="list" allowBlank="1" showInputMessage="1" showErrorMessage="1" sqref="D5:D47">
      <formula1>Location</formula1>
    </dataValidation>
    <dataValidation type="list" allowBlank="1" showInputMessage="1" showErrorMessage="1" sqref="E5:E47">
      <formula1>PAPProcess</formula1>
    </dataValidation>
    <dataValidation type="list" allowBlank="1" showInputMessage="1" showErrorMessage="1" sqref="F5:F47">
      <formula1>PAPOptionsCapacity</formula1>
    </dataValidation>
    <dataValidation type="list" allowBlank="1" showInputMessage="1" showErrorMessage="1" sqref="H5:H47">
      <formula1>OPEX</formula1>
    </dataValidation>
    <dataValidation type="list" allowBlank="1" showInputMessage="1" showErrorMessage="1" sqref="J5:J47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rgb="FF548235"/>
  </sheetPr>
  <dimension ref="B1:S49"/>
  <sheetViews>
    <sheetView workbookViewId="0">
      <selection activeCell="H11" sqref="H11"/>
    </sheetView>
  </sheetViews>
  <sheetFormatPr baseColWidth="10" defaultColWidth="11.5703125" defaultRowHeight="15" x14ac:dyDescent="0.25"/>
  <cols>
    <col min="1" max="3" width="3.5703125" style="5" customWidth="1"/>
    <col min="4" max="4" width="15.5703125" style="5" customWidth="1"/>
    <col min="5" max="5" width="30.5703125" style="5" customWidth="1"/>
    <col min="6" max="9" width="15.5703125" style="5" customWidth="1"/>
    <col min="10" max="19" width="8.5703125" style="5" customWidth="1"/>
    <col min="20" max="16384" width="11.5703125" style="5"/>
  </cols>
  <sheetData>
    <row r="1" spans="2:19" s="70" customFormat="1" ht="25.35" customHeight="1" x14ac:dyDescent="0.25">
      <c r="B1" s="69" t="s">
        <v>232</v>
      </c>
    </row>
    <row r="3" spans="2:19" ht="15.75" thickBot="1" x14ac:dyDescent="0.3">
      <c r="D3" s="38" t="str">
        <f>JESA_UploadTable(B1,D4:S8,db)</f>
        <v>PAP capex @09:45:17</v>
      </c>
      <c r="J3" s="152" t="s">
        <v>180</v>
      </c>
      <c r="K3" s="152"/>
      <c r="L3" s="152"/>
      <c r="M3" s="152"/>
      <c r="N3" s="152"/>
      <c r="O3" s="152"/>
      <c r="P3" s="152"/>
      <c r="Q3" s="152"/>
      <c r="R3" s="152"/>
      <c r="S3" s="152"/>
    </row>
    <row r="4" spans="2:19" ht="30" customHeight="1" thickBot="1" x14ac:dyDescent="0.3">
      <c r="D4" s="71" t="s">
        <v>8</v>
      </c>
      <c r="E4" s="71" t="s">
        <v>25</v>
      </c>
      <c r="F4" s="73" t="s">
        <v>268</v>
      </c>
      <c r="G4" s="71" t="s">
        <v>12</v>
      </c>
      <c r="H4" s="73" t="s">
        <v>17</v>
      </c>
      <c r="I4" s="75" t="s">
        <v>145</v>
      </c>
      <c r="J4" s="75" t="s">
        <v>71</v>
      </c>
      <c r="K4" s="75" t="s">
        <v>72</v>
      </c>
      <c r="L4" s="75" t="s">
        <v>73</v>
      </c>
      <c r="M4" s="75" t="s">
        <v>74</v>
      </c>
      <c r="N4" s="75" t="s">
        <v>75</v>
      </c>
      <c r="O4" s="75" t="s">
        <v>362</v>
      </c>
      <c r="P4" s="75" t="s">
        <v>76</v>
      </c>
      <c r="Q4" s="75" t="s">
        <v>77</v>
      </c>
      <c r="R4" s="75" t="s">
        <v>78</v>
      </c>
      <c r="S4" s="75" t="s">
        <v>79</v>
      </c>
    </row>
    <row r="5" spans="2:19" x14ac:dyDescent="0.25">
      <c r="D5" s="9" t="s">
        <v>3</v>
      </c>
      <c r="E5" s="9" t="s">
        <v>196</v>
      </c>
      <c r="F5" s="9">
        <v>500</v>
      </c>
      <c r="G5" s="9" t="s">
        <v>22</v>
      </c>
      <c r="H5" s="9" t="s">
        <v>375</v>
      </c>
      <c r="I5" s="39">
        <v>190000000</v>
      </c>
      <c r="J5" s="27"/>
      <c r="K5" s="27"/>
      <c r="L5" s="27">
        <v>0.3</v>
      </c>
      <c r="M5" s="27">
        <v>0.3</v>
      </c>
      <c r="N5" s="27">
        <v>0.3</v>
      </c>
      <c r="O5" s="27">
        <v>0.1</v>
      </c>
      <c r="P5" s="27"/>
      <c r="Q5" s="27"/>
      <c r="R5" s="27"/>
      <c r="S5" s="27"/>
    </row>
    <row r="6" spans="2:19" x14ac:dyDescent="0.25">
      <c r="D6" s="9" t="s">
        <v>3</v>
      </c>
      <c r="E6" s="9" t="s">
        <v>196</v>
      </c>
      <c r="F6" s="9">
        <v>750</v>
      </c>
      <c r="G6" s="9" t="s">
        <v>22</v>
      </c>
      <c r="H6" s="9" t="s">
        <v>375</v>
      </c>
      <c r="I6" s="39">
        <v>200000000</v>
      </c>
      <c r="J6" s="27"/>
      <c r="K6" s="27"/>
      <c r="L6" s="27">
        <v>0.3</v>
      </c>
      <c r="M6" s="27">
        <v>0.3</v>
      </c>
      <c r="N6" s="27">
        <v>0.3</v>
      </c>
      <c r="O6" s="27">
        <v>0.1</v>
      </c>
      <c r="P6" s="27"/>
      <c r="Q6" s="27"/>
      <c r="R6" s="27"/>
      <c r="S6" s="27"/>
    </row>
    <row r="7" spans="2:19" x14ac:dyDescent="0.25">
      <c r="D7" s="9" t="s">
        <v>26</v>
      </c>
      <c r="E7" s="9" t="s">
        <v>196</v>
      </c>
      <c r="F7" s="9">
        <v>500</v>
      </c>
      <c r="G7" s="9" t="s">
        <v>22</v>
      </c>
      <c r="H7" s="9" t="s">
        <v>375</v>
      </c>
      <c r="I7" s="39">
        <v>190000000</v>
      </c>
      <c r="J7" s="27"/>
      <c r="K7" s="27"/>
      <c r="L7" s="27">
        <v>0.3</v>
      </c>
      <c r="M7" s="27">
        <v>0.3</v>
      </c>
      <c r="N7" s="27">
        <v>0.3</v>
      </c>
      <c r="O7" s="27">
        <v>0.1</v>
      </c>
      <c r="P7" s="27"/>
      <c r="Q7" s="27"/>
      <c r="R7" s="27"/>
      <c r="S7" s="27"/>
    </row>
    <row r="8" spans="2:19" x14ac:dyDescent="0.25">
      <c r="D8" s="9" t="s">
        <v>26</v>
      </c>
      <c r="E8" s="9" t="s">
        <v>196</v>
      </c>
      <c r="F8" s="9">
        <v>750</v>
      </c>
      <c r="G8" s="9" t="s">
        <v>22</v>
      </c>
      <c r="H8" s="9" t="s">
        <v>375</v>
      </c>
      <c r="I8" s="39">
        <v>200000000</v>
      </c>
      <c r="J8" s="27"/>
      <c r="K8" s="27"/>
      <c r="L8" s="27">
        <v>0.3</v>
      </c>
      <c r="M8" s="27">
        <v>0.3</v>
      </c>
      <c r="N8" s="27">
        <v>0.3</v>
      </c>
      <c r="O8" s="27">
        <v>0.1</v>
      </c>
      <c r="P8" s="27"/>
      <c r="Q8" s="27"/>
      <c r="R8" s="27"/>
      <c r="S8" s="27"/>
    </row>
    <row r="9" spans="2:19" x14ac:dyDescent="0.25">
      <c r="D9" s="9"/>
      <c r="E9" s="9"/>
      <c r="F9" s="9"/>
      <c r="G9" s="9"/>
      <c r="H9" s="9"/>
      <c r="I9" s="39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2:19" x14ac:dyDescent="0.25">
      <c r="D10" s="9"/>
      <c r="E10" s="9"/>
      <c r="F10" s="9"/>
      <c r="G10" s="9"/>
      <c r="H10" s="9"/>
      <c r="I10" s="39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2:19" x14ac:dyDescent="0.25">
      <c r="D11" s="9"/>
      <c r="E11" s="9"/>
      <c r="F11" s="9"/>
      <c r="G11" s="9"/>
      <c r="H11" s="9"/>
      <c r="I11" s="39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25">
      <c r="D12" s="9"/>
      <c r="E12" s="9"/>
      <c r="F12" s="9"/>
      <c r="G12" s="9"/>
      <c r="H12" s="9"/>
      <c r="I12" s="39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25">
      <c r="D13" s="9"/>
      <c r="E13" s="9"/>
      <c r="F13" s="9"/>
      <c r="G13" s="9"/>
      <c r="H13" s="9"/>
      <c r="I13" s="39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25">
      <c r="D14" s="9"/>
      <c r="E14" s="9"/>
      <c r="F14" s="9"/>
      <c r="G14" s="9"/>
      <c r="H14" s="9"/>
      <c r="I14" s="39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25">
      <c r="D15" s="9"/>
      <c r="E15" s="9"/>
      <c r="F15" s="9"/>
      <c r="G15" s="9"/>
      <c r="H15" s="9"/>
      <c r="I15" s="39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25">
      <c r="D16" s="9"/>
      <c r="E16" s="9"/>
      <c r="F16" s="9"/>
      <c r="G16" s="9"/>
      <c r="H16" s="9"/>
      <c r="I16" s="39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25">
      <c r="D17" s="9"/>
      <c r="E17" s="9"/>
      <c r="F17" s="9"/>
      <c r="G17" s="9"/>
      <c r="H17" s="9"/>
      <c r="I17" s="39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25">
      <c r="D18" s="9"/>
      <c r="E18" s="9"/>
      <c r="F18" s="9"/>
      <c r="G18" s="9"/>
      <c r="H18" s="9"/>
      <c r="I18" s="39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25">
      <c r="D19" s="9"/>
      <c r="E19" s="9"/>
      <c r="F19" s="9"/>
      <c r="G19" s="9"/>
      <c r="H19" s="9"/>
      <c r="I19" s="39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25">
      <c r="D20" s="9"/>
      <c r="E20" s="9"/>
      <c r="F20" s="9"/>
      <c r="G20" s="9"/>
      <c r="H20" s="9"/>
      <c r="I20" s="39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25">
      <c r="D21" s="9"/>
      <c r="E21" s="9"/>
      <c r="F21" s="9"/>
      <c r="G21" s="9"/>
      <c r="H21" s="9"/>
      <c r="I21" s="39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25">
      <c r="D22" s="9"/>
      <c r="E22" s="9"/>
      <c r="F22" s="9"/>
      <c r="G22" s="9"/>
      <c r="H22" s="9"/>
      <c r="I22" s="39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25">
      <c r="D23" s="9"/>
      <c r="E23" s="9"/>
      <c r="F23" s="9"/>
      <c r="G23" s="9"/>
      <c r="H23" s="9"/>
      <c r="I23" s="39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25">
      <c r="D24" s="9"/>
      <c r="E24" s="9"/>
      <c r="F24" s="9"/>
      <c r="G24" s="9"/>
      <c r="H24" s="9"/>
      <c r="I24" s="39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25">
      <c r="D25" s="9"/>
      <c r="E25" s="9"/>
      <c r="F25" s="9"/>
      <c r="G25" s="9"/>
      <c r="H25" s="9"/>
      <c r="I25" s="39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25">
      <c r="D26" s="9"/>
      <c r="E26" s="9"/>
      <c r="F26" s="9"/>
      <c r="G26" s="9"/>
      <c r="H26" s="9"/>
      <c r="I26" s="39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25">
      <c r="D27" s="9"/>
      <c r="E27" s="9"/>
      <c r="F27" s="9"/>
      <c r="G27" s="9"/>
      <c r="H27" s="9"/>
      <c r="I27" s="39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25">
      <c r="D28" s="9"/>
      <c r="E28" s="9"/>
      <c r="F28" s="9"/>
      <c r="G28" s="9"/>
      <c r="H28" s="9"/>
      <c r="I28" s="39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25">
      <c r="D29" s="9"/>
      <c r="E29" s="9"/>
      <c r="F29" s="9"/>
      <c r="G29" s="9"/>
      <c r="H29" s="9"/>
      <c r="I29" s="39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25">
      <c r="D30" s="9"/>
      <c r="E30" s="9"/>
      <c r="F30" s="9"/>
      <c r="G30" s="9"/>
      <c r="H30" s="9"/>
      <c r="I30" s="39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25">
      <c r="D31" s="9"/>
      <c r="E31" s="9"/>
      <c r="F31" s="9"/>
      <c r="G31" s="9"/>
      <c r="H31" s="9"/>
      <c r="I31" s="39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25">
      <c r="D32" s="9"/>
      <c r="E32" s="9"/>
      <c r="F32" s="9"/>
      <c r="G32" s="9"/>
      <c r="H32" s="9"/>
      <c r="I32" s="39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25">
      <c r="D33" s="9"/>
      <c r="E33" s="9"/>
      <c r="F33" s="9"/>
      <c r="G33" s="9"/>
      <c r="H33" s="9"/>
      <c r="I33" s="39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25">
      <c r="D34" s="9"/>
      <c r="E34" s="9"/>
      <c r="F34" s="9"/>
      <c r="G34" s="9"/>
      <c r="H34" s="9"/>
      <c r="I34" s="39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25">
      <c r="D35" s="9"/>
      <c r="E35" s="9"/>
      <c r="F35" s="9"/>
      <c r="G35" s="9"/>
      <c r="H35" s="9"/>
      <c r="I35" s="39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25">
      <c r="D36" s="9"/>
      <c r="E36" s="9"/>
      <c r="F36" s="9"/>
      <c r="G36" s="9"/>
      <c r="H36" s="9"/>
      <c r="I36" s="39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25">
      <c r="D37" s="9"/>
      <c r="E37" s="9"/>
      <c r="F37" s="9"/>
      <c r="G37" s="9"/>
      <c r="H37" s="9"/>
      <c r="I37" s="39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25">
      <c r="D38" s="9"/>
      <c r="E38" s="9"/>
      <c r="F38" s="9"/>
      <c r="G38" s="9"/>
      <c r="H38" s="9"/>
      <c r="I38" s="39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25">
      <c r="D39" s="9"/>
      <c r="E39" s="9"/>
      <c r="F39" s="9"/>
      <c r="G39" s="9"/>
      <c r="H39" s="9"/>
      <c r="I39" s="39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25">
      <c r="D40" s="9"/>
      <c r="E40" s="9"/>
      <c r="F40" s="9"/>
      <c r="G40" s="9"/>
      <c r="H40" s="9"/>
      <c r="I40" s="39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25">
      <c r="D41" s="9"/>
      <c r="E41" s="9"/>
      <c r="F41" s="9"/>
      <c r="G41" s="9"/>
      <c r="H41" s="9"/>
      <c r="I41" s="39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25">
      <c r="D42" s="9"/>
      <c r="E42" s="9"/>
      <c r="F42" s="9"/>
      <c r="G42" s="9"/>
      <c r="H42" s="9"/>
      <c r="I42" s="39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25">
      <c r="D43" s="9"/>
      <c r="E43" s="9"/>
      <c r="F43" s="9"/>
      <c r="G43" s="9"/>
      <c r="H43" s="9"/>
      <c r="I43" s="39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25">
      <c r="D44" s="9"/>
      <c r="E44" s="9"/>
      <c r="F44" s="9"/>
      <c r="G44" s="9"/>
      <c r="H44" s="9"/>
      <c r="I44" s="39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25">
      <c r="D45" s="9"/>
      <c r="E45" s="9"/>
      <c r="F45" s="9"/>
      <c r="G45" s="9"/>
      <c r="H45" s="9"/>
      <c r="I45" s="39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25">
      <c r="D46" s="9"/>
      <c r="E46" s="9"/>
      <c r="F46" s="9"/>
      <c r="G46" s="9"/>
      <c r="H46" s="9"/>
      <c r="I46" s="39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25">
      <c r="D47" s="9"/>
      <c r="E47" s="9"/>
      <c r="F47" s="9"/>
      <c r="G47" s="9"/>
      <c r="H47" s="9"/>
      <c r="I47" s="39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ht="15.75" thickBot="1" x14ac:dyDescent="0.3">
      <c r="D48" s="10"/>
      <c r="E48" s="10"/>
      <c r="F48" s="10"/>
      <c r="G48" s="10"/>
      <c r="H48" s="10"/>
      <c r="I48" s="47"/>
      <c r="J48" s="44"/>
      <c r="K48" s="44"/>
      <c r="L48" s="44"/>
      <c r="M48" s="44"/>
      <c r="N48" s="44"/>
      <c r="O48" s="44"/>
      <c r="P48" s="44"/>
      <c r="Q48" s="44"/>
      <c r="R48" s="44"/>
      <c r="S48" s="44"/>
    </row>
    <row r="49" spans="4:19" x14ac:dyDescent="0.25">
      <c r="D49" s="5" t="e">
        <v>#N/A</v>
      </c>
      <c r="E49" s="5" t="e">
        <v>#N/A</v>
      </c>
      <c r="F49" s="5" t="e">
        <v>#N/A</v>
      </c>
      <c r="G49" s="5" t="e">
        <v>#N/A</v>
      </c>
      <c r="H49" s="5" t="e">
        <v>#N/A</v>
      </c>
      <c r="J49" s="5" t="e">
        <v>#N/A</v>
      </c>
      <c r="K49" s="5" t="e">
        <v>#N/A</v>
      </c>
      <c r="L49" s="5" t="e">
        <v>#N/A</v>
      </c>
      <c r="M49" s="5" t="e">
        <v>#N/A</v>
      </c>
      <c r="N49" s="5" t="e">
        <v>#N/A</v>
      </c>
      <c r="O49" s="5" t="e">
        <v>#N/A</v>
      </c>
      <c r="P49" s="5" t="e">
        <v>#N/A</v>
      </c>
      <c r="Q49" s="5" t="e">
        <v>#N/A</v>
      </c>
      <c r="R49" s="5" t="e">
        <v>#N/A</v>
      </c>
      <c r="S49" s="5" t="e">
        <v>#N/A</v>
      </c>
    </row>
  </sheetData>
  <mergeCells count="1">
    <mergeCell ref="J3:S3"/>
  </mergeCells>
  <dataValidations count="5">
    <dataValidation type="list" allowBlank="1" showInputMessage="1" showErrorMessage="1" sqref="D5:D48">
      <formula1>Location</formula1>
    </dataValidation>
    <dataValidation type="list" allowBlank="1" showInputMessage="1" showErrorMessage="1" sqref="F5:F48">
      <formula1>PAPOptionsCapacity</formula1>
    </dataValidation>
    <dataValidation type="list" allowBlank="1" showInputMessage="1" showErrorMessage="1" sqref="E5:E48">
      <formula1>PAPOptionsProcess</formula1>
    </dataValidation>
    <dataValidation type="list" allowBlank="1" showInputMessage="1" showErrorMessage="1" sqref="G5:G48">
      <formula1>PAPCapex</formula1>
    </dataValidation>
    <dataValidation type="list" allowBlank="1" showInputMessage="1" showErrorMessage="1" sqref="H5:H48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>
    <tabColor theme="6"/>
  </sheetPr>
  <dimension ref="B1:N41"/>
  <sheetViews>
    <sheetView workbookViewId="0">
      <selection activeCell="B5" sqref="B5"/>
    </sheetView>
  </sheetViews>
  <sheetFormatPr baseColWidth="10" defaultColWidth="11.5703125" defaultRowHeight="15" x14ac:dyDescent="0.25"/>
  <cols>
    <col min="1" max="3" width="3.85546875" style="1" customWidth="1"/>
    <col min="4" max="4" width="20.85546875" style="1" customWidth="1"/>
    <col min="5" max="5" width="1.85546875" style="1" customWidth="1"/>
    <col min="6" max="6" width="20.85546875" style="1" customWidth="1"/>
    <col min="7" max="7" width="1.85546875" style="1" customWidth="1"/>
    <col min="8" max="8" width="20.85546875" style="1" customWidth="1"/>
    <col min="9" max="9" width="1.85546875" style="1" customWidth="1"/>
    <col min="10" max="10" width="20.85546875" style="1" customWidth="1"/>
    <col min="11" max="11" width="1.85546875" style="1" customWidth="1"/>
    <col min="12" max="12" width="20.85546875" style="1" customWidth="1"/>
    <col min="13" max="13" width="1.85546875" style="1" customWidth="1"/>
    <col min="14" max="14" width="20.5703125" style="31" customWidth="1"/>
    <col min="15" max="16384" width="11.5703125" style="1"/>
  </cols>
  <sheetData>
    <row r="1" spans="2:14" s="79" customFormat="1" ht="24.95" customHeight="1" x14ac:dyDescent="0.25">
      <c r="B1" s="78" t="s">
        <v>235</v>
      </c>
      <c r="N1" s="107"/>
    </row>
    <row r="3" spans="2:14" ht="15.75" thickBot="1" x14ac:dyDescent="0.3">
      <c r="D3" s="102" t="str">
        <f>JESA_UploadTable(D4,D4:D40,db)</f>
        <v>Granulation/Name @09:45:17</v>
      </c>
      <c r="E3" s="102"/>
      <c r="F3" s="102" t="str">
        <f>JESA_UploadTable(F4,F4:F40,db)</f>
        <v>Granulation/Process @09:45:18</v>
      </c>
      <c r="G3" s="102"/>
      <c r="H3" s="102" t="str">
        <f>JESA_UploadTable(H4,H4:H40,db)</f>
        <v>Granulation/Product @09:45:17</v>
      </c>
      <c r="I3" s="102"/>
      <c r="J3" s="102" t="str">
        <f>JESA_UploadTable(J4,J4:J40,db)</f>
        <v>Granulation/CAPEX @09:45:17</v>
      </c>
      <c r="K3" s="102"/>
      <c r="L3" s="102" t="str">
        <f>JESA_UploadTable(L4,L4:L40,db)</f>
        <v>Granulation/Input @09:45:18</v>
      </c>
      <c r="N3" s="1" t="str">
        <f>JESA_UploadTable(N4,N4:N40,db)</f>
        <v>Granulation/Capacities[kt] @09:45:18</v>
      </c>
    </row>
    <row r="4" spans="2:14" ht="30" customHeight="1" thickBot="1" x14ac:dyDescent="0.3">
      <c r="D4" s="80" t="s">
        <v>236</v>
      </c>
      <c r="F4" s="80" t="s">
        <v>237</v>
      </c>
      <c r="H4" s="80" t="s">
        <v>238</v>
      </c>
      <c r="J4" s="80" t="s">
        <v>239</v>
      </c>
      <c r="L4" s="80" t="s">
        <v>240</v>
      </c>
      <c r="N4" s="106" t="s">
        <v>301</v>
      </c>
    </row>
    <row r="5" spans="2:14" x14ac:dyDescent="0.25">
      <c r="D5" s="29" t="s">
        <v>306</v>
      </c>
      <c r="F5" s="81" t="s">
        <v>379</v>
      </c>
      <c r="H5" s="81" t="s">
        <v>81</v>
      </c>
      <c r="J5" s="30" t="s">
        <v>22</v>
      </c>
      <c r="L5" s="81" t="s">
        <v>257</v>
      </c>
      <c r="N5" s="120">
        <f>850/0.64</f>
        <v>1328.125</v>
      </c>
    </row>
    <row r="6" spans="2:14" x14ac:dyDescent="0.25">
      <c r="D6" s="33" t="s">
        <v>307</v>
      </c>
      <c r="F6" s="82" t="s">
        <v>380</v>
      </c>
      <c r="H6" s="82" t="s">
        <v>82</v>
      </c>
      <c r="J6" s="139" t="s">
        <v>169</v>
      </c>
      <c r="L6" s="82" t="s">
        <v>138</v>
      </c>
      <c r="N6" s="121">
        <v>120</v>
      </c>
    </row>
    <row r="7" spans="2:14" x14ac:dyDescent="0.25">
      <c r="D7" s="33" t="s">
        <v>308</v>
      </c>
      <c r="F7" s="82" t="s">
        <v>381</v>
      </c>
      <c r="H7" s="82" t="s">
        <v>83</v>
      </c>
      <c r="J7" s="33" t="s">
        <v>166</v>
      </c>
      <c r="L7" s="82" t="s">
        <v>81</v>
      </c>
      <c r="N7" s="121">
        <v>150</v>
      </c>
    </row>
    <row r="8" spans="2:14" x14ac:dyDescent="0.25">
      <c r="D8" s="33" t="s">
        <v>309</v>
      </c>
      <c r="F8" s="82" t="s">
        <v>382</v>
      </c>
      <c r="H8" s="82" t="s">
        <v>242</v>
      </c>
      <c r="J8" s="82"/>
      <c r="L8" s="82" t="s">
        <v>82</v>
      </c>
      <c r="N8" s="121">
        <v>160</v>
      </c>
    </row>
    <row r="9" spans="2:14" x14ac:dyDescent="0.25">
      <c r="D9" s="33" t="s">
        <v>310</v>
      </c>
      <c r="F9" s="82"/>
      <c r="H9" s="82" t="s">
        <v>243</v>
      </c>
      <c r="J9" s="82"/>
      <c r="L9" s="138" t="s">
        <v>329</v>
      </c>
      <c r="N9" s="121">
        <v>175</v>
      </c>
    </row>
    <row r="10" spans="2:14" x14ac:dyDescent="0.25">
      <c r="D10" s="33" t="s">
        <v>311</v>
      </c>
      <c r="F10" s="82"/>
      <c r="H10" s="82" t="s">
        <v>84</v>
      </c>
      <c r="J10" s="82"/>
      <c r="L10" s="82" t="s">
        <v>330</v>
      </c>
      <c r="N10" s="121">
        <v>250</v>
      </c>
    </row>
    <row r="11" spans="2:14" x14ac:dyDescent="0.25">
      <c r="D11" s="33" t="s">
        <v>312</v>
      </c>
      <c r="F11" s="82"/>
      <c r="H11" s="82" t="s">
        <v>85</v>
      </c>
      <c r="J11" s="82"/>
      <c r="L11" s="82" t="s">
        <v>331</v>
      </c>
      <c r="N11" s="121">
        <v>500</v>
      </c>
    </row>
    <row r="12" spans="2:14" x14ac:dyDescent="0.25">
      <c r="D12" s="33" t="s">
        <v>313</v>
      </c>
      <c r="F12" s="82"/>
      <c r="H12" s="82" t="s">
        <v>244</v>
      </c>
      <c r="J12" s="82"/>
      <c r="L12" s="82" t="s">
        <v>332</v>
      </c>
      <c r="N12" s="121">
        <v>1000</v>
      </c>
    </row>
    <row r="13" spans="2:14" x14ac:dyDescent="0.25">
      <c r="D13" s="33" t="s">
        <v>314</v>
      </c>
      <c r="F13" s="82"/>
      <c r="H13" s="82" t="s">
        <v>363</v>
      </c>
      <c r="I13" s="1" t="s">
        <v>271</v>
      </c>
      <c r="J13" s="82"/>
      <c r="L13" s="82" t="s">
        <v>84</v>
      </c>
      <c r="N13" s="121">
        <v>310</v>
      </c>
    </row>
    <row r="14" spans="2:14" x14ac:dyDescent="0.25">
      <c r="D14" s="33" t="s">
        <v>315</v>
      </c>
      <c r="F14" s="82"/>
      <c r="H14" s="82" t="s">
        <v>364</v>
      </c>
      <c r="I14" s="1" t="s">
        <v>271</v>
      </c>
      <c r="J14" s="82"/>
      <c r="L14" s="82" t="s">
        <v>333</v>
      </c>
      <c r="N14" s="121"/>
    </row>
    <row r="15" spans="2:14" x14ac:dyDescent="0.25">
      <c r="D15" s="33" t="s">
        <v>316</v>
      </c>
      <c r="F15" s="82"/>
      <c r="H15" s="82"/>
      <c r="J15" s="82"/>
      <c r="L15" s="82" t="s">
        <v>334</v>
      </c>
      <c r="N15" s="121"/>
    </row>
    <row r="16" spans="2:14" x14ac:dyDescent="0.25">
      <c r="D16" s="33" t="s">
        <v>317</v>
      </c>
      <c r="F16" s="82"/>
      <c r="H16" s="82"/>
      <c r="J16" s="82"/>
      <c r="L16" s="82" t="s">
        <v>335</v>
      </c>
      <c r="N16" s="121"/>
    </row>
    <row r="17" spans="4:14" x14ac:dyDescent="0.25">
      <c r="D17" s="33" t="s">
        <v>318</v>
      </c>
      <c r="F17" s="82"/>
      <c r="H17" s="82"/>
      <c r="J17" s="82"/>
      <c r="L17" s="82" t="s">
        <v>336</v>
      </c>
      <c r="N17" s="121"/>
    </row>
    <row r="18" spans="4:14" x14ac:dyDescent="0.25">
      <c r="D18" s="33" t="s">
        <v>319</v>
      </c>
      <c r="F18" s="82"/>
      <c r="H18" s="82"/>
      <c r="J18" s="82"/>
      <c r="L18" s="82" t="s">
        <v>458</v>
      </c>
      <c r="N18" s="121"/>
    </row>
    <row r="19" spans="4:14" x14ac:dyDescent="0.25">
      <c r="D19" s="33" t="s">
        <v>320</v>
      </c>
      <c r="F19" s="82"/>
      <c r="H19" s="82"/>
      <c r="J19" s="82"/>
      <c r="L19" s="82"/>
      <c r="N19" s="121"/>
    </row>
    <row r="20" spans="4:14" x14ac:dyDescent="0.25">
      <c r="D20" s="33" t="s">
        <v>321</v>
      </c>
      <c r="F20" s="82"/>
      <c r="H20" s="82"/>
      <c r="J20" s="82"/>
      <c r="L20" s="82"/>
      <c r="N20" s="121"/>
    </row>
    <row r="21" spans="4:14" x14ac:dyDescent="0.25">
      <c r="D21" s="33" t="s">
        <v>322</v>
      </c>
      <c r="F21" s="82"/>
      <c r="H21" s="82"/>
      <c r="J21" s="82"/>
      <c r="L21" s="82"/>
      <c r="N21" s="121"/>
    </row>
    <row r="22" spans="4:14" x14ac:dyDescent="0.25">
      <c r="D22" s="33" t="s">
        <v>323</v>
      </c>
      <c r="F22" s="82"/>
      <c r="H22" s="82"/>
      <c r="J22" s="82"/>
      <c r="L22" s="82"/>
      <c r="N22" s="121"/>
    </row>
    <row r="23" spans="4:14" x14ac:dyDescent="0.25">
      <c r="D23" s="33" t="s">
        <v>324</v>
      </c>
      <c r="F23" s="82"/>
      <c r="H23" s="82"/>
      <c r="J23" s="82"/>
      <c r="L23" s="82"/>
      <c r="N23" s="121"/>
    </row>
    <row r="24" spans="4:14" x14ac:dyDescent="0.25">
      <c r="D24" s="33" t="s">
        <v>325</v>
      </c>
      <c r="F24" s="82"/>
      <c r="H24" s="82"/>
      <c r="J24" s="82"/>
      <c r="L24" s="82"/>
      <c r="N24" s="121"/>
    </row>
    <row r="25" spans="4:14" x14ac:dyDescent="0.25">
      <c r="D25" s="33" t="s">
        <v>326</v>
      </c>
      <c r="F25" s="82"/>
      <c r="H25" s="82"/>
      <c r="J25" s="82"/>
      <c r="L25" s="82"/>
      <c r="N25" s="121"/>
    </row>
    <row r="26" spans="4:14" x14ac:dyDescent="0.25">
      <c r="D26" s="33" t="s">
        <v>327</v>
      </c>
      <c r="F26" s="82"/>
      <c r="H26" s="82"/>
      <c r="J26" s="82"/>
      <c r="L26" s="82"/>
      <c r="N26" s="121"/>
    </row>
    <row r="27" spans="4:14" x14ac:dyDescent="0.25">
      <c r="D27" s="33" t="s">
        <v>328</v>
      </c>
      <c r="F27" s="82"/>
      <c r="H27" s="82"/>
      <c r="J27" s="82"/>
      <c r="L27" s="82"/>
      <c r="N27" s="121"/>
    </row>
    <row r="28" spans="4:14" x14ac:dyDescent="0.25">
      <c r="D28" s="82"/>
      <c r="F28" s="82"/>
      <c r="H28" s="82"/>
      <c r="J28" s="82"/>
      <c r="L28" s="82"/>
      <c r="N28" s="121"/>
    </row>
    <row r="29" spans="4:14" x14ac:dyDescent="0.25">
      <c r="D29" s="82"/>
      <c r="F29" s="82"/>
      <c r="H29" s="82"/>
      <c r="J29" s="82"/>
      <c r="L29" s="82"/>
      <c r="N29" s="121"/>
    </row>
    <row r="30" spans="4:14" x14ac:dyDescent="0.25">
      <c r="D30" s="82"/>
      <c r="F30" s="82"/>
      <c r="H30" s="82"/>
      <c r="J30" s="82"/>
      <c r="L30" s="82"/>
      <c r="N30" s="121"/>
    </row>
    <row r="31" spans="4:14" x14ac:dyDescent="0.25">
      <c r="D31" s="82"/>
      <c r="F31" s="82"/>
      <c r="H31" s="82"/>
      <c r="J31" s="82"/>
      <c r="L31" s="82"/>
      <c r="N31" s="121"/>
    </row>
    <row r="32" spans="4:14" x14ac:dyDescent="0.25">
      <c r="D32" s="82"/>
      <c r="F32" s="82"/>
      <c r="H32" s="82"/>
      <c r="J32" s="82"/>
      <c r="L32" s="82"/>
      <c r="N32" s="121"/>
    </row>
    <row r="33" spans="4:14" x14ac:dyDescent="0.25">
      <c r="D33" s="82"/>
      <c r="F33" s="82"/>
      <c r="H33" s="82"/>
      <c r="J33" s="82"/>
      <c r="L33" s="82"/>
      <c r="N33" s="121"/>
    </row>
    <row r="34" spans="4:14" x14ac:dyDescent="0.25">
      <c r="D34" s="82"/>
      <c r="F34" s="82"/>
      <c r="H34" s="82"/>
      <c r="J34" s="82"/>
      <c r="L34" s="82"/>
      <c r="N34" s="121"/>
    </row>
    <row r="35" spans="4:14" x14ac:dyDescent="0.25">
      <c r="D35" s="82"/>
      <c r="F35" s="82"/>
      <c r="H35" s="82"/>
      <c r="J35" s="82"/>
      <c r="L35" s="82"/>
      <c r="N35" s="121"/>
    </row>
    <row r="36" spans="4:14" x14ac:dyDescent="0.25">
      <c r="D36" s="82"/>
      <c r="F36" s="82"/>
      <c r="H36" s="82"/>
      <c r="J36" s="82"/>
      <c r="L36" s="82"/>
      <c r="N36" s="121"/>
    </row>
    <row r="37" spans="4:14" x14ac:dyDescent="0.25">
      <c r="D37" s="82"/>
      <c r="F37" s="82"/>
      <c r="H37" s="82"/>
      <c r="J37" s="82"/>
      <c r="L37" s="82"/>
      <c r="N37" s="121"/>
    </row>
    <row r="38" spans="4:14" x14ac:dyDescent="0.25">
      <c r="D38" s="82"/>
      <c r="F38" s="82"/>
      <c r="H38" s="82"/>
      <c r="J38" s="82"/>
      <c r="L38" s="82"/>
      <c r="N38" s="121"/>
    </row>
    <row r="39" spans="4:14" x14ac:dyDescent="0.25">
      <c r="D39" s="82"/>
      <c r="F39" s="82"/>
      <c r="H39" s="82"/>
      <c r="J39" s="82"/>
      <c r="L39" s="82"/>
      <c r="N39" s="121"/>
    </row>
    <row r="40" spans="4:14" ht="15.75" thickBot="1" x14ac:dyDescent="0.3">
      <c r="D40" s="83"/>
      <c r="F40" s="83"/>
      <c r="H40" s="83"/>
      <c r="J40" s="83"/>
      <c r="L40" s="83"/>
      <c r="N40" s="122"/>
    </row>
    <row r="41" spans="4:14" x14ac:dyDescent="0.25">
      <c r="D41" s="1" t="s">
        <v>92</v>
      </c>
      <c r="F41" s="1" t="s">
        <v>92</v>
      </c>
      <c r="H41" s="1" t="s">
        <v>92</v>
      </c>
      <c r="J41" s="1" t="s">
        <v>92</v>
      </c>
      <c r="L41" s="1" t="s">
        <v>92</v>
      </c>
      <c r="N41" s="31" t="s">
        <v>92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theme="6"/>
  </sheetPr>
  <dimension ref="B1:O35"/>
  <sheetViews>
    <sheetView zoomScaleNormal="100" zoomScaleSheetLayoutView="100" workbookViewId="0">
      <selection activeCell="D4" sqref="D4"/>
    </sheetView>
  </sheetViews>
  <sheetFormatPr baseColWidth="10" defaultColWidth="11.5703125" defaultRowHeight="15" x14ac:dyDescent="0.25"/>
  <cols>
    <col min="1" max="3" width="3.85546875" style="5" customWidth="1"/>
    <col min="4" max="7" width="15.85546875" style="5" customWidth="1"/>
    <col min="8" max="8" width="23.28515625" style="5" bestFit="1" customWidth="1"/>
    <col min="9" max="9" width="27" style="5" bestFit="1" customWidth="1"/>
    <col min="10" max="14" width="15.85546875" style="5" customWidth="1"/>
    <col min="15" max="15" width="59.42578125" style="5" bestFit="1" customWidth="1"/>
    <col min="16" max="16384" width="11.5703125" style="5"/>
  </cols>
  <sheetData>
    <row r="1" spans="2:15" s="79" customFormat="1" ht="24.95" customHeight="1" x14ac:dyDescent="0.25">
      <c r="B1" s="78" t="s">
        <v>245</v>
      </c>
      <c r="K1" s="117"/>
    </row>
    <row r="3" spans="2:15" ht="15.75" thickBot="1" x14ac:dyDescent="0.3">
      <c r="D3" s="38" t="str">
        <f>JESA_UploadTable(B1,D4:O18,db)</f>
        <v>Granulation options @09:45:18</v>
      </c>
    </row>
    <row r="4" spans="2:15" ht="30" customHeight="1" thickBot="1" x14ac:dyDescent="0.3">
      <c r="D4" s="84" t="s">
        <v>8</v>
      </c>
      <c r="E4" s="84" t="s">
        <v>30</v>
      </c>
      <c r="F4" s="85" t="s">
        <v>348</v>
      </c>
      <c r="G4" s="85" t="s">
        <v>160</v>
      </c>
      <c r="H4" s="85" t="s">
        <v>140</v>
      </c>
      <c r="I4" s="85" t="s">
        <v>25</v>
      </c>
      <c r="J4" s="80" t="s">
        <v>268</v>
      </c>
      <c r="K4" s="116" t="s">
        <v>17</v>
      </c>
      <c r="L4" s="80" t="s">
        <v>70</v>
      </c>
      <c r="M4" s="80" t="s">
        <v>144</v>
      </c>
      <c r="N4" s="80" t="s">
        <v>148</v>
      </c>
      <c r="O4" s="84" t="s">
        <v>149</v>
      </c>
    </row>
    <row r="5" spans="2:15" ht="15.75" thickBot="1" x14ac:dyDescent="0.3">
      <c r="D5" s="9" t="s">
        <v>26</v>
      </c>
      <c r="E5" s="9" t="s">
        <v>314</v>
      </c>
      <c r="F5" s="9" t="s">
        <v>349</v>
      </c>
      <c r="G5" s="9" t="s">
        <v>347</v>
      </c>
      <c r="H5" s="118" t="s">
        <v>84</v>
      </c>
      <c r="I5" s="9" t="s">
        <v>379</v>
      </c>
      <c r="J5" s="15">
        <v>1328.125</v>
      </c>
      <c r="K5" s="11" t="s">
        <v>337</v>
      </c>
      <c r="L5" s="11" t="s">
        <v>36</v>
      </c>
      <c r="M5" s="15">
        <v>1980</v>
      </c>
      <c r="N5" s="15">
        <v>2100</v>
      </c>
      <c r="O5" s="8" t="str">
        <f>IF(D5="","","/Granulation/"&amp;CONCATENATE(D5,"/",E5,"/",I5,"/",J5,"/",L5,"/",M5,"/",N5))</f>
        <v>/Granulation/Safi/TSP1/ChemicalGranulation/1328,125/Existing/1980/2100</v>
      </c>
    </row>
    <row r="6" spans="2:15" ht="15.75" thickBot="1" x14ac:dyDescent="0.3">
      <c r="D6" s="9" t="s">
        <v>26</v>
      </c>
      <c r="E6" s="9" t="s">
        <v>317</v>
      </c>
      <c r="F6" s="9" t="s">
        <v>349</v>
      </c>
      <c r="G6" s="9" t="s">
        <v>347</v>
      </c>
      <c r="H6" s="118" t="s">
        <v>378</v>
      </c>
      <c r="I6" s="9" t="s">
        <v>379</v>
      </c>
      <c r="J6" s="15">
        <v>310</v>
      </c>
      <c r="K6" s="11" t="s">
        <v>337</v>
      </c>
      <c r="L6" s="11" t="s">
        <v>36</v>
      </c>
      <c r="M6" s="15">
        <v>1980</v>
      </c>
      <c r="N6" s="15">
        <v>2100</v>
      </c>
      <c r="O6" s="8" t="str">
        <f t="shared" ref="O6:O35" si="0">IF(D6="","","/Granulation/"&amp;CONCATENATE(D6,"/",E6,"/",I6,"/",J6,"/",L6,"/",M6,"/",N6))</f>
        <v>/Granulation/Safi/MCP1/ChemicalGranulation/310/Existing/1980/2100</v>
      </c>
    </row>
    <row r="7" spans="2:15" ht="15.75" thickBot="1" x14ac:dyDescent="0.3">
      <c r="D7" s="9" t="s">
        <v>26</v>
      </c>
      <c r="E7" s="9" t="s">
        <v>314</v>
      </c>
      <c r="F7" s="9" t="s">
        <v>349</v>
      </c>
      <c r="G7" s="9" t="s">
        <v>347</v>
      </c>
      <c r="H7" s="118" t="s">
        <v>84</v>
      </c>
      <c r="I7" s="9" t="s">
        <v>379</v>
      </c>
      <c r="J7" s="15">
        <v>1328.125</v>
      </c>
      <c r="K7" s="11" t="s">
        <v>337</v>
      </c>
      <c r="L7" s="11" t="s">
        <v>36</v>
      </c>
      <c r="M7" s="15">
        <v>1980</v>
      </c>
      <c r="N7" s="15">
        <v>2024</v>
      </c>
      <c r="O7" s="8" t="str">
        <f t="shared" si="0"/>
        <v>/Granulation/Safi/TSP1/ChemicalGranulation/1328,125/Existing/1980/2024</v>
      </c>
    </row>
    <row r="8" spans="2:15" ht="15.75" thickBot="1" x14ac:dyDescent="0.3">
      <c r="D8" s="9" t="s">
        <v>26</v>
      </c>
      <c r="E8" s="9" t="s">
        <v>317</v>
      </c>
      <c r="F8" s="9" t="s">
        <v>349</v>
      </c>
      <c r="G8" s="9" t="s">
        <v>347</v>
      </c>
      <c r="H8" s="118" t="s">
        <v>378</v>
      </c>
      <c r="I8" s="9" t="s">
        <v>379</v>
      </c>
      <c r="J8" s="15">
        <v>310</v>
      </c>
      <c r="K8" s="11" t="s">
        <v>337</v>
      </c>
      <c r="L8" s="11" t="s">
        <v>36</v>
      </c>
      <c r="M8" s="15">
        <v>1980</v>
      </c>
      <c r="N8" s="15">
        <v>2024</v>
      </c>
      <c r="O8" s="8" t="str">
        <f t="shared" si="0"/>
        <v>/Granulation/Safi/MCP1/ChemicalGranulation/310/Existing/1980/2024</v>
      </c>
    </row>
    <row r="9" spans="2:15" ht="15.75" thickBot="1" x14ac:dyDescent="0.3">
      <c r="D9" s="9" t="s">
        <v>26</v>
      </c>
      <c r="E9" s="9" t="s">
        <v>314</v>
      </c>
      <c r="F9" s="9" t="s">
        <v>349</v>
      </c>
      <c r="G9" s="9" t="s">
        <v>347</v>
      </c>
      <c r="H9" s="118" t="s">
        <v>84</v>
      </c>
      <c r="I9" s="9" t="s">
        <v>379</v>
      </c>
      <c r="J9" s="15">
        <v>1328.125</v>
      </c>
      <c r="K9" s="11" t="s">
        <v>337</v>
      </c>
      <c r="L9" s="11" t="s">
        <v>36</v>
      </c>
      <c r="M9" s="15">
        <v>1980</v>
      </c>
      <c r="N9" s="15">
        <v>2030</v>
      </c>
      <c r="O9" s="8" t="str">
        <f t="shared" si="0"/>
        <v>/Granulation/Safi/TSP1/ChemicalGranulation/1328,125/Existing/1980/2030</v>
      </c>
    </row>
    <row r="10" spans="2:15" ht="15.75" thickBot="1" x14ac:dyDescent="0.3">
      <c r="D10" s="9" t="s">
        <v>26</v>
      </c>
      <c r="E10" s="9" t="s">
        <v>317</v>
      </c>
      <c r="F10" s="9" t="s">
        <v>349</v>
      </c>
      <c r="G10" s="9" t="s">
        <v>347</v>
      </c>
      <c r="H10" s="118" t="s">
        <v>378</v>
      </c>
      <c r="I10" s="9" t="s">
        <v>379</v>
      </c>
      <c r="J10" s="15">
        <v>310</v>
      </c>
      <c r="K10" s="11" t="s">
        <v>337</v>
      </c>
      <c r="L10" s="11" t="s">
        <v>36</v>
      </c>
      <c r="M10" s="15">
        <v>1980</v>
      </c>
      <c r="N10" s="15">
        <v>2030</v>
      </c>
      <c r="O10" s="8" t="str">
        <f t="shared" si="0"/>
        <v>/Granulation/Safi/MCP1/ChemicalGranulation/310/Existing/1980/2030</v>
      </c>
    </row>
    <row r="11" spans="2:15" ht="15.75" thickBot="1" x14ac:dyDescent="0.3">
      <c r="D11" s="9" t="s">
        <v>26</v>
      </c>
      <c r="E11" s="9">
        <v>8</v>
      </c>
      <c r="F11" s="9" t="s">
        <v>349</v>
      </c>
      <c r="G11" s="9" t="s">
        <v>350</v>
      </c>
      <c r="H11" s="118" t="s">
        <v>363</v>
      </c>
      <c r="I11" s="9" t="s">
        <v>379</v>
      </c>
      <c r="J11" s="15">
        <v>1000</v>
      </c>
      <c r="K11" s="11" t="s">
        <v>337</v>
      </c>
      <c r="L11" s="11" t="s">
        <v>146</v>
      </c>
      <c r="M11" s="15">
        <v>2024</v>
      </c>
      <c r="N11" s="15">
        <v>2100</v>
      </c>
      <c r="O11" s="8" t="str">
        <f t="shared" si="0"/>
        <v>/Granulation/Safi/8/ChemicalGranulation/1000/New/2024/2100</v>
      </c>
    </row>
    <row r="12" spans="2:15" ht="15.75" thickBot="1" x14ac:dyDescent="0.3">
      <c r="D12" s="9" t="s">
        <v>26</v>
      </c>
      <c r="E12" s="9">
        <v>3</v>
      </c>
      <c r="F12" s="9" t="s">
        <v>349</v>
      </c>
      <c r="G12" s="9" t="s">
        <v>350</v>
      </c>
      <c r="H12" s="118" t="s">
        <v>363</v>
      </c>
      <c r="I12" s="9" t="s">
        <v>379</v>
      </c>
      <c r="J12" s="15">
        <v>500</v>
      </c>
      <c r="K12" s="11" t="s">
        <v>337</v>
      </c>
      <c r="L12" s="11" t="s">
        <v>146</v>
      </c>
      <c r="M12" s="15">
        <v>2024</v>
      </c>
      <c r="N12" s="15">
        <v>2100</v>
      </c>
      <c r="O12" s="8" t="str">
        <f t="shared" si="0"/>
        <v>/Granulation/Safi/3/ChemicalGranulation/500/New/2024/2100</v>
      </c>
    </row>
    <row r="13" spans="2:15" ht="15.75" thickBot="1" x14ac:dyDescent="0.3">
      <c r="D13" s="9" t="s">
        <v>26</v>
      </c>
      <c r="E13" s="9">
        <v>1</v>
      </c>
      <c r="F13" s="9" t="s">
        <v>349</v>
      </c>
      <c r="G13" s="9" t="s">
        <v>347</v>
      </c>
      <c r="H13" s="118" t="s">
        <v>378</v>
      </c>
      <c r="I13" s="9" t="s">
        <v>379</v>
      </c>
      <c r="J13" s="15">
        <v>175</v>
      </c>
      <c r="K13" s="11" t="s">
        <v>337</v>
      </c>
      <c r="L13" s="11" t="s">
        <v>146</v>
      </c>
      <c r="M13" s="15">
        <v>2024</v>
      </c>
      <c r="N13" s="15">
        <v>2100</v>
      </c>
      <c r="O13" s="8" t="str">
        <f t="shared" si="0"/>
        <v>/Granulation/Safi/1/ChemicalGranulation/175/New/2024/2100</v>
      </c>
    </row>
    <row r="14" spans="2:15" ht="15.75" thickBot="1" x14ac:dyDescent="0.3">
      <c r="D14" s="9"/>
      <c r="E14" s="9"/>
      <c r="F14" s="9"/>
      <c r="G14" s="9"/>
      <c r="H14" s="118"/>
      <c r="I14" s="9"/>
      <c r="J14" s="15"/>
      <c r="K14" s="11"/>
      <c r="L14" s="11"/>
      <c r="M14" s="15"/>
      <c r="N14" s="15"/>
      <c r="O14" s="8" t="str">
        <f t="shared" si="0"/>
        <v/>
      </c>
    </row>
    <row r="15" spans="2:15" ht="15.75" thickBot="1" x14ac:dyDescent="0.3">
      <c r="D15" s="9"/>
      <c r="E15" s="9"/>
      <c r="F15" s="9"/>
      <c r="G15" s="9"/>
      <c r="H15" s="118"/>
      <c r="I15" s="9"/>
      <c r="J15" s="15"/>
      <c r="K15" s="11"/>
      <c r="L15" s="11"/>
      <c r="M15" s="15"/>
      <c r="N15" s="15"/>
      <c r="O15" s="8" t="str">
        <f t="shared" si="0"/>
        <v/>
      </c>
    </row>
    <row r="16" spans="2:15" ht="15.75" thickBot="1" x14ac:dyDescent="0.3">
      <c r="D16" s="9"/>
      <c r="E16" s="9"/>
      <c r="F16" s="9"/>
      <c r="G16" s="9"/>
      <c r="H16" s="118"/>
      <c r="I16" s="9"/>
      <c r="J16" s="15"/>
      <c r="K16" s="11"/>
      <c r="L16" s="11"/>
      <c r="M16" s="15"/>
      <c r="N16" s="15"/>
      <c r="O16" s="8" t="str">
        <f t="shared" si="0"/>
        <v/>
      </c>
    </row>
    <row r="17" spans="4:15" ht="15.75" thickBot="1" x14ac:dyDescent="0.3">
      <c r="D17" s="9"/>
      <c r="E17" s="9"/>
      <c r="F17" s="9"/>
      <c r="G17" s="9"/>
      <c r="H17" s="118"/>
      <c r="I17" s="9"/>
      <c r="J17" s="15"/>
      <c r="K17" s="11"/>
      <c r="L17" s="11"/>
      <c r="M17" s="15"/>
      <c r="N17" s="15"/>
      <c r="O17" s="8" t="str">
        <f t="shared" si="0"/>
        <v/>
      </c>
    </row>
    <row r="18" spans="4:15" ht="15.75" thickBot="1" x14ac:dyDescent="0.3">
      <c r="D18" s="9"/>
      <c r="E18" s="9"/>
      <c r="F18" s="9"/>
      <c r="G18" s="9"/>
      <c r="H18" s="118"/>
      <c r="I18" s="9"/>
      <c r="J18" s="15"/>
      <c r="K18" s="11"/>
      <c r="L18" s="11"/>
      <c r="M18" s="15"/>
      <c r="N18" s="15"/>
      <c r="O18" s="8" t="str">
        <f t="shared" si="0"/>
        <v/>
      </c>
    </row>
    <row r="19" spans="4:15" ht="15.75" thickBot="1" x14ac:dyDescent="0.3">
      <c r="D19" s="9"/>
      <c r="E19" s="9"/>
      <c r="F19" s="9"/>
      <c r="G19" s="9"/>
      <c r="H19" s="118"/>
      <c r="I19" s="9"/>
      <c r="J19" s="15"/>
      <c r="K19" s="11"/>
      <c r="L19" s="11"/>
      <c r="M19" s="15"/>
      <c r="N19" s="15"/>
      <c r="O19" s="8" t="str">
        <f t="shared" si="0"/>
        <v/>
      </c>
    </row>
    <row r="20" spans="4:15" ht="15.75" thickBot="1" x14ac:dyDescent="0.3">
      <c r="D20" s="9"/>
      <c r="E20" s="9"/>
      <c r="F20" s="9"/>
      <c r="G20" s="9"/>
      <c r="H20" s="118"/>
      <c r="I20" s="9"/>
      <c r="J20" s="15"/>
      <c r="K20" s="11"/>
      <c r="L20" s="11"/>
      <c r="M20" s="15"/>
      <c r="N20" s="15"/>
      <c r="O20" s="8" t="str">
        <f t="shared" si="0"/>
        <v/>
      </c>
    </row>
    <row r="21" spans="4:15" ht="15.75" thickBot="1" x14ac:dyDescent="0.3">
      <c r="D21" s="9"/>
      <c r="E21" s="9"/>
      <c r="F21" s="9"/>
      <c r="G21" s="9"/>
      <c r="H21" s="118"/>
      <c r="I21" s="9"/>
      <c r="J21" s="15"/>
      <c r="K21" s="11"/>
      <c r="L21" s="11"/>
      <c r="M21" s="15"/>
      <c r="N21" s="15"/>
      <c r="O21" s="8" t="str">
        <f t="shared" si="0"/>
        <v/>
      </c>
    </row>
    <row r="22" spans="4:15" ht="15.75" thickBot="1" x14ac:dyDescent="0.3">
      <c r="D22" s="9"/>
      <c r="E22" s="9"/>
      <c r="F22" s="9"/>
      <c r="G22" s="9"/>
      <c r="H22" s="118"/>
      <c r="I22" s="9"/>
      <c r="J22" s="15"/>
      <c r="K22" s="11"/>
      <c r="L22" s="11"/>
      <c r="M22" s="15"/>
      <c r="N22" s="15"/>
      <c r="O22" s="8" t="str">
        <f t="shared" si="0"/>
        <v/>
      </c>
    </row>
    <row r="23" spans="4:15" ht="15.75" thickBot="1" x14ac:dyDescent="0.3">
      <c r="D23" s="9"/>
      <c r="E23" s="9"/>
      <c r="F23" s="9"/>
      <c r="G23" s="9"/>
      <c r="H23" s="118"/>
      <c r="I23" s="9"/>
      <c r="J23" s="15"/>
      <c r="K23" s="11"/>
      <c r="L23" s="11"/>
      <c r="M23" s="15"/>
      <c r="N23" s="15"/>
      <c r="O23" s="8" t="str">
        <f t="shared" si="0"/>
        <v/>
      </c>
    </row>
    <row r="24" spans="4:15" ht="15.75" thickBot="1" x14ac:dyDescent="0.3">
      <c r="D24" s="9"/>
      <c r="E24" s="9"/>
      <c r="F24" s="9"/>
      <c r="G24" s="9"/>
      <c r="H24" s="118"/>
      <c r="I24" s="9"/>
      <c r="J24" s="15"/>
      <c r="K24" s="11"/>
      <c r="L24" s="11"/>
      <c r="M24" s="15"/>
      <c r="N24" s="15"/>
      <c r="O24" s="8" t="str">
        <f t="shared" si="0"/>
        <v/>
      </c>
    </row>
    <row r="25" spans="4:15" ht="15.75" thickBot="1" x14ac:dyDescent="0.3">
      <c r="D25" s="9"/>
      <c r="E25" s="9"/>
      <c r="F25" s="9"/>
      <c r="G25" s="9"/>
      <c r="H25" s="118"/>
      <c r="I25" s="9"/>
      <c r="J25" s="15"/>
      <c r="K25" s="11"/>
      <c r="L25" s="11"/>
      <c r="M25" s="15"/>
      <c r="N25" s="15"/>
      <c r="O25" s="8" t="str">
        <f t="shared" si="0"/>
        <v/>
      </c>
    </row>
    <row r="26" spans="4:15" ht="15.75" thickBot="1" x14ac:dyDescent="0.3">
      <c r="D26" s="9"/>
      <c r="E26" s="9"/>
      <c r="F26" s="9"/>
      <c r="G26" s="9"/>
      <c r="H26" s="118"/>
      <c r="I26" s="9"/>
      <c r="J26" s="15"/>
      <c r="K26" s="11"/>
      <c r="L26" s="11"/>
      <c r="M26" s="15"/>
      <c r="N26" s="15"/>
      <c r="O26" s="8" t="str">
        <f t="shared" si="0"/>
        <v/>
      </c>
    </row>
    <row r="27" spans="4:15" ht="15.75" thickBot="1" x14ac:dyDescent="0.3">
      <c r="D27" s="9"/>
      <c r="E27" s="9"/>
      <c r="F27" s="9"/>
      <c r="G27" s="9"/>
      <c r="H27" s="118"/>
      <c r="I27" s="9"/>
      <c r="J27" s="15"/>
      <c r="K27" s="11"/>
      <c r="L27" s="11"/>
      <c r="M27" s="15"/>
      <c r="N27" s="15"/>
      <c r="O27" s="8" t="str">
        <f t="shared" si="0"/>
        <v/>
      </c>
    </row>
    <row r="28" spans="4:15" ht="15.75" thickBot="1" x14ac:dyDescent="0.3">
      <c r="D28" s="9"/>
      <c r="E28" s="9"/>
      <c r="F28" s="9"/>
      <c r="G28" s="9"/>
      <c r="H28" s="118"/>
      <c r="I28" s="9"/>
      <c r="J28" s="15"/>
      <c r="K28" s="11"/>
      <c r="L28" s="11"/>
      <c r="M28" s="15"/>
      <c r="N28" s="15"/>
      <c r="O28" s="8" t="str">
        <f t="shared" si="0"/>
        <v/>
      </c>
    </row>
    <row r="29" spans="4:15" ht="15.75" thickBot="1" x14ac:dyDescent="0.3">
      <c r="D29" s="9"/>
      <c r="E29" s="9"/>
      <c r="F29" s="9"/>
      <c r="G29" s="9"/>
      <c r="H29" s="118"/>
      <c r="I29" s="9"/>
      <c r="J29" s="15"/>
      <c r="K29" s="11"/>
      <c r="L29" s="11"/>
      <c r="M29" s="15"/>
      <c r="N29" s="15"/>
      <c r="O29" s="8" t="str">
        <f t="shared" si="0"/>
        <v/>
      </c>
    </row>
    <row r="30" spans="4:15" ht="15.75" thickBot="1" x14ac:dyDescent="0.3">
      <c r="D30" s="9"/>
      <c r="E30" s="9"/>
      <c r="F30" s="9"/>
      <c r="G30" s="9"/>
      <c r="H30" s="118"/>
      <c r="I30" s="9"/>
      <c r="J30" s="15"/>
      <c r="K30" s="11"/>
      <c r="L30" s="11"/>
      <c r="M30" s="15"/>
      <c r="N30" s="15"/>
      <c r="O30" s="8" t="str">
        <f t="shared" si="0"/>
        <v/>
      </c>
    </row>
    <row r="31" spans="4:15" ht="15.75" thickBot="1" x14ac:dyDescent="0.3">
      <c r="D31" s="9"/>
      <c r="E31" s="9"/>
      <c r="F31" s="9"/>
      <c r="G31" s="9"/>
      <c r="H31" s="118"/>
      <c r="I31" s="9"/>
      <c r="J31" s="15"/>
      <c r="K31" s="11"/>
      <c r="L31" s="11"/>
      <c r="M31" s="15"/>
      <c r="N31" s="15"/>
      <c r="O31" s="8" t="str">
        <f t="shared" si="0"/>
        <v/>
      </c>
    </row>
    <row r="32" spans="4:15" ht="15.75" thickBot="1" x14ac:dyDescent="0.3">
      <c r="D32" s="9"/>
      <c r="E32" s="9"/>
      <c r="F32" s="9"/>
      <c r="G32" s="9"/>
      <c r="H32" s="118"/>
      <c r="I32" s="9"/>
      <c r="J32" s="15"/>
      <c r="K32" s="11"/>
      <c r="L32" s="11"/>
      <c r="M32" s="15"/>
      <c r="N32" s="15"/>
      <c r="O32" s="8" t="str">
        <f t="shared" si="0"/>
        <v/>
      </c>
    </row>
    <row r="33" spans="4:15" ht="15.75" thickBot="1" x14ac:dyDescent="0.3">
      <c r="D33" s="9"/>
      <c r="E33" s="9"/>
      <c r="F33" s="9"/>
      <c r="G33" s="9"/>
      <c r="H33" s="118"/>
      <c r="I33" s="9"/>
      <c r="J33" s="15"/>
      <c r="K33" s="11"/>
      <c r="L33" s="11"/>
      <c r="M33" s="15"/>
      <c r="N33" s="15"/>
      <c r="O33" s="8" t="str">
        <f t="shared" si="0"/>
        <v/>
      </c>
    </row>
    <row r="34" spans="4:15" ht="15.75" thickBot="1" x14ac:dyDescent="0.3">
      <c r="D34" s="10"/>
      <c r="E34" s="10"/>
      <c r="F34" s="10"/>
      <c r="G34" s="10"/>
      <c r="H34" s="119"/>
      <c r="I34" s="10"/>
      <c r="J34" s="16"/>
      <c r="K34" s="12"/>
      <c r="L34" s="12"/>
      <c r="M34" s="16"/>
      <c r="N34" s="16"/>
      <c r="O34" s="8" t="str">
        <f t="shared" si="0"/>
        <v/>
      </c>
    </row>
    <row r="35" spans="4:15" x14ac:dyDescent="0.25">
      <c r="D35" s="5" t="e">
        <v>#N/A</v>
      </c>
      <c r="E35" s="5" t="e">
        <v>#N/A</v>
      </c>
      <c r="I35" s="5" t="e">
        <v>#N/A</v>
      </c>
      <c r="J35" s="5" t="e">
        <v>#N/A</v>
      </c>
      <c r="M35" s="5" t="e">
        <v>#N/A</v>
      </c>
      <c r="N35" s="5" t="e">
        <v>#N/A</v>
      </c>
      <c r="O35" s="8" t="e">
        <f t="shared" si="0"/>
        <v>#N/A</v>
      </c>
    </row>
  </sheetData>
  <dataValidations count="8">
    <dataValidation type="list" allowBlank="1" showInputMessage="1" showErrorMessage="1" sqref="L5:L34">
      <formula1>"Existing,New"</formula1>
    </dataValidation>
    <dataValidation type="list" allowBlank="1" showInputMessage="1" showErrorMessage="1" sqref="D5:D34">
      <formula1>Location</formula1>
    </dataValidation>
    <dataValidation type="list" allowBlank="1" showInputMessage="1" showErrorMessage="1" sqref="I5:I34">
      <formula1>GranulProcess</formula1>
    </dataValidation>
    <dataValidation type="list" allowBlank="1" showInputMessage="1" showErrorMessage="1" sqref="J5:J34">
      <formula1>GranulCapacities</formula1>
    </dataValidation>
    <dataValidation type="list" allowBlank="1" showInputMessage="1" showErrorMessage="1" sqref="K5:K54">
      <formula1>Unit</formula1>
    </dataValidation>
    <dataValidation type="list" allowBlank="1" showInputMessage="1" showErrorMessage="1" sqref="G5:G34">
      <formula1>"Monoproduit,Multiproduits"</formula1>
    </dataValidation>
    <dataValidation type="list" allowBlank="1" showInputMessage="1" showErrorMessage="1" sqref="H5:H34">
      <formula1>GranulProducts</formula1>
    </dataValidation>
    <dataValidation type="list" allowBlank="1" showInputMessage="1" showErrorMessage="1" sqref="F5:F34">
      <formula1>"Morocco,Market"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>
    <tabColor theme="6"/>
  </sheetPr>
  <dimension ref="B1:R51"/>
  <sheetViews>
    <sheetView zoomScaleNormal="100" workbookViewId="0">
      <selection activeCell="I1" sqref="I1:S1048576"/>
    </sheetView>
  </sheetViews>
  <sheetFormatPr baseColWidth="10" defaultColWidth="11.5703125" defaultRowHeight="15" x14ac:dyDescent="0.25"/>
  <cols>
    <col min="1" max="3" width="3.85546875" style="5" customWidth="1"/>
    <col min="4" max="4" width="25.85546875" style="5" customWidth="1"/>
    <col min="5" max="7" width="15.85546875" style="5" customWidth="1"/>
    <col min="8" max="18" width="8.85546875" style="5" customWidth="1"/>
    <col min="19" max="16384" width="11.5703125" style="5"/>
  </cols>
  <sheetData>
    <row r="1" spans="2:18" s="79" customFormat="1" ht="24.95" customHeight="1" x14ac:dyDescent="0.25">
      <c r="B1" s="78" t="s">
        <v>246</v>
      </c>
    </row>
    <row r="3" spans="2:18" ht="15.75" thickBot="1" x14ac:dyDescent="0.3">
      <c r="D3" s="38" t="str">
        <f>JESA_UploadTable(B1,D4:R14,db)</f>
        <v>Granulation production @09:45:19</v>
      </c>
    </row>
    <row r="4" spans="2:18" ht="30" customHeight="1" thickBot="1" x14ac:dyDescent="0.3">
      <c r="D4" s="84" t="s">
        <v>25</v>
      </c>
      <c r="E4" s="84" t="s">
        <v>230</v>
      </c>
      <c r="F4" s="84" t="s">
        <v>24</v>
      </c>
      <c r="G4" s="80" t="s">
        <v>17</v>
      </c>
      <c r="H4" s="86" t="s">
        <v>37</v>
      </c>
      <c r="I4" s="86" t="s">
        <v>38</v>
      </c>
      <c r="J4" s="86" t="s">
        <v>39</v>
      </c>
      <c r="K4" s="86" t="s">
        <v>40</v>
      </c>
      <c r="L4" s="86" t="s">
        <v>41</v>
      </c>
      <c r="M4" s="86" t="s">
        <v>42</v>
      </c>
      <c r="N4" s="86" t="s">
        <v>43</v>
      </c>
      <c r="O4" s="86" t="s">
        <v>44</v>
      </c>
      <c r="P4" s="86" t="s">
        <v>45</v>
      </c>
      <c r="Q4" s="86" t="s">
        <v>46</v>
      </c>
      <c r="R4" s="86" t="s">
        <v>47</v>
      </c>
    </row>
    <row r="5" spans="2:18" ht="15.75" thickBot="1" x14ac:dyDescent="0.3">
      <c r="D5" s="8" t="s">
        <v>379</v>
      </c>
      <c r="E5" s="8" t="s">
        <v>458</v>
      </c>
      <c r="F5" s="8" t="s">
        <v>81</v>
      </c>
      <c r="G5" s="8" t="s">
        <v>57</v>
      </c>
      <c r="H5" s="17">
        <v>1</v>
      </c>
      <c r="I5" s="17">
        <f t="shared" ref="I5:R20" si="0">IF(H5="","",H5)</f>
        <v>1</v>
      </c>
      <c r="J5" s="17">
        <f t="shared" si="0"/>
        <v>1</v>
      </c>
      <c r="K5" s="17">
        <f t="shared" si="0"/>
        <v>1</v>
      </c>
      <c r="L5" s="17">
        <f t="shared" si="0"/>
        <v>1</v>
      </c>
      <c r="M5" s="17">
        <f t="shared" si="0"/>
        <v>1</v>
      </c>
      <c r="N5" s="17">
        <f t="shared" si="0"/>
        <v>1</v>
      </c>
      <c r="O5" s="17">
        <f t="shared" si="0"/>
        <v>1</v>
      </c>
      <c r="P5" s="17">
        <f t="shared" si="0"/>
        <v>1</v>
      </c>
      <c r="Q5" s="17">
        <f t="shared" si="0"/>
        <v>1</v>
      </c>
      <c r="R5" s="17">
        <f t="shared" si="0"/>
        <v>1</v>
      </c>
    </row>
    <row r="6" spans="2:18" ht="15.75" thickBot="1" x14ac:dyDescent="0.3">
      <c r="D6" s="9" t="s">
        <v>379</v>
      </c>
      <c r="E6" s="8" t="s">
        <v>458</v>
      </c>
      <c r="F6" s="9" t="s">
        <v>82</v>
      </c>
      <c r="G6" s="9" t="s">
        <v>57</v>
      </c>
      <c r="H6" s="18">
        <v>1</v>
      </c>
      <c r="I6" s="18">
        <f t="shared" si="0"/>
        <v>1</v>
      </c>
      <c r="J6" s="18">
        <f t="shared" si="0"/>
        <v>1</v>
      </c>
      <c r="K6" s="18">
        <f t="shared" si="0"/>
        <v>1</v>
      </c>
      <c r="L6" s="18">
        <f t="shared" si="0"/>
        <v>1</v>
      </c>
      <c r="M6" s="18">
        <f t="shared" si="0"/>
        <v>1</v>
      </c>
      <c r="N6" s="18">
        <f t="shared" si="0"/>
        <v>1</v>
      </c>
      <c r="O6" s="18">
        <f t="shared" si="0"/>
        <v>1</v>
      </c>
      <c r="P6" s="18">
        <f t="shared" si="0"/>
        <v>1</v>
      </c>
      <c r="Q6" s="18">
        <f t="shared" si="0"/>
        <v>1</v>
      </c>
      <c r="R6" s="18">
        <f t="shared" si="0"/>
        <v>1</v>
      </c>
    </row>
    <row r="7" spans="2:18" ht="15.75" thickBot="1" x14ac:dyDescent="0.3">
      <c r="D7" s="9" t="s">
        <v>379</v>
      </c>
      <c r="E7" s="8" t="s">
        <v>458</v>
      </c>
      <c r="F7" s="9" t="s">
        <v>83</v>
      </c>
      <c r="G7" s="9" t="s">
        <v>57</v>
      </c>
      <c r="H7" s="18">
        <v>0.8</v>
      </c>
      <c r="I7" s="18">
        <f t="shared" si="0"/>
        <v>0.8</v>
      </c>
      <c r="J7" s="18">
        <f t="shared" si="0"/>
        <v>0.8</v>
      </c>
      <c r="K7" s="18">
        <f t="shared" si="0"/>
        <v>0.8</v>
      </c>
      <c r="L7" s="18">
        <f t="shared" si="0"/>
        <v>0.8</v>
      </c>
      <c r="M7" s="18">
        <f t="shared" si="0"/>
        <v>0.8</v>
      </c>
      <c r="N7" s="18">
        <f t="shared" si="0"/>
        <v>0.8</v>
      </c>
      <c r="O7" s="18">
        <f t="shared" si="0"/>
        <v>0.8</v>
      </c>
      <c r="P7" s="18">
        <f t="shared" si="0"/>
        <v>0.8</v>
      </c>
      <c r="Q7" s="18">
        <f t="shared" si="0"/>
        <v>0.8</v>
      </c>
      <c r="R7" s="18">
        <f t="shared" si="0"/>
        <v>0.8</v>
      </c>
    </row>
    <row r="8" spans="2:18" ht="15.75" thickBot="1" x14ac:dyDescent="0.3">
      <c r="D8" s="9" t="s">
        <v>379</v>
      </c>
      <c r="E8" s="8" t="s">
        <v>458</v>
      </c>
      <c r="F8" s="9" t="s">
        <v>242</v>
      </c>
      <c r="G8" s="9" t="s">
        <v>57</v>
      </c>
      <c r="H8" s="18">
        <v>1</v>
      </c>
      <c r="I8" s="18">
        <f t="shared" si="0"/>
        <v>1</v>
      </c>
      <c r="J8" s="18">
        <f t="shared" si="0"/>
        <v>1</v>
      </c>
      <c r="K8" s="18">
        <f t="shared" si="0"/>
        <v>1</v>
      </c>
      <c r="L8" s="18">
        <f t="shared" si="0"/>
        <v>1</v>
      </c>
      <c r="M8" s="18">
        <f t="shared" si="0"/>
        <v>1</v>
      </c>
      <c r="N8" s="18">
        <f t="shared" si="0"/>
        <v>1</v>
      </c>
      <c r="O8" s="18">
        <f t="shared" si="0"/>
        <v>1</v>
      </c>
      <c r="P8" s="18">
        <f t="shared" si="0"/>
        <v>1</v>
      </c>
      <c r="Q8" s="18">
        <f t="shared" si="0"/>
        <v>1</v>
      </c>
      <c r="R8" s="18">
        <f t="shared" si="0"/>
        <v>1</v>
      </c>
    </row>
    <row r="9" spans="2:18" ht="15.75" thickBot="1" x14ac:dyDescent="0.3">
      <c r="D9" s="9" t="s">
        <v>379</v>
      </c>
      <c r="E9" s="8" t="s">
        <v>458</v>
      </c>
      <c r="F9" s="9" t="s">
        <v>243</v>
      </c>
      <c r="G9" s="9" t="s">
        <v>57</v>
      </c>
      <c r="H9" s="18">
        <v>1</v>
      </c>
      <c r="I9" s="18">
        <f t="shared" si="0"/>
        <v>1</v>
      </c>
      <c r="J9" s="18">
        <f t="shared" si="0"/>
        <v>1</v>
      </c>
      <c r="K9" s="18">
        <f t="shared" si="0"/>
        <v>1</v>
      </c>
      <c r="L9" s="18">
        <f t="shared" si="0"/>
        <v>1</v>
      </c>
      <c r="M9" s="18">
        <f t="shared" si="0"/>
        <v>1</v>
      </c>
      <c r="N9" s="18">
        <f t="shared" si="0"/>
        <v>1</v>
      </c>
      <c r="O9" s="18">
        <f t="shared" si="0"/>
        <v>1</v>
      </c>
      <c r="P9" s="18">
        <f t="shared" si="0"/>
        <v>1</v>
      </c>
      <c r="Q9" s="18">
        <f t="shared" si="0"/>
        <v>1</v>
      </c>
      <c r="R9" s="18">
        <f t="shared" si="0"/>
        <v>1</v>
      </c>
    </row>
    <row r="10" spans="2:18" ht="15.75" thickBot="1" x14ac:dyDescent="0.3">
      <c r="D10" s="9" t="s">
        <v>379</v>
      </c>
      <c r="E10" s="8" t="s">
        <v>458</v>
      </c>
      <c r="F10" s="9" t="s">
        <v>84</v>
      </c>
      <c r="G10" s="9" t="s">
        <v>57</v>
      </c>
      <c r="H10" s="18">
        <v>0.64</v>
      </c>
      <c r="I10" s="18">
        <f t="shared" si="0"/>
        <v>0.64</v>
      </c>
      <c r="J10" s="18">
        <f t="shared" si="0"/>
        <v>0.64</v>
      </c>
      <c r="K10" s="18">
        <f t="shared" si="0"/>
        <v>0.64</v>
      </c>
      <c r="L10" s="18">
        <f t="shared" si="0"/>
        <v>0.64</v>
      </c>
      <c r="M10" s="18">
        <f t="shared" si="0"/>
        <v>0.64</v>
      </c>
      <c r="N10" s="18">
        <f t="shared" si="0"/>
        <v>0.64</v>
      </c>
      <c r="O10" s="18">
        <f t="shared" si="0"/>
        <v>0.64</v>
      </c>
      <c r="P10" s="18">
        <f t="shared" si="0"/>
        <v>0.64</v>
      </c>
      <c r="Q10" s="18">
        <f t="shared" si="0"/>
        <v>0.64</v>
      </c>
      <c r="R10" s="18">
        <f t="shared" si="0"/>
        <v>0.64</v>
      </c>
    </row>
    <row r="11" spans="2:18" ht="15.75" thickBot="1" x14ac:dyDescent="0.3">
      <c r="D11" s="9" t="s">
        <v>379</v>
      </c>
      <c r="E11" s="8" t="s">
        <v>458</v>
      </c>
      <c r="F11" s="9" t="s">
        <v>85</v>
      </c>
      <c r="G11" s="9" t="s">
        <v>57</v>
      </c>
      <c r="H11" s="18">
        <v>1</v>
      </c>
      <c r="I11" s="18">
        <f t="shared" si="0"/>
        <v>1</v>
      </c>
      <c r="J11" s="18">
        <f t="shared" si="0"/>
        <v>1</v>
      </c>
      <c r="K11" s="18">
        <f t="shared" si="0"/>
        <v>1</v>
      </c>
      <c r="L11" s="18">
        <f t="shared" si="0"/>
        <v>1</v>
      </c>
      <c r="M11" s="18">
        <f t="shared" si="0"/>
        <v>1</v>
      </c>
      <c r="N11" s="18">
        <f t="shared" si="0"/>
        <v>1</v>
      </c>
      <c r="O11" s="18">
        <f t="shared" si="0"/>
        <v>1</v>
      </c>
      <c r="P11" s="18">
        <f t="shared" si="0"/>
        <v>1</v>
      </c>
      <c r="Q11" s="18">
        <f t="shared" si="0"/>
        <v>1</v>
      </c>
      <c r="R11" s="18">
        <f t="shared" si="0"/>
        <v>1</v>
      </c>
    </row>
    <row r="12" spans="2:18" x14ac:dyDescent="0.25">
      <c r="D12" s="9" t="s">
        <v>379</v>
      </c>
      <c r="E12" s="8" t="s">
        <v>458</v>
      </c>
      <c r="F12" s="9" t="s">
        <v>244</v>
      </c>
      <c r="G12" s="9" t="s">
        <v>57</v>
      </c>
      <c r="H12" s="18">
        <v>1</v>
      </c>
      <c r="I12" s="18">
        <f t="shared" si="0"/>
        <v>1</v>
      </c>
      <c r="J12" s="18">
        <f t="shared" si="0"/>
        <v>1</v>
      </c>
      <c r="K12" s="18">
        <f t="shared" si="0"/>
        <v>1</v>
      </c>
      <c r="L12" s="18">
        <f t="shared" si="0"/>
        <v>1</v>
      </c>
      <c r="M12" s="18">
        <f t="shared" si="0"/>
        <v>1</v>
      </c>
      <c r="N12" s="18">
        <f t="shared" si="0"/>
        <v>1</v>
      </c>
      <c r="O12" s="18">
        <f t="shared" si="0"/>
        <v>1</v>
      </c>
      <c r="P12" s="18">
        <f t="shared" si="0"/>
        <v>1</v>
      </c>
      <c r="Q12" s="18">
        <f t="shared" si="0"/>
        <v>1</v>
      </c>
      <c r="R12" s="18">
        <f t="shared" si="0"/>
        <v>1</v>
      </c>
    </row>
    <row r="13" spans="2:18" x14ac:dyDescent="0.25">
      <c r="D13" s="9"/>
      <c r="E13" s="9"/>
      <c r="F13" s="9"/>
      <c r="G13" s="9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</row>
    <row r="14" spans="2:18" x14ac:dyDescent="0.25">
      <c r="D14" s="9"/>
      <c r="E14" s="9"/>
      <c r="F14" s="9"/>
      <c r="G14" s="9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</row>
    <row r="15" spans="2:18" x14ac:dyDescent="0.25">
      <c r="D15" s="9"/>
      <c r="E15" s="9"/>
      <c r="F15" s="9"/>
      <c r="G15" s="9"/>
      <c r="H15" s="18"/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</row>
    <row r="16" spans="2:18" x14ac:dyDescent="0.25">
      <c r="D16" s="9"/>
      <c r="E16" s="9"/>
      <c r="F16" s="9"/>
      <c r="G16" s="9"/>
      <c r="H16" s="18"/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</row>
    <row r="17" spans="4:18" x14ac:dyDescent="0.25">
      <c r="D17" s="9"/>
      <c r="E17" s="9"/>
      <c r="F17" s="9"/>
      <c r="G17" s="9"/>
      <c r="H17" s="18"/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</row>
    <row r="18" spans="4:18" x14ac:dyDescent="0.25">
      <c r="D18" s="9"/>
      <c r="E18" s="9"/>
      <c r="F18" s="9"/>
      <c r="G18" s="9"/>
      <c r="H18" s="18"/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</row>
    <row r="19" spans="4:18" x14ac:dyDescent="0.25">
      <c r="D19" s="9"/>
      <c r="E19" s="9"/>
      <c r="F19" s="9"/>
      <c r="G19" s="9"/>
      <c r="H19" s="18"/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</row>
    <row r="20" spans="4:18" x14ac:dyDescent="0.25">
      <c r="D20" s="9"/>
      <c r="E20" s="9"/>
      <c r="F20" s="9"/>
      <c r="G20" s="9"/>
      <c r="H20" s="18"/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</row>
    <row r="21" spans="4:18" x14ac:dyDescent="0.25">
      <c r="D21" s="9"/>
      <c r="E21" s="9"/>
      <c r="F21" s="9"/>
      <c r="G21" s="9"/>
      <c r="H21" s="18"/>
      <c r="I21" s="18" t="str">
        <f t="shared" ref="I21:R36" si="1">IF(H21="","",H21)</f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</row>
    <row r="22" spans="4:18" x14ac:dyDescent="0.25">
      <c r="D22" s="9"/>
      <c r="E22" s="9"/>
      <c r="F22" s="9"/>
      <c r="G22" s="9"/>
      <c r="H22" s="18"/>
      <c r="I22" s="18" t="str">
        <f t="shared" si="1"/>
        <v/>
      </c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</row>
    <row r="23" spans="4:18" x14ac:dyDescent="0.25">
      <c r="D23" s="9"/>
      <c r="E23" s="9"/>
      <c r="F23" s="9"/>
      <c r="G23" s="9"/>
      <c r="H23" s="18"/>
      <c r="I23" s="18" t="str">
        <f t="shared" si="1"/>
        <v/>
      </c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</row>
    <row r="24" spans="4:18" x14ac:dyDescent="0.25">
      <c r="D24" s="9"/>
      <c r="E24" s="9"/>
      <c r="F24" s="9"/>
      <c r="G24" s="9"/>
      <c r="H24" s="18"/>
      <c r="I24" s="18" t="str">
        <f t="shared" si="1"/>
        <v/>
      </c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</row>
    <row r="25" spans="4:18" x14ac:dyDescent="0.25">
      <c r="D25" s="9"/>
      <c r="E25" s="9"/>
      <c r="F25" s="9"/>
      <c r="G25" s="9"/>
      <c r="H25" s="18"/>
      <c r="I25" s="18" t="str">
        <f t="shared" si="1"/>
        <v/>
      </c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</row>
    <row r="26" spans="4:18" x14ac:dyDescent="0.25">
      <c r="D26" s="9"/>
      <c r="E26" s="9"/>
      <c r="F26" s="9"/>
      <c r="G26" s="9"/>
      <c r="H26" s="18"/>
      <c r="I26" s="18" t="str">
        <f t="shared" si="1"/>
        <v/>
      </c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</row>
    <row r="27" spans="4:18" x14ac:dyDescent="0.25">
      <c r="D27" s="9"/>
      <c r="E27" s="9"/>
      <c r="F27" s="9"/>
      <c r="G27" s="9"/>
      <c r="H27" s="18"/>
      <c r="I27" s="18" t="str">
        <f t="shared" si="1"/>
        <v/>
      </c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</row>
    <row r="28" spans="4:18" x14ac:dyDescent="0.25">
      <c r="D28" s="9"/>
      <c r="E28" s="9"/>
      <c r="F28" s="9"/>
      <c r="G28" s="9"/>
      <c r="H28" s="18"/>
      <c r="I28" s="18" t="str">
        <f t="shared" si="1"/>
        <v/>
      </c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</row>
    <row r="29" spans="4:18" x14ac:dyDescent="0.25">
      <c r="D29" s="9"/>
      <c r="E29" s="9"/>
      <c r="F29" s="9"/>
      <c r="G29" s="9"/>
      <c r="H29" s="18"/>
      <c r="I29" s="18" t="str">
        <f t="shared" si="1"/>
        <v/>
      </c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</row>
    <row r="30" spans="4:18" x14ac:dyDescent="0.25">
      <c r="D30" s="9"/>
      <c r="E30" s="9"/>
      <c r="F30" s="9"/>
      <c r="G30" s="9"/>
      <c r="H30" s="18"/>
      <c r="I30" s="18" t="str">
        <f t="shared" si="1"/>
        <v/>
      </c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</row>
    <row r="31" spans="4:18" x14ac:dyDescent="0.25">
      <c r="D31" s="9"/>
      <c r="E31" s="9"/>
      <c r="F31" s="9"/>
      <c r="G31" s="9"/>
      <c r="H31" s="18"/>
      <c r="I31" s="18" t="str">
        <f t="shared" si="1"/>
        <v/>
      </c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</row>
    <row r="32" spans="4:18" x14ac:dyDescent="0.25">
      <c r="D32" s="9"/>
      <c r="E32" s="9"/>
      <c r="F32" s="9"/>
      <c r="G32" s="9"/>
      <c r="H32" s="18"/>
      <c r="I32" s="18" t="str">
        <f t="shared" si="1"/>
        <v/>
      </c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</row>
    <row r="33" spans="4:18" x14ac:dyDescent="0.25">
      <c r="D33" s="9"/>
      <c r="E33" s="9"/>
      <c r="F33" s="9"/>
      <c r="G33" s="9"/>
      <c r="H33" s="18"/>
      <c r="I33" s="18" t="str">
        <f t="shared" si="1"/>
        <v/>
      </c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</row>
    <row r="34" spans="4:18" x14ac:dyDescent="0.25">
      <c r="D34" s="9"/>
      <c r="E34" s="9"/>
      <c r="F34" s="9"/>
      <c r="G34" s="9"/>
      <c r="H34" s="18"/>
      <c r="I34" s="18" t="str">
        <f t="shared" si="1"/>
        <v/>
      </c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</row>
    <row r="35" spans="4:18" x14ac:dyDescent="0.25">
      <c r="D35" s="9"/>
      <c r="E35" s="9"/>
      <c r="F35" s="9"/>
      <c r="G35" s="9"/>
      <c r="H35" s="18"/>
      <c r="I35" s="18" t="str">
        <f t="shared" si="1"/>
        <v/>
      </c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</row>
    <row r="36" spans="4:18" x14ac:dyDescent="0.25">
      <c r="D36" s="9"/>
      <c r="E36" s="9"/>
      <c r="F36" s="9"/>
      <c r="G36" s="9"/>
      <c r="H36" s="18"/>
      <c r="I36" s="18" t="str">
        <f t="shared" si="1"/>
        <v/>
      </c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</row>
    <row r="37" spans="4:18" x14ac:dyDescent="0.25">
      <c r="D37" s="9"/>
      <c r="E37" s="9"/>
      <c r="F37" s="9"/>
      <c r="G37" s="9"/>
      <c r="H37" s="18"/>
      <c r="I37" s="18" t="str">
        <f t="shared" ref="I37:R50" si="2">IF(H37="","",H37)</f>
        <v/>
      </c>
      <c r="J37" s="18" t="str">
        <f t="shared" si="2"/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</row>
    <row r="38" spans="4:18" x14ac:dyDescent="0.25">
      <c r="D38" s="9"/>
      <c r="E38" s="9"/>
      <c r="F38" s="9"/>
      <c r="G38" s="9"/>
      <c r="H38" s="18"/>
      <c r="I38" s="18" t="str">
        <f t="shared" si="2"/>
        <v/>
      </c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</row>
    <row r="39" spans="4:18" x14ac:dyDescent="0.25">
      <c r="D39" s="9"/>
      <c r="E39" s="9"/>
      <c r="F39" s="9"/>
      <c r="G39" s="9"/>
      <c r="H39" s="18"/>
      <c r="I39" s="18" t="str">
        <f t="shared" si="2"/>
        <v/>
      </c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</row>
    <row r="40" spans="4:18" x14ac:dyDescent="0.25">
      <c r="D40" s="9"/>
      <c r="E40" s="9"/>
      <c r="F40" s="9"/>
      <c r="G40" s="9"/>
      <c r="H40" s="18"/>
      <c r="I40" s="18" t="str">
        <f t="shared" si="2"/>
        <v/>
      </c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</row>
    <row r="41" spans="4:18" x14ac:dyDescent="0.25">
      <c r="D41" s="9"/>
      <c r="E41" s="9"/>
      <c r="F41" s="9"/>
      <c r="G41" s="9"/>
      <c r="H41" s="18"/>
      <c r="I41" s="18" t="str">
        <f t="shared" si="2"/>
        <v/>
      </c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</row>
    <row r="42" spans="4:18" x14ac:dyDescent="0.25">
      <c r="D42" s="9"/>
      <c r="E42" s="9"/>
      <c r="F42" s="9"/>
      <c r="G42" s="9"/>
      <c r="H42" s="18"/>
      <c r="I42" s="18" t="str">
        <f t="shared" si="2"/>
        <v/>
      </c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</row>
    <row r="43" spans="4:18" x14ac:dyDescent="0.25">
      <c r="D43" s="9"/>
      <c r="E43" s="9"/>
      <c r="F43" s="9"/>
      <c r="G43" s="9"/>
      <c r="H43" s="18"/>
      <c r="I43" s="18" t="str">
        <f t="shared" si="2"/>
        <v/>
      </c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</row>
    <row r="44" spans="4:18" x14ac:dyDescent="0.25">
      <c r="D44" s="9"/>
      <c r="E44" s="9"/>
      <c r="F44" s="9"/>
      <c r="G44" s="9"/>
      <c r="H44" s="18"/>
      <c r="I44" s="18" t="str">
        <f t="shared" si="2"/>
        <v/>
      </c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</row>
    <row r="45" spans="4:18" x14ac:dyDescent="0.25">
      <c r="D45" s="9"/>
      <c r="E45" s="9"/>
      <c r="F45" s="9"/>
      <c r="G45" s="9"/>
      <c r="H45" s="18"/>
      <c r="I45" s="18" t="str">
        <f t="shared" si="2"/>
        <v/>
      </c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</row>
    <row r="46" spans="4:18" x14ac:dyDescent="0.25">
      <c r="D46" s="9"/>
      <c r="E46" s="9"/>
      <c r="F46" s="9"/>
      <c r="G46" s="9"/>
      <c r="H46" s="18"/>
      <c r="I46" s="18" t="str">
        <f t="shared" si="2"/>
        <v/>
      </c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</row>
    <row r="47" spans="4:18" x14ac:dyDescent="0.25">
      <c r="D47" s="9"/>
      <c r="E47" s="9"/>
      <c r="F47" s="9"/>
      <c r="G47" s="9"/>
      <c r="H47" s="18"/>
      <c r="I47" s="18" t="str">
        <f t="shared" si="2"/>
        <v/>
      </c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</row>
    <row r="48" spans="4:18" x14ac:dyDescent="0.25">
      <c r="D48" s="9"/>
      <c r="E48" s="9"/>
      <c r="F48" s="9"/>
      <c r="G48" s="9"/>
      <c r="H48" s="18"/>
      <c r="I48" s="18" t="str">
        <f t="shared" si="2"/>
        <v/>
      </c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</row>
    <row r="49" spans="4:18" x14ac:dyDescent="0.25">
      <c r="D49" s="9"/>
      <c r="E49" s="9"/>
      <c r="F49" s="9"/>
      <c r="G49" s="9"/>
      <c r="H49" s="18"/>
      <c r="I49" s="18" t="str">
        <f t="shared" si="2"/>
        <v/>
      </c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</row>
    <row r="50" spans="4:18" ht="15.75" thickBot="1" x14ac:dyDescent="0.3">
      <c r="D50" s="10"/>
      <c r="E50" s="10"/>
      <c r="F50" s="10"/>
      <c r="G50" s="10"/>
      <c r="H50" s="46"/>
      <c r="I50" s="46" t="str">
        <f t="shared" si="2"/>
        <v/>
      </c>
      <c r="J50" s="46" t="str">
        <f t="shared" si="2"/>
        <v/>
      </c>
      <c r="K50" s="46" t="str">
        <f t="shared" si="2"/>
        <v/>
      </c>
      <c r="L50" s="46" t="str">
        <f t="shared" si="2"/>
        <v/>
      </c>
      <c r="M50" s="46" t="str">
        <f t="shared" si="2"/>
        <v/>
      </c>
      <c r="N50" s="46" t="str">
        <f t="shared" si="2"/>
        <v/>
      </c>
      <c r="O50" s="46" t="str">
        <f t="shared" si="2"/>
        <v/>
      </c>
      <c r="P50" s="46" t="str">
        <f t="shared" si="2"/>
        <v/>
      </c>
      <c r="Q50" s="46" t="str">
        <f t="shared" si="2"/>
        <v/>
      </c>
      <c r="R50" s="46" t="str">
        <f t="shared" si="2"/>
        <v/>
      </c>
    </row>
    <row r="51" spans="4:18" x14ac:dyDescent="0.25">
      <c r="D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GranulProcess</formula1>
    </dataValidation>
    <dataValidation type="list" allowBlank="1" showInputMessage="1" showErrorMessage="1" sqref="F5:F50">
      <formula1>GranulationProduct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E5:E50">
      <formula1>GranulInputs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1">
    <tabColor theme="6"/>
  </sheetPr>
  <dimension ref="B1:Y235"/>
  <sheetViews>
    <sheetView zoomScaleNormal="100" workbookViewId="0"/>
  </sheetViews>
  <sheetFormatPr baseColWidth="10" defaultColWidth="11.5703125" defaultRowHeight="15" x14ac:dyDescent="0.25"/>
  <cols>
    <col min="1" max="3" width="3.85546875" style="5" customWidth="1"/>
    <col min="4" max="5" width="15.85546875" style="5" customWidth="1"/>
    <col min="6" max="6" width="25.85546875" style="5" customWidth="1"/>
    <col min="7" max="10" width="15.85546875" style="5" customWidth="1"/>
    <col min="11" max="21" width="8.85546875" style="5" customWidth="1"/>
    <col min="22" max="22" width="11.5703125" style="5"/>
    <col min="23" max="23" width="12.28515625" style="5" bestFit="1" customWidth="1"/>
    <col min="24" max="16384" width="11.5703125" style="5"/>
  </cols>
  <sheetData>
    <row r="1" spans="2:21" s="79" customFormat="1" ht="24.95" customHeight="1" x14ac:dyDescent="0.25">
      <c r="B1" s="78" t="s">
        <v>247</v>
      </c>
    </row>
    <row r="3" spans="2:21" ht="15.75" thickBot="1" x14ac:dyDescent="0.3">
      <c r="D3" s="38" t="str">
        <f>JESA_UploadTable(B1,D4:U205,db)</f>
        <v>Granulation opex @09:45:17</v>
      </c>
      <c r="E3" s="38"/>
      <c r="F3" s="38"/>
    </row>
    <row r="4" spans="2:21" ht="30" customHeight="1" thickBot="1" x14ac:dyDescent="0.3">
      <c r="D4" s="84" t="s">
        <v>8</v>
      </c>
      <c r="E4" s="84" t="s">
        <v>348</v>
      </c>
      <c r="F4" s="84" t="s">
        <v>25</v>
      </c>
      <c r="G4" s="80" t="s">
        <v>268</v>
      </c>
      <c r="H4" s="84" t="s">
        <v>24</v>
      </c>
      <c r="I4" s="84" t="s">
        <v>12</v>
      </c>
      <c r="J4" s="80" t="s">
        <v>17</v>
      </c>
      <c r="K4" s="86" t="s">
        <v>37</v>
      </c>
      <c r="L4" s="86" t="s">
        <v>38</v>
      </c>
      <c r="M4" s="86" t="s">
        <v>39</v>
      </c>
      <c r="N4" s="86" t="s">
        <v>40</v>
      </c>
      <c r="O4" s="86" t="s">
        <v>41</v>
      </c>
      <c r="P4" s="86" t="s">
        <v>42</v>
      </c>
      <c r="Q4" s="86" t="s">
        <v>43</v>
      </c>
      <c r="R4" s="86" t="s">
        <v>44</v>
      </c>
      <c r="S4" s="86" t="s">
        <v>45</v>
      </c>
      <c r="T4" s="86" t="s">
        <v>46</v>
      </c>
      <c r="U4" s="86" t="s">
        <v>47</v>
      </c>
    </row>
    <row r="5" spans="2:21" x14ac:dyDescent="0.25">
      <c r="D5" s="8" t="s">
        <v>26</v>
      </c>
      <c r="E5" s="8" t="s">
        <v>349</v>
      </c>
      <c r="F5" s="8" t="s">
        <v>379</v>
      </c>
      <c r="G5" s="14">
        <v>1328.125</v>
      </c>
      <c r="H5" s="8" t="s">
        <v>84</v>
      </c>
      <c r="I5" s="8" t="s">
        <v>290</v>
      </c>
      <c r="J5" s="8" t="s">
        <v>57</v>
      </c>
      <c r="K5" s="17">
        <v>0.45</v>
      </c>
      <c r="L5" s="17">
        <v>0.45</v>
      </c>
      <c r="M5" s="17">
        <v>0.45</v>
      </c>
      <c r="N5" s="17">
        <v>0.45</v>
      </c>
      <c r="O5" s="17">
        <v>0.45</v>
      </c>
      <c r="P5" s="17">
        <v>0.45</v>
      </c>
      <c r="Q5" s="17">
        <v>0.45</v>
      </c>
      <c r="R5" s="17">
        <v>0.45</v>
      </c>
      <c r="S5" s="17">
        <v>0.45</v>
      </c>
      <c r="T5" s="17">
        <v>0.45</v>
      </c>
      <c r="U5" s="17">
        <v>0.45</v>
      </c>
    </row>
    <row r="6" spans="2:21" x14ac:dyDescent="0.25">
      <c r="D6" s="9" t="s">
        <v>26</v>
      </c>
      <c r="E6" s="9" t="s">
        <v>349</v>
      </c>
      <c r="F6" s="9" t="s">
        <v>379</v>
      </c>
      <c r="G6" s="15">
        <v>1328.125</v>
      </c>
      <c r="H6" s="9" t="s">
        <v>84</v>
      </c>
      <c r="I6" s="9" t="s">
        <v>458</v>
      </c>
      <c r="J6" s="9" t="s">
        <v>57</v>
      </c>
      <c r="K6" s="18">
        <v>0.371</v>
      </c>
      <c r="L6" s="18">
        <v>0.371</v>
      </c>
      <c r="M6" s="18">
        <v>0.371</v>
      </c>
      <c r="N6" s="18">
        <v>0.371</v>
      </c>
      <c r="O6" s="18">
        <v>0.371</v>
      </c>
      <c r="P6" s="18">
        <v>0.371</v>
      </c>
      <c r="Q6" s="18">
        <v>0.371</v>
      </c>
      <c r="R6" s="18">
        <v>0.371</v>
      </c>
      <c r="S6" s="18">
        <v>0.371</v>
      </c>
      <c r="T6" s="18">
        <v>0.371</v>
      </c>
      <c r="U6" s="18">
        <v>0.371</v>
      </c>
    </row>
    <row r="7" spans="2:21" x14ac:dyDescent="0.25">
      <c r="D7" s="9" t="s">
        <v>26</v>
      </c>
      <c r="E7" s="9" t="s">
        <v>349</v>
      </c>
      <c r="F7" s="9" t="s">
        <v>379</v>
      </c>
      <c r="G7" s="15">
        <v>1328.125</v>
      </c>
      <c r="H7" s="9" t="s">
        <v>84</v>
      </c>
      <c r="I7" s="9" t="s">
        <v>16</v>
      </c>
      <c r="J7" s="9" t="s">
        <v>57</v>
      </c>
      <c r="K7" s="18">
        <v>2.3E-2</v>
      </c>
      <c r="L7" s="18">
        <v>2.3E-2</v>
      </c>
      <c r="M7" s="18">
        <v>2.3E-2</v>
      </c>
      <c r="N7" s="18">
        <v>2.3E-2</v>
      </c>
      <c r="O7" s="18">
        <v>2.3E-2</v>
      </c>
      <c r="P7" s="18">
        <v>2.3E-2</v>
      </c>
      <c r="Q7" s="18">
        <v>2.3E-2</v>
      </c>
      <c r="R7" s="18">
        <v>2.3E-2</v>
      </c>
      <c r="S7" s="18">
        <v>2.3E-2</v>
      </c>
      <c r="T7" s="18">
        <v>2.3E-2</v>
      </c>
      <c r="U7" s="18">
        <v>2.3E-2</v>
      </c>
    </row>
    <row r="8" spans="2:21" x14ac:dyDescent="0.25">
      <c r="D8" s="9" t="s">
        <v>26</v>
      </c>
      <c r="E8" s="9" t="s">
        <v>349</v>
      </c>
      <c r="F8" s="9" t="s">
        <v>379</v>
      </c>
      <c r="G8" s="15">
        <v>1328.125</v>
      </c>
      <c r="H8" s="9" t="s">
        <v>84</v>
      </c>
      <c r="I8" s="9" t="s">
        <v>13</v>
      </c>
      <c r="J8" s="9" t="s">
        <v>61</v>
      </c>
      <c r="K8" s="18">
        <v>0.40500000000000003</v>
      </c>
      <c r="L8" s="18">
        <v>0.40500000000000003</v>
      </c>
      <c r="M8" s="18">
        <v>0.40500000000000003</v>
      </c>
      <c r="N8" s="18">
        <v>0.40500000000000003</v>
      </c>
      <c r="O8" s="18">
        <v>0.40500000000000003</v>
      </c>
      <c r="P8" s="18">
        <v>0.40500000000000003</v>
      </c>
      <c r="Q8" s="18">
        <v>0.40500000000000003</v>
      </c>
      <c r="R8" s="18">
        <v>0.40500000000000003</v>
      </c>
      <c r="S8" s="18">
        <v>0.40500000000000003</v>
      </c>
      <c r="T8" s="18">
        <v>0.40500000000000003</v>
      </c>
      <c r="U8" s="18">
        <v>0.40500000000000003</v>
      </c>
    </row>
    <row r="9" spans="2:21" x14ac:dyDescent="0.25">
      <c r="D9" s="9" t="s">
        <v>26</v>
      </c>
      <c r="E9" s="9" t="s">
        <v>349</v>
      </c>
      <c r="F9" s="9" t="s">
        <v>379</v>
      </c>
      <c r="G9" s="15">
        <v>1328.125</v>
      </c>
      <c r="H9" s="9" t="s">
        <v>84</v>
      </c>
      <c r="I9" s="9" t="s">
        <v>15</v>
      </c>
      <c r="J9" s="9" t="s">
        <v>65</v>
      </c>
      <c r="K9" s="18">
        <v>80</v>
      </c>
      <c r="L9" s="18">
        <v>80</v>
      </c>
      <c r="M9" s="18">
        <v>80</v>
      </c>
      <c r="N9" s="18">
        <v>80</v>
      </c>
      <c r="O9" s="18">
        <v>80</v>
      </c>
      <c r="P9" s="18">
        <v>80</v>
      </c>
      <c r="Q9" s="18">
        <v>80</v>
      </c>
      <c r="R9" s="18">
        <v>80</v>
      </c>
      <c r="S9" s="18">
        <v>80</v>
      </c>
      <c r="T9" s="18">
        <v>80</v>
      </c>
      <c r="U9" s="18">
        <v>80</v>
      </c>
    </row>
    <row r="10" spans="2:21" x14ac:dyDescent="0.25">
      <c r="D10" s="9" t="s">
        <v>26</v>
      </c>
      <c r="E10" s="9" t="s">
        <v>349</v>
      </c>
      <c r="F10" s="9" t="s">
        <v>379</v>
      </c>
      <c r="G10" s="15">
        <v>1328.125</v>
      </c>
      <c r="H10" s="9" t="s">
        <v>84</v>
      </c>
      <c r="I10" s="9" t="s">
        <v>338</v>
      </c>
      <c r="J10" s="9" t="s">
        <v>339</v>
      </c>
      <c r="K10" s="18">
        <v>1</v>
      </c>
      <c r="L10" s="18">
        <v>1</v>
      </c>
      <c r="M10" s="18">
        <v>1</v>
      </c>
      <c r="N10" s="18">
        <v>1</v>
      </c>
      <c r="O10" s="18">
        <v>1</v>
      </c>
      <c r="P10" s="18">
        <v>1</v>
      </c>
      <c r="Q10" s="18">
        <v>1</v>
      </c>
      <c r="R10" s="18">
        <v>1</v>
      </c>
      <c r="S10" s="18">
        <v>1</v>
      </c>
      <c r="T10" s="18">
        <v>1</v>
      </c>
      <c r="U10" s="18">
        <v>1</v>
      </c>
    </row>
    <row r="11" spans="2:21" x14ac:dyDescent="0.25">
      <c r="D11" s="9" t="s">
        <v>26</v>
      </c>
      <c r="E11" s="9" t="s">
        <v>349</v>
      </c>
      <c r="F11" s="9" t="s">
        <v>379</v>
      </c>
      <c r="G11" s="15">
        <v>1328.125</v>
      </c>
      <c r="H11" s="9" t="s">
        <v>84</v>
      </c>
      <c r="I11" s="9" t="s">
        <v>340</v>
      </c>
      <c r="J11" s="9" t="s">
        <v>339</v>
      </c>
      <c r="K11" s="18">
        <v>3</v>
      </c>
      <c r="L11" s="18">
        <v>3</v>
      </c>
      <c r="M11" s="18">
        <v>3</v>
      </c>
      <c r="N11" s="18">
        <v>3</v>
      </c>
      <c r="O11" s="18">
        <v>3</v>
      </c>
      <c r="P11" s="18">
        <v>3</v>
      </c>
      <c r="Q11" s="18">
        <v>3</v>
      </c>
      <c r="R11" s="18">
        <v>3</v>
      </c>
      <c r="S11" s="18">
        <v>3</v>
      </c>
      <c r="T11" s="18">
        <v>3</v>
      </c>
      <c r="U11" s="18">
        <v>3</v>
      </c>
    </row>
    <row r="12" spans="2:21" x14ac:dyDescent="0.25">
      <c r="D12" s="9" t="s">
        <v>26</v>
      </c>
      <c r="E12" s="9" t="s">
        <v>349</v>
      </c>
      <c r="F12" s="9" t="s">
        <v>379</v>
      </c>
      <c r="G12" s="15">
        <v>1328.125</v>
      </c>
      <c r="H12" s="9" t="s">
        <v>84</v>
      </c>
      <c r="I12" s="9" t="s">
        <v>32</v>
      </c>
      <c r="J12" s="9" t="s">
        <v>57</v>
      </c>
      <c r="K12" s="18">
        <v>7.0000000000000007E-2</v>
      </c>
      <c r="L12" s="18">
        <v>7.0000000000000007E-2</v>
      </c>
      <c r="M12" s="18">
        <v>7.0000000000000007E-2</v>
      </c>
      <c r="N12" s="18">
        <v>7.0000000000000007E-2</v>
      </c>
      <c r="O12" s="18">
        <v>7.0000000000000007E-2</v>
      </c>
      <c r="P12" s="18">
        <v>7.0000000000000007E-2</v>
      </c>
      <c r="Q12" s="18">
        <v>7.0000000000000007E-2</v>
      </c>
      <c r="R12" s="18">
        <v>7.0000000000000007E-2</v>
      </c>
      <c r="S12" s="18">
        <v>7.0000000000000007E-2</v>
      </c>
      <c r="T12" s="18">
        <v>7.0000000000000007E-2</v>
      </c>
      <c r="U12" s="18">
        <v>7.0000000000000007E-2</v>
      </c>
    </row>
    <row r="13" spans="2:21" x14ac:dyDescent="0.25">
      <c r="D13" s="9" t="s">
        <v>26</v>
      </c>
      <c r="E13" s="9" t="s">
        <v>349</v>
      </c>
      <c r="F13" s="9" t="s">
        <v>379</v>
      </c>
      <c r="G13" s="15">
        <v>1328.125</v>
      </c>
      <c r="H13" s="9" t="s">
        <v>84</v>
      </c>
      <c r="I13" s="9" t="s">
        <v>31</v>
      </c>
      <c r="J13" s="9" t="s">
        <v>57</v>
      </c>
      <c r="K13" s="18">
        <v>0.09</v>
      </c>
      <c r="L13" s="18">
        <v>0.09</v>
      </c>
      <c r="M13" s="18">
        <v>0.09</v>
      </c>
      <c r="N13" s="18">
        <v>0.09</v>
      </c>
      <c r="O13" s="18">
        <v>0.09</v>
      </c>
      <c r="P13" s="18">
        <v>0.09</v>
      </c>
      <c r="Q13" s="18">
        <v>0.09</v>
      </c>
      <c r="R13" s="18">
        <v>0.09</v>
      </c>
      <c r="S13" s="18">
        <v>0.09</v>
      </c>
      <c r="T13" s="18">
        <v>0.09</v>
      </c>
      <c r="U13" s="18">
        <v>0.09</v>
      </c>
    </row>
    <row r="14" spans="2:21" x14ac:dyDescent="0.25">
      <c r="D14" s="9" t="s">
        <v>26</v>
      </c>
      <c r="E14" s="9" t="s">
        <v>349</v>
      </c>
      <c r="F14" s="9" t="s">
        <v>379</v>
      </c>
      <c r="G14" s="15">
        <v>1328.125</v>
      </c>
      <c r="H14" s="9" t="s">
        <v>84</v>
      </c>
      <c r="I14" s="9" t="s">
        <v>341</v>
      </c>
      <c r="J14" s="9" t="s">
        <v>132</v>
      </c>
      <c r="K14" s="18">
        <v>2.5</v>
      </c>
      <c r="L14" s="18">
        <v>2.5</v>
      </c>
      <c r="M14" s="18">
        <v>2.5</v>
      </c>
      <c r="N14" s="18">
        <v>2.5</v>
      </c>
      <c r="O14" s="18">
        <v>2.5</v>
      </c>
      <c r="P14" s="18">
        <v>2.5</v>
      </c>
      <c r="Q14" s="18">
        <v>2.5</v>
      </c>
      <c r="R14" s="18">
        <v>2.5</v>
      </c>
      <c r="S14" s="18">
        <v>2.5</v>
      </c>
      <c r="T14" s="18">
        <v>2.5</v>
      </c>
      <c r="U14" s="18">
        <v>2.5</v>
      </c>
    </row>
    <row r="15" spans="2:21" x14ac:dyDescent="0.25">
      <c r="D15" s="9" t="s">
        <v>26</v>
      </c>
      <c r="E15" s="9" t="s">
        <v>349</v>
      </c>
      <c r="F15" s="9" t="s">
        <v>379</v>
      </c>
      <c r="G15" s="15">
        <v>1328.125</v>
      </c>
      <c r="H15" s="9" t="s">
        <v>84</v>
      </c>
      <c r="I15" s="9" t="s">
        <v>342</v>
      </c>
      <c r="J15" s="9" t="s">
        <v>343</v>
      </c>
      <c r="K15" s="18">
        <v>50</v>
      </c>
      <c r="L15" s="18">
        <v>50</v>
      </c>
      <c r="M15" s="18">
        <v>50</v>
      </c>
      <c r="N15" s="18">
        <v>50</v>
      </c>
      <c r="O15" s="18">
        <v>50</v>
      </c>
      <c r="P15" s="18">
        <v>50</v>
      </c>
      <c r="Q15" s="18">
        <v>50</v>
      </c>
      <c r="R15" s="18">
        <v>50</v>
      </c>
      <c r="S15" s="18">
        <v>50</v>
      </c>
      <c r="T15" s="18">
        <v>50</v>
      </c>
      <c r="U15" s="18">
        <v>50</v>
      </c>
    </row>
    <row r="16" spans="2:21" x14ac:dyDescent="0.25">
      <c r="D16" s="9" t="s">
        <v>26</v>
      </c>
      <c r="E16" s="9" t="s">
        <v>349</v>
      </c>
      <c r="F16" s="9" t="s">
        <v>379</v>
      </c>
      <c r="G16" s="15">
        <v>310</v>
      </c>
      <c r="H16" s="9" t="s">
        <v>85</v>
      </c>
      <c r="I16" s="9" t="s">
        <v>344</v>
      </c>
      <c r="J16" s="9" t="s">
        <v>57</v>
      </c>
      <c r="K16" s="18">
        <v>0.45</v>
      </c>
      <c r="L16" s="18">
        <v>0.45</v>
      </c>
      <c r="M16" s="18">
        <v>0.45</v>
      </c>
      <c r="N16" s="18">
        <v>0.45</v>
      </c>
      <c r="O16" s="18">
        <v>0.45</v>
      </c>
      <c r="P16" s="18">
        <v>0.45</v>
      </c>
      <c r="Q16" s="18">
        <v>0.45</v>
      </c>
      <c r="R16" s="18">
        <v>0.45</v>
      </c>
      <c r="S16" s="18">
        <v>0.45</v>
      </c>
      <c r="T16" s="18">
        <v>0.45</v>
      </c>
      <c r="U16" s="18">
        <v>0.45</v>
      </c>
    </row>
    <row r="17" spans="4:21" x14ac:dyDescent="0.25">
      <c r="D17" s="9" t="s">
        <v>26</v>
      </c>
      <c r="E17" s="9" t="s">
        <v>349</v>
      </c>
      <c r="F17" s="9" t="s">
        <v>379</v>
      </c>
      <c r="G17" s="15">
        <v>310</v>
      </c>
      <c r="H17" s="9" t="s">
        <v>85</v>
      </c>
      <c r="I17" s="9" t="s">
        <v>458</v>
      </c>
      <c r="J17" s="9" t="s">
        <v>57</v>
      </c>
      <c r="K17" s="18">
        <v>0.51</v>
      </c>
      <c r="L17" s="18">
        <v>0.51</v>
      </c>
      <c r="M17" s="18">
        <v>0.51</v>
      </c>
      <c r="N17" s="18">
        <v>0.51</v>
      </c>
      <c r="O17" s="18">
        <v>0.51</v>
      </c>
      <c r="P17" s="18">
        <v>0.51</v>
      </c>
      <c r="Q17" s="18">
        <v>0.51</v>
      </c>
      <c r="R17" s="18">
        <v>0.51</v>
      </c>
      <c r="S17" s="18">
        <v>0.51</v>
      </c>
      <c r="T17" s="18">
        <v>0.51</v>
      </c>
      <c r="U17" s="18">
        <v>0.51</v>
      </c>
    </row>
    <row r="18" spans="4:21" x14ac:dyDescent="0.25">
      <c r="D18" s="9" t="s">
        <v>26</v>
      </c>
      <c r="E18" s="9" t="s">
        <v>349</v>
      </c>
      <c r="F18" s="9" t="s">
        <v>379</v>
      </c>
      <c r="G18" s="15">
        <v>310</v>
      </c>
      <c r="H18" s="9" t="s">
        <v>85</v>
      </c>
      <c r="I18" s="9" t="s">
        <v>16</v>
      </c>
      <c r="J18" s="9" t="s">
        <v>57</v>
      </c>
      <c r="K18" s="18">
        <v>4.1430000000000002E-2</v>
      </c>
      <c r="L18" s="18">
        <v>4.1430000000000002E-2</v>
      </c>
      <c r="M18" s="18">
        <v>4.1430000000000002E-2</v>
      </c>
      <c r="N18" s="18">
        <v>4.1430000000000002E-2</v>
      </c>
      <c r="O18" s="18">
        <v>4.1430000000000002E-2</v>
      </c>
      <c r="P18" s="18">
        <v>4.1430000000000002E-2</v>
      </c>
      <c r="Q18" s="18">
        <v>4.1430000000000002E-2</v>
      </c>
      <c r="R18" s="18">
        <v>4.1430000000000002E-2</v>
      </c>
      <c r="S18" s="18">
        <v>4.1430000000000002E-2</v>
      </c>
      <c r="T18" s="18">
        <v>4.1430000000000002E-2</v>
      </c>
      <c r="U18" s="18">
        <v>4.1430000000000002E-2</v>
      </c>
    </row>
    <row r="19" spans="4:21" x14ac:dyDescent="0.25">
      <c r="D19" s="9" t="s">
        <v>26</v>
      </c>
      <c r="E19" s="9" t="s">
        <v>349</v>
      </c>
      <c r="F19" s="9" t="s">
        <v>379</v>
      </c>
      <c r="G19" s="15">
        <v>310</v>
      </c>
      <c r="H19" s="9" t="s">
        <v>85</v>
      </c>
      <c r="I19" s="9" t="s">
        <v>13</v>
      </c>
      <c r="J19" s="9" t="s">
        <v>61</v>
      </c>
      <c r="K19" s="18">
        <v>0.26</v>
      </c>
      <c r="L19" s="18">
        <v>0.26</v>
      </c>
      <c r="M19" s="18">
        <v>0.26</v>
      </c>
      <c r="N19" s="18">
        <v>0.26</v>
      </c>
      <c r="O19" s="18">
        <v>0.26</v>
      </c>
      <c r="P19" s="18">
        <v>0.26</v>
      </c>
      <c r="Q19" s="18">
        <v>0.26</v>
      </c>
      <c r="R19" s="18">
        <v>0.26</v>
      </c>
      <c r="S19" s="18">
        <v>0.26</v>
      </c>
      <c r="T19" s="18">
        <v>0.26</v>
      </c>
      <c r="U19" s="18">
        <v>0.26</v>
      </c>
    </row>
    <row r="20" spans="4:21" x14ac:dyDescent="0.25">
      <c r="D20" s="9" t="s">
        <v>26</v>
      </c>
      <c r="E20" s="9" t="s">
        <v>349</v>
      </c>
      <c r="F20" s="9" t="s">
        <v>379</v>
      </c>
      <c r="G20" s="15">
        <v>310</v>
      </c>
      <c r="H20" s="9" t="s">
        <v>85</v>
      </c>
      <c r="I20" s="9" t="s">
        <v>15</v>
      </c>
      <c r="J20" s="9" t="s">
        <v>65</v>
      </c>
      <c r="K20" s="18">
        <v>94</v>
      </c>
      <c r="L20" s="18">
        <v>94</v>
      </c>
      <c r="M20" s="18">
        <v>94</v>
      </c>
      <c r="N20" s="18">
        <v>94</v>
      </c>
      <c r="O20" s="18">
        <v>94</v>
      </c>
      <c r="P20" s="18">
        <v>94</v>
      </c>
      <c r="Q20" s="18">
        <v>94</v>
      </c>
      <c r="R20" s="18">
        <v>94</v>
      </c>
      <c r="S20" s="18">
        <v>94</v>
      </c>
      <c r="T20" s="18">
        <v>94</v>
      </c>
      <c r="U20" s="18">
        <v>94</v>
      </c>
    </row>
    <row r="21" spans="4:21" x14ac:dyDescent="0.25">
      <c r="D21" s="9" t="s">
        <v>26</v>
      </c>
      <c r="E21" s="9" t="s">
        <v>349</v>
      </c>
      <c r="F21" s="9" t="s">
        <v>379</v>
      </c>
      <c r="G21" s="15">
        <v>310</v>
      </c>
      <c r="H21" s="9" t="s">
        <v>85</v>
      </c>
      <c r="I21" s="9" t="s">
        <v>338</v>
      </c>
      <c r="J21" s="9" t="s">
        <v>339</v>
      </c>
      <c r="K21" s="18">
        <v>0</v>
      </c>
      <c r="L21" s="18">
        <v>0</v>
      </c>
      <c r="M21" s="18">
        <v>0</v>
      </c>
      <c r="N21" s="18">
        <v>0</v>
      </c>
      <c r="O21" s="18">
        <v>0</v>
      </c>
      <c r="P21" s="18">
        <v>0</v>
      </c>
      <c r="Q21" s="18">
        <v>0</v>
      </c>
      <c r="R21" s="18">
        <v>0</v>
      </c>
      <c r="S21" s="18">
        <v>0</v>
      </c>
      <c r="T21" s="18">
        <v>0</v>
      </c>
      <c r="U21" s="18">
        <v>0</v>
      </c>
    </row>
    <row r="22" spans="4:21" x14ac:dyDescent="0.25">
      <c r="D22" s="9" t="s">
        <v>26</v>
      </c>
      <c r="E22" s="9" t="s">
        <v>349</v>
      </c>
      <c r="F22" s="9" t="s">
        <v>379</v>
      </c>
      <c r="G22" s="15">
        <v>310</v>
      </c>
      <c r="H22" s="9" t="s">
        <v>85</v>
      </c>
      <c r="I22" s="9" t="s">
        <v>32</v>
      </c>
      <c r="J22" s="9" t="s">
        <v>57</v>
      </c>
      <c r="K22" s="18">
        <v>0.02</v>
      </c>
      <c r="L22" s="18">
        <v>0.02</v>
      </c>
      <c r="M22" s="18">
        <v>0.02</v>
      </c>
      <c r="N22" s="18">
        <v>0.02</v>
      </c>
      <c r="O22" s="18">
        <v>0.02</v>
      </c>
      <c r="P22" s="18">
        <v>0.02</v>
      </c>
      <c r="Q22" s="18">
        <v>0.02</v>
      </c>
      <c r="R22" s="18">
        <v>0.02</v>
      </c>
      <c r="S22" s="18">
        <v>0.02</v>
      </c>
      <c r="T22" s="18">
        <v>0.02</v>
      </c>
      <c r="U22" s="18">
        <v>0.02</v>
      </c>
    </row>
    <row r="23" spans="4:21" x14ac:dyDescent="0.25">
      <c r="D23" s="9" t="s">
        <v>26</v>
      </c>
      <c r="E23" s="9" t="s">
        <v>349</v>
      </c>
      <c r="F23" s="9" t="s">
        <v>379</v>
      </c>
      <c r="G23" s="15">
        <v>310</v>
      </c>
      <c r="H23" s="9" t="s">
        <v>85</v>
      </c>
      <c r="I23" s="9" t="s">
        <v>341</v>
      </c>
      <c r="J23" s="9" t="s">
        <v>132</v>
      </c>
      <c r="K23" s="18">
        <v>2.5</v>
      </c>
      <c r="L23" s="18">
        <v>2.5</v>
      </c>
      <c r="M23" s="18">
        <v>2.5</v>
      </c>
      <c r="N23" s="18">
        <v>2.5</v>
      </c>
      <c r="O23" s="18">
        <v>2.5</v>
      </c>
      <c r="P23" s="18">
        <v>2.5</v>
      </c>
      <c r="Q23" s="18">
        <v>2.5</v>
      </c>
      <c r="R23" s="18">
        <v>2.5</v>
      </c>
      <c r="S23" s="18">
        <v>2.5</v>
      </c>
      <c r="T23" s="18">
        <v>2.5</v>
      </c>
      <c r="U23" s="18">
        <v>2.5</v>
      </c>
    </row>
    <row r="24" spans="4:21" x14ac:dyDescent="0.25">
      <c r="D24" s="9" t="s">
        <v>26</v>
      </c>
      <c r="E24" s="9" t="s">
        <v>349</v>
      </c>
      <c r="F24" s="9" t="s">
        <v>379</v>
      </c>
      <c r="G24" s="15">
        <v>310</v>
      </c>
      <c r="H24" s="9" t="s">
        <v>85</v>
      </c>
      <c r="I24" s="9" t="s">
        <v>342</v>
      </c>
      <c r="J24" s="9" t="s">
        <v>343</v>
      </c>
      <c r="K24" s="18">
        <v>20</v>
      </c>
      <c r="L24" s="18">
        <v>20</v>
      </c>
      <c r="M24" s="18">
        <v>20</v>
      </c>
      <c r="N24" s="18">
        <v>20</v>
      </c>
      <c r="O24" s="18">
        <v>20</v>
      </c>
      <c r="P24" s="18">
        <v>20</v>
      </c>
      <c r="Q24" s="18">
        <v>20</v>
      </c>
      <c r="R24" s="18">
        <v>20</v>
      </c>
      <c r="S24" s="18">
        <v>20</v>
      </c>
      <c r="T24" s="18">
        <v>20</v>
      </c>
      <c r="U24" s="18">
        <v>20</v>
      </c>
    </row>
    <row r="25" spans="4:21" x14ac:dyDescent="0.25">
      <c r="D25" s="9" t="s">
        <v>26</v>
      </c>
      <c r="E25" s="9" t="s">
        <v>349</v>
      </c>
      <c r="F25" s="9" t="s">
        <v>379</v>
      </c>
      <c r="G25" s="15">
        <v>310</v>
      </c>
      <c r="H25" s="9" t="s">
        <v>244</v>
      </c>
      <c r="I25" s="9" t="s">
        <v>344</v>
      </c>
      <c r="J25" s="9" t="s">
        <v>57</v>
      </c>
      <c r="K25" s="18">
        <v>0.71</v>
      </c>
      <c r="L25" s="18">
        <v>0.71</v>
      </c>
      <c r="M25" s="18">
        <v>0.71</v>
      </c>
      <c r="N25" s="18">
        <v>0.71</v>
      </c>
      <c r="O25" s="18">
        <v>0.71</v>
      </c>
      <c r="P25" s="18">
        <v>0.71</v>
      </c>
      <c r="Q25" s="18">
        <v>0.71</v>
      </c>
      <c r="R25" s="18">
        <v>0.71</v>
      </c>
      <c r="S25" s="18">
        <v>0.71</v>
      </c>
      <c r="T25" s="18">
        <v>0.71</v>
      </c>
      <c r="U25" s="18">
        <v>0.71</v>
      </c>
    </row>
    <row r="26" spans="4:21" x14ac:dyDescent="0.25">
      <c r="D26" s="9" t="s">
        <v>26</v>
      </c>
      <c r="E26" s="9" t="s">
        <v>349</v>
      </c>
      <c r="F26" s="9" t="s">
        <v>379</v>
      </c>
      <c r="G26" s="15">
        <v>310</v>
      </c>
      <c r="H26" s="9" t="s">
        <v>244</v>
      </c>
      <c r="I26" s="9" t="s">
        <v>458</v>
      </c>
      <c r="J26" s="9" t="s">
        <v>57</v>
      </c>
      <c r="K26" s="18">
        <v>0.44</v>
      </c>
      <c r="L26" s="18">
        <v>0.44</v>
      </c>
      <c r="M26" s="18">
        <v>0.44</v>
      </c>
      <c r="N26" s="18">
        <v>0.44</v>
      </c>
      <c r="O26" s="18">
        <v>0.44</v>
      </c>
      <c r="P26" s="18">
        <v>0.44</v>
      </c>
      <c r="Q26" s="18">
        <v>0.44</v>
      </c>
      <c r="R26" s="18">
        <v>0.44</v>
      </c>
      <c r="S26" s="18">
        <v>0.44</v>
      </c>
      <c r="T26" s="18">
        <v>0.44</v>
      </c>
      <c r="U26" s="18">
        <v>0.44</v>
      </c>
    </row>
    <row r="27" spans="4:21" x14ac:dyDescent="0.25">
      <c r="D27" s="9" t="s">
        <v>26</v>
      </c>
      <c r="E27" s="9" t="s">
        <v>349</v>
      </c>
      <c r="F27" s="9" t="s">
        <v>379</v>
      </c>
      <c r="G27" s="15">
        <v>310</v>
      </c>
      <c r="H27" s="9" t="s">
        <v>244</v>
      </c>
      <c r="I27" s="9" t="s">
        <v>16</v>
      </c>
      <c r="J27" s="9" t="s">
        <v>57</v>
      </c>
      <c r="K27" s="18">
        <v>7.0000000000000007E-2</v>
      </c>
      <c r="L27" s="18">
        <v>7.0000000000000007E-2</v>
      </c>
      <c r="M27" s="18">
        <v>7.0000000000000007E-2</v>
      </c>
      <c r="N27" s="18">
        <v>7.0000000000000007E-2</v>
      </c>
      <c r="O27" s="18">
        <v>7.0000000000000007E-2</v>
      </c>
      <c r="P27" s="18">
        <v>7.0000000000000007E-2</v>
      </c>
      <c r="Q27" s="18">
        <v>7.0000000000000007E-2</v>
      </c>
      <c r="R27" s="18">
        <v>7.0000000000000007E-2</v>
      </c>
      <c r="S27" s="18">
        <v>7.0000000000000007E-2</v>
      </c>
      <c r="T27" s="18">
        <v>7.0000000000000007E-2</v>
      </c>
      <c r="U27" s="18">
        <v>7.0000000000000007E-2</v>
      </c>
    </row>
    <row r="28" spans="4:21" x14ac:dyDescent="0.25">
      <c r="D28" s="9" t="s">
        <v>26</v>
      </c>
      <c r="E28" s="9" t="s">
        <v>349</v>
      </c>
      <c r="F28" s="9" t="s">
        <v>379</v>
      </c>
      <c r="G28" s="15">
        <v>310</v>
      </c>
      <c r="H28" s="9" t="s">
        <v>244</v>
      </c>
      <c r="I28" s="9" t="s">
        <v>13</v>
      </c>
      <c r="J28" s="9" t="s">
        <v>61</v>
      </c>
      <c r="K28" s="18">
        <v>0.44</v>
      </c>
      <c r="L28" s="18">
        <v>0.44</v>
      </c>
      <c r="M28" s="18">
        <v>0.44</v>
      </c>
      <c r="N28" s="18">
        <v>0.44</v>
      </c>
      <c r="O28" s="18">
        <v>0.44</v>
      </c>
      <c r="P28" s="18">
        <v>0.44</v>
      </c>
      <c r="Q28" s="18">
        <v>0.44</v>
      </c>
      <c r="R28" s="18">
        <v>0.44</v>
      </c>
      <c r="S28" s="18">
        <v>0.44</v>
      </c>
      <c r="T28" s="18">
        <v>0.44</v>
      </c>
      <c r="U28" s="18">
        <v>0.44</v>
      </c>
    </row>
    <row r="29" spans="4:21" x14ac:dyDescent="0.25">
      <c r="D29" s="9" t="s">
        <v>26</v>
      </c>
      <c r="E29" s="9" t="s">
        <v>349</v>
      </c>
      <c r="F29" s="9" t="s">
        <v>379</v>
      </c>
      <c r="G29" s="15">
        <v>310</v>
      </c>
      <c r="H29" s="9" t="s">
        <v>244</v>
      </c>
      <c r="I29" s="9" t="s">
        <v>15</v>
      </c>
      <c r="J29" s="9" t="s">
        <v>65</v>
      </c>
      <c r="K29" s="18">
        <v>94</v>
      </c>
      <c r="L29" s="18">
        <v>94</v>
      </c>
      <c r="M29" s="18">
        <v>94</v>
      </c>
      <c r="N29" s="18">
        <v>94</v>
      </c>
      <c r="O29" s="18">
        <v>94</v>
      </c>
      <c r="P29" s="18">
        <v>94</v>
      </c>
      <c r="Q29" s="18">
        <v>94</v>
      </c>
      <c r="R29" s="18">
        <v>94</v>
      </c>
      <c r="S29" s="18">
        <v>94</v>
      </c>
      <c r="T29" s="18">
        <v>94</v>
      </c>
      <c r="U29" s="18">
        <v>94</v>
      </c>
    </row>
    <row r="30" spans="4:21" x14ac:dyDescent="0.25">
      <c r="D30" s="9" t="s">
        <v>26</v>
      </c>
      <c r="E30" s="9" t="s">
        <v>349</v>
      </c>
      <c r="F30" s="9" t="s">
        <v>379</v>
      </c>
      <c r="G30" s="15">
        <v>310</v>
      </c>
      <c r="H30" s="9" t="s">
        <v>244</v>
      </c>
      <c r="I30" s="9" t="s">
        <v>338</v>
      </c>
      <c r="J30" s="9" t="s">
        <v>339</v>
      </c>
      <c r="K30" s="18">
        <v>0</v>
      </c>
      <c r="L30" s="18">
        <v>0</v>
      </c>
      <c r="M30" s="18">
        <v>0</v>
      </c>
      <c r="N30" s="18">
        <v>0</v>
      </c>
      <c r="O30" s="18">
        <v>0</v>
      </c>
      <c r="P30" s="18">
        <v>0</v>
      </c>
      <c r="Q30" s="18">
        <v>0</v>
      </c>
      <c r="R30" s="18">
        <v>0</v>
      </c>
      <c r="S30" s="18">
        <v>0</v>
      </c>
      <c r="T30" s="18">
        <v>0</v>
      </c>
      <c r="U30" s="18">
        <v>0</v>
      </c>
    </row>
    <row r="31" spans="4:21" x14ac:dyDescent="0.25">
      <c r="D31" s="9" t="s">
        <v>26</v>
      </c>
      <c r="E31" s="9" t="s">
        <v>349</v>
      </c>
      <c r="F31" s="9" t="s">
        <v>379</v>
      </c>
      <c r="G31" s="15">
        <v>310</v>
      </c>
      <c r="H31" s="9" t="s">
        <v>244</v>
      </c>
      <c r="I31" s="9" t="s">
        <v>32</v>
      </c>
      <c r="J31" s="9" t="s">
        <v>57</v>
      </c>
      <c r="K31" s="18">
        <v>0.03</v>
      </c>
      <c r="L31" s="18">
        <v>0.03</v>
      </c>
      <c r="M31" s="18">
        <v>0.03</v>
      </c>
      <c r="N31" s="18">
        <v>0.03</v>
      </c>
      <c r="O31" s="18">
        <v>0.03</v>
      </c>
      <c r="P31" s="18">
        <v>0.03</v>
      </c>
      <c r="Q31" s="18">
        <v>0.03</v>
      </c>
      <c r="R31" s="18">
        <v>0.03</v>
      </c>
      <c r="S31" s="18">
        <v>0.03</v>
      </c>
      <c r="T31" s="18">
        <v>0.03</v>
      </c>
      <c r="U31" s="18">
        <v>0.03</v>
      </c>
    </row>
    <row r="32" spans="4:21" x14ac:dyDescent="0.25">
      <c r="D32" s="9" t="s">
        <v>26</v>
      </c>
      <c r="E32" s="9" t="s">
        <v>349</v>
      </c>
      <c r="F32" s="9" t="s">
        <v>379</v>
      </c>
      <c r="G32" s="15">
        <v>310</v>
      </c>
      <c r="H32" s="9" t="s">
        <v>244</v>
      </c>
      <c r="I32" s="9" t="s">
        <v>341</v>
      </c>
      <c r="J32" s="9" t="s">
        <v>132</v>
      </c>
      <c r="K32" s="18">
        <v>2.5</v>
      </c>
      <c r="L32" s="18">
        <v>2.5</v>
      </c>
      <c r="M32" s="18">
        <v>2.5</v>
      </c>
      <c r="N32" s="18">
        <v>2.5</v>
      </c>
      <c r="O32" s="18">
        <v>2.5</v>
      </c>
      <c r="P32" s="18">
        <v>2.5</v>
      </c>
      <c r="Q32" s="18">
        <v>2.5</v>
      </c>
      <c r="R32" s="18">
        <v>2.5</v>
      </c>
      <c r="S32" s="18">
        <v>2.5</v>
      </c>
      <c r="T32" s="18">
        <v>2.5</v>
      </c>
      <c r="U32" s="18">
        <v>2.5</v>
      </c>
    </row>
    <row r="33" spans="4:21" x14ac:dyDescent="0.25">
      <c r="D33" s="9" t="s">
        <v>26</v>
      </c>
      <c r="E33" s="9" t="s">
        <v>349</v>
      </c>
      <c r="F33" s="9" t="s">
        <v>379</v>
      </c>
      <c r="G33" s="15">
        <v>310</v>
      </c>
      <c r="H33" s="9" t="s">
        <v>244</v>
      </c>
      <c r="I33" s="9" t="s">
        <v>342</v>
      </c>
      <c r="J33" s="9" t="s">
        <v>343</v>
      </c>
      <c r="K33" s="18">
        <v>20</v>
      </c>
      <c r="L33" s="18">
        <v>20</v>
      </c>
      <c r="M33" s="18">
        <v>20</v>
      </c>
      <c r="N33" s="18">
        <v>20</v>
      </c>
      <c r="O33" s="18">
        <v>20</v>
      </c>
      <c r="P33" s="18">
        <v>20</v>
      </c>
      <c r="Q33" s="18">
        <v>20</v>
      </c>
      <c r="R33" s="18">
        <v>20</v>
      </c>
      <c r="S33" s="18">
        <v>20</v>
      </c>
      <c r="T33" s="18">
        <v>20</v>
      </c>
      <c r="U33" s="18">
        <v>20</v>
      </c>
    </row>
    <row r="34" spans="4:21" x14ac:dyDescent="0.25">
      <c r="D34" s="9" t="s">
        <v>26</v>
      </c>
      <c r="E34" s="9" t="s">
        <v>349</v>
      </c>
      <c r="F34" s="9" t="s">
        <v>379</v>
      </c>
      <c r="G34" s="15">
        <v>1000</v>
      </c>
      <c r="H34" s="9" t="s">
        <v>82</v>
      </c>
      <c r="I34" s="9" t="s">
        <v>345</v>
      </c>
      <c r="J34" s="9" t="s">
        <v>57</v>
      </c>
      <c r="K34" s="18">
        <v>0.23</v>
      </c>
      <c r="L34" s="18">
        <v>0.23</v>
      </c>
      <c r="M34" s="18">
        <v>0.23</v>
      </c>
      <c r="N34" s="18">
        <v>0.23</v>
      </c>
      <c r="O34" s="18">
        <v>0.23</v>
      </c>
      <c r="P34" s="18">
        <v>0.23</v>
      </c>
      <c r="Q34" s="18">
        <v>0.23</v>
      </c>
      <c r="R34" s="18">
        <v>0.23</v>
      </c>
      <c r="S34" s="18">
        <v>0.23</v>
      </c>
      <c r="T34" s="18">
        <v>0.23</v>
      </c>
      <c r="U34" s="18">
        <v>0.23</v>
      </c>
    </row>
    <row r="35" spans="4:21" x14ac:dyDescent="0.25">
      <c r="D35" s="9" t="s">
        <v>26</v>
      </c>
      <c r="E35" s="9" t="s">
        <v>349</v>
      </c>
      <c r="F35" s="9" t="s">
        <v>379</v>
      </c>
      <c r="G35" s="15">
        <v>1000</v>
      </c>
      <c r="H35" s="9" t="s">
        <v>82</v>
      </c>
      <c r="I35" s="9" t="s">
        <v>458</v>
      </c>
      <c r="J35" s="9" t="s">
        <v>57</v>
      </c>
      <c r="K35" s="18">
        <v>0.47699999999999998</v>
      </c>
      <c r="L35" s="18">
        <v>0.47699999999999998</v>
      </c>
      <c r="M35" s="18">
        <v>0.47699999999999998</v>
      </c>
      <c r="N35" s="18">
        <v>0.47699999999999998</v>
      </c>
      <c r="O35" s="18">
        <v>0.47699999999999998</v>
      </c>
      <c r="P35" s="18">
        <v>0.47699999999999998</v>
      </c>
      <c r="Q35" s="18">
        <v>0.47699999999999998</v>
      </c>
      <c r="R35" s="18">
        <v>0.47699999999999998</v>
      </c>
      <c r="S35" s="18">
        <v>0.47699999999999998</v>
      </c>
      <c r="T35" s="18">
        <v>0.47699999999999998</v>
      </c>
      <c r="U35" s="18">
        <v>0.47699999999999998</v>
      </c>
    </row>
    <row r="36" spans="4:21" x14ac:dyDescent="0.25">
      <c r="D36" s="9" t="s">
        <v>26</v>
      </c>
      <c r="E36" s="9" t="s">
        <v>349</v>
      </c>
      <c r="F36" s="9" t="s">
        <v>379</v>
      </c>
      <c r="G36" s="15">
        <v>1000</v>
      </c>
      <c r="H36" s="9" t="s">
        <v>82</v>
      </c>
      <c r="I36" s="9" t="s">
        <v>29</v>
      </c>
      <c r="J36" s="9" t="s">
        <v>57</v>
      </c>
      <c r="K36" s="18">
        <v>3.0000000000000001E-3</v>
      </c>
      <c r="L36" s="18">
        <v>3.0000000000000001E-3</v>
      </c>
      <c r="M36" s="18">
        <v>3.0000000000000001E-3</v>
      </c>
      <c r="N36" s="18">
        <v>3.0000000000000001E-3</v>
      </c>
      <c r="O36" s="18">
        <v>3.0000000000000001E-3</v>
      </c>
      <c r="P36" s="18">
        <v>3.0000000000000001E-3</v>
      </c>
      <c r="Q36" s="18">
        <v>3.0000000000000001E-3</v>
      </c>
      <c r="R36" s="18">
        <v>3.0000000000000001E-3</v>
      </c>
      <c r="S36" s="18">
        <v>3.0000000000000001E-3</v>
      </c>
      <c r="T36" s="18">
        <v>3.0000000000000001E-3</v>
      </c>
      <c r="U36" s="18">
        <v>3.0000000000000001E-3</v>
      </c>
    </row>
    <row r="37" spans="4:21" x14ac:dyDescent="0.25">
      <c r="D37" s="9" t="s">
        <v>26</v>
      </c>
      <c r="E37" s="9" t="s">
        <v>349</v>
      </c>
      <c r="F37" s="9" t="s">
        <v>379</v>
      </c>
      <c r="G37" s="15">
        <v>1000</v>
      </c>
      <c r="H37" s="9" t="s">
        <v>82</v>
      </c>
      <c r="I37" s="9" t="s">
        <v>16</v>
      </c>
      <c r="J37" s="9" t="s">
        <v>57</v>
      </c>
      <c r="K37" s="18">
        <v>5.6449999999999998E-3</v>
      </c>
      <c r="L37" s="18">
        <v>5.6449999999999998E-3</v>
      </c>
      <c r="M37" s="18">
        <v>5.6449999999999998E-3</v>
      </c>
      <c r="N37" s="18">
        <v>5.6449999999999998E-3</v>
      </c>
      <c r="O37" s="18">
        <v>5.6449999999999998E-3</v>
      </c>
      <c r="P37" s="18">
        <v>5.6449999999999998E-3</v>
      </c>
      <c r="Q37" s="18">
        <v>5.6449999999999998E-3</v>
      </c>
      <c r="R37" s="18">
        <v>5.6449999999999998E-3</v>
      </c>
      <c r="S37" s="18">
        <v>5.6449999999999998E-3</v>
      </c>
      <c r="T37" s="18">
        <v>5.6449999999999998E-3</v>
      </c>
      <c r="U37" s="18">
        <v>5.6449999999999998E-3</v>
      </c>
    </row>
    <row r="38" spans="4:21" x14ac:dyDescent="0.25">
      <c r="D38" s="9" t="s">
        <v>26</v>
      </c>
      <c r="E38" s="9" t="s">
        <v>349</v>
      </c>
      <c r="F38" s="9" t="s">
        <v>379</v>
      </c>
      <c r="G38" s="15">
        <v>1000</v>
      </c>
      <c r="H38" s="9" t="s">
        <v>82</v>
      </c>
      <c r="I38" s="9" t="s">
        <v>13</v>
      </c>
      <c r="J38" s="9" t="s">
        <v>61</v>
      </c>
      <c r="K38" s="18">
        <v>0.36799999999999999</v>
      </c>
      <c r="L38" s="18">
        <v>0.36799999999999999</v>
      </c>
      <c r="M38" s="18">
        <v>0.36799999999999999</v>
      </c>
      <c r="N38" s="18">
        <v>0.36799999999999999</v>
      </c>
      <c r="O38" s="18">
        <v>0.36799999999999999</v>
      </c>
      <c r="P38" s="18">
        <v>0.36799999999999999</v>
      </c>
      <c r="Q38" s="18">
        <v>0.36799999999999999</v>
      </c>
      <c r="R38" s="18">
        <v>0.36799999999999999</v>
      </c>
      <c r="S38" s="18">
        <v>0.36799999999999999</v>
      </c>
      <c r="T38" s="18">
        <v>0.36799999999999999</v>
      </c>
      <c r="U38" s="18">
        <v>0.36799999999999999</v>
      </c>
    </row>
    <row r="39" spans="4:21" x14ac:dyDescent="0.25">
      <c r="D39" s="9" t="s">
        <v>26</v>
      </c>
      <c r="E39" s="9" t="s">
        <v>349</v>
      </c>
      <c r="F39" s="9" t="s">
        <v>379</v>
      </c>
      <c r="G39" s="15">
        <v>1000</v>
      </c>
      <c r="H39" s="9" t="s">
        <v>82</v>
      </c>
      <c r="I39" s="9" t="s">
        <v>15</v>
      </c>
      <c r="J39" s="9" t="s">
        <v>65</v>
      </c>
      <c r="K39" s="18">
        <v>40</v>
      </c>
      <c r="L39" s="18">
        <v>40</v>
      </c>
      <c r="M39" s="18">
        <v>40</v>
      </c>
      <c r="N39" s="18">
        <v>40</v>
      </c>
      <c r="O39" s="18">
        <v>40</v>
      </c>
      <c r="P39" s="18">
        <v>40</v>
      </c>
      <c r="Q39" s="18">
        <v>40</v>
      </c>
      <c r="R39" s="18">
        <v>40</v>
      </c>
      <c r="S39" s="18">
        <v>40</v>
      </c>
      <c r="T39" s="18">
        <v>40</v>
      </c>
      <c r="U39" s="18">
        <v>40</v>
      </c>
    </row>
    <row r="40" spans="4:21" x14ac:dyDescent="0.25">
      <c r="D40" s="9" t="s">
        <v>26</v>
      </c>
      <c r="E40" s="9" t="s">
        <v>349</v>
      </c>
      <c r="F40" s="9" t="s">
        <v>379</v>
      </c>
      <c r="G40" s="15">
        <v>1000</v>
      </c>
      <c r="H40" s="9" t="s">
        <v>82</v>
      </c>
      <c r="I40" s="9" t="s">
        <v>338</v>
      </c>
      <c r="J40" s="9" t="s">
        <v>339</v>
      </c>
      <c r="K40" s="18">
        <v>1</v>
      </c>
      <c r="L40" s="18">
        <v>1</v>
      </c>
      <c r="M40" s="18">
        <v>1</v>
      </c>
      <c r="N40" s="18">
        <v>1</v>
      </c>
      <c r="O40" s="18">
        <v>1</v>
      </c>
      <c r="P40" s="18">
        <v>1</v>
      </c>
      <c r="Q40" s="18">
        <v>1</v>
      </c>
      <c r="R40" s="18">
        <v>1</v>
      </c>
      <c r="S40" s="18">
        <v>1</v>
      </c>
      <c r="T40" s="18">
        <v>1</v>
      </c>
      <c r="U40" s="18">
        <v>1</v>
      </c>
    </row>
    <row r="41" spans="4:21" x14ac:dyDescent="0.25">
      <c r="D41" s="9" t="s">
        <v>26</v>
      </c>
      <c r="E41" s="9" t="s">
        <v>349</v>
      </c>
      <c r="F41" s="9" t="s">
        <v>379</v>
      </c>
      <c r="G41" s="15">
        <v>1000</v>
      </c>
      <c r="H41" s="9" t="s">
        <v>82</v>
      </c>
      <c r="I41" s="9" t="s">
        <v>340</v>
      </c>
      <c r="J41" s="9" t="s">
        <v>339</v>
      </c>
      <c r="K41" s="18">
        <v>3</v>
      </c>
      <c r="L41" s="18">
        <v>3</v>
      </c>
      <c r="M41" s="18">
        <v>3</v>
      </c>
      <c r="N41" s="18">
        <v>3</v>
      </c>
      <c r="O41" s="18">
        <v>3</v>
      </c>
      <c r="P41" s="18">
        <v>3</v>
      </c>
      <c r="Q41" s="18">
        <v>3</v>
      </c>
      <c r="R41" s="18">
        <v>3</v>
      </c>
      <c r="S41" s="18">
        <v>3</v>
      </c>
      <c r="T41" s="18">
        <v>3</v>
      </c>
      <c r="U41" s="18">
        <v>3</v>
      </c>
    </row>
    <row r="42" spans="4:21" x14ac:dyDescent="0.25">
      <c r="D42" s="9" t="s">
        <v>26</v>
      </c>
      <c r="E42" s="9" t="s">
        <v>349</v>
      </c>
      <c r="F42" s="9" t="s">
        <v>379</v>
      </c>
      <c r="G42" s="15">
        <v>1000</v>
      </c>
      <c r="H42" s="9" t="s">
        <v>82</v>
      </c>
      <c r="I42" s="9" t="s">
        <v>32</v>
      </c>
      <c r="J42" s="9" t="s">
        <v>57</v>
      </c>
      <c r="K42" s="18">
        <v>2.5000000000000001E-2</v>
      </c>
      <c r="L42" s="18">
        <v>2.5000000000000001E-2</v>
      </c>
      <c r="M42" s="18">
        <v>2.5000000000000001E-2</v>
      </c>
      <c r="N42" s="18">
        <v>2.5000000000000001E-2</v>
      </c>
      <c r="O42" s="18">
        <v>2.5000000000000001E-2</v>
      </c>
      <c r="P42" s="18">
        <v>2.5000000000000001E-2</v>
      </c>
      <c r="Q42" s="18">
        <v>2.5000000000000001E-2</v>
      </c>
      <c r="R42" s="18">
        <v>2.5000000000000001E-2</v>
      </c>
      <c r="S42" s="18">
        <v>2.5000000000000001E-2</v>
      </c>
      <c r="T42" s="18">
        <v>2.5000000000000001E-2</v>
      </c>
      <c r="U42" s="18">
        <v>2.5000000000000001E-2</v>
      </c>
    </row>
    <row r="43" spans="4:21" x14ac:dyDescent="0.25">
      <c r="D43" s="9" t="s">
        <v>26</v>
      </c>
      <c r="E43" s="9" t="s">
        <v>349</v>
      </c>
      <c r="F43" s="9" t="s">
        <v>379</v>
      </c>
      <c r="G43" s="15">
        <v>1000</v>
      </c>
      <c r="H43" s="9" t="s">
        <v>82</v>
      </c>
      <c r="I43" s="9" t="s">
        <v>31</v>
      </c>
      <c r="J43" s="9" t="s">
        <v>57</v>
      </c>
      <c r="K43" s="18">
        <v>3.5000000000000003E-2</v>
      </c>
      <c r="L43" s="18">
        <v>3.5000000000000003E-2</v>
      </c>
      <c r="M43" s="18">
        <v>3.5000000000000003E-2</v>
      </c>
      <c r="N43" s="18">
        <v>3.5000000000000003E-2</v>
      </c>
      <c r="O43" s="18">
        <v>3.5000000000000003E-2</v>
      </c>
      <c r="P43" s="18">
        <v>3.5000000000000003E-2</v>
      </c>
      <c r="Q43" s="18">
        <v>3.5000000000000003E-2</v>
      </c>
      <c r="R43" s="18">
        <v>3.5000000000000003E-2</v>
      </c>
      <c r="S43" s="18">
        <v>3.5000000000000003E-2</v>
      </c>
      <c r="T43" s="18">
        <v>3.5000000000000003E-2</v>
      </c>
      <c r="U43" s="18">
        <v>3.5000000000000003E-2</v>
      </c>
    </row>
    <row r="44" spans="4:21" x14ac:dyDescent="0.25">
      <c r="D44" s="9" t="s">
        <v>26</v>
      </c>
      <c r="E44" s="9" t="s">
        <v>349</v>
      </c>
      <c r="F44" s="9" t="s">
        <v>379</v>
      </c>
      <c r="G44" s="15">
        <v>1000</v>
      </c>
      <c r="H44" s="9" t="s">
        <v>82</v>
      </c>
      <c r="I44" s="9" t="s">
        <v>341</v>
      </c>
      <c r="J44" s="9" t="s">
        <v>132</v>
      </c>
      <c r="K44" s="18">
        <v>2.5</v>
      </c>
      <c r="L44" s="18">
        <v>2.5</v>
      </c>
      <c r="M44" s="18">
        <v>2.5</v>
      </c>
      <c r="N44" s="18">
        <v>2.5</v>
      </c>
      <c r="O44" s="18">
        <v>2.5</v>
      </c>
      <c r="P44" s="18">
        <v>2.5</v>
      </c>
      <c r="Q44" s="18">
        <v>2.5</v>
      </c>
      <c r="R44" s="18">
        <v>2.5</v>
      </c>
      <c r="S44" s="18">
        <v>2.5</v>
      </c>
      <c r="T44" s="18">
        <v>2.5</v>
      </c>
      <c r="U44" s="18">
        <v>2.5</v>
      </c>
    </row>
    <row r="45" spans="4:21" x14ac:dyDescent="0.25">
      <c r="D45" s="9" t="s">
        <v>26</v>
      </c>
      <c r="E45" s="9" t="s">
        <v>349</v>
      </c>
      <c r="F45" s="9" t="s">
        <v>379</v>
      </c>
      <c r="G45" s="15">
        <v>1000</v>
      </c>
      <c r="H45" s="9" t="s">
        <v>82</v>
      </c>
      <c r="I45" s="9" t="s">
        <v>342</v>
      </c>
      <c r="J45" s="9" t="s">
        <v>343</v>
      </c>
      <c r="K45" s="18">
        <v>50</v>
      </c>
      <c r="L45" s="18">
        <v>50</v>
      </c>
      <c r="M45" s="18">
        <v>50</v>
      </c>
      <c r="N45" s="18">
        <v>50</v>
      </c>
      <c r="O45" s="18">
        <v>50</v>
      </c>
      <c r="P45" s="18">
        <v>50</v>
      </c>
      <c r="Q45" s="18">
        <v>50</v>
      </c>
      <c r="R45" s="18">
        <v>50</v>
      </c>
      <c r="S45" s="18">
        <v>50</v>
      </c>
      <c r="T45" s="18">
        <v>50</v>
      </c>
      <c r="U45" s="18">
        <v>50</v>
      </c>
    </row>
    <row r="46" spans="4:21" x14ac:dyDescent="0.25">
      <c r="D46" s="9" t="s">
        <v>26</v>
      </c>
      <c r="E46" s="9" t="s">
        <v>349</v>
      </c>
      <c r="F46" s="9" t="s">
        <v>379</v>
      </c>
      <c r="G46" s="15">
        <v>1000</v>
      </c>
      <c r="H46" s="9" t="s">
        <v>81</v>
      </c>
      <c r="I46" s="9" t="s">
        <v>345</v>
      </c>
      <c r="J46" s="9" t="s">
        <v>57</v>
      </c>
      <c r="K46" s="18">
        <v>0.14000000000000001</v>
      </c>
      <c r="L46" s="18">
        <v>0.14000000000000001</v>
      </c>
      <c r="M46" s="18">
        <v>0.14000000000000001</v>
      </c>
      <c r="N46" s="18">
        <v>0.14000000000000001</v>
      </c>
      <c r="O46" s="18">
        <v>0.14000000000000001</v>
      </c>
      <c r="P46" s="18">
        <v>0.14000000000000001</v>
      </c>
      <c r="Q46" s="18">
        <v>0.14000000000000001</v>
      </c>
      <c r="R46" s="18">
        <v>0.14000000000000001</v>
      </c>
      <c r="S46" s="18">
        <v>0.14000000000000001</v>
      </c>
      <c r="T46" s="18">
        <v>0.14000000000000001</v>
      </c>
      <c r="U46" s="18">
        <v>0.14000000000000001</v>
      </c>
    </row>
    <row r="47" spans="4:21" x14ac:dyDescent="0.25">
      <c r="D47" s="9" t="s">
        <v>26</v>
      </c>
      <c r="E47" s="9" t="s">
        <v>349</v>
      </c>
      <c r="F47" s="9" t="s">
        <v>379</v>
      </c>
      <c r="G47" s="15">
        <v>1000</v>
      </c>
      <c r="H47" s="9" t="s">
        <v>81</v>
      </c>
      <c r="I47" s="9" t="s">
        <v>458</v>
      </c>
      <c r="J47" s="9" t="s">
        <v>57</v>
      </c>
      <c r="K47" s="18">
        <v>0.54100000000000004</v>
      </c>
      <c r="L47" s="18">
        <v>0.54100000000000004</v>
      </c>
      <c r="M47" s="18">
        <v>0.54100000000000004</v>
      </c>
      <c r="N47" s="18">
        <v>0.54100000000000004</v>
      </c>
      <c r="O47" s="18">
        <v>0.54100000000000004</v>
      </c>
      <c r="P47" s="18">
        <v>0.54100000000000004</v>
      </c>
      <c r="Q47" s="18">
        <v>0.54100000000000004</v>
      </c>
      <c r="R47" s="18">
        <v>0.54100000000000004</v>
      </c>
      <c r="S47" s="18">
        <v>0.54100000000000004</v>
      </c>
      <c r="T47" s="18">
        <v>0.54100000000000004</v>
      </c>
      <c r="U47" s="18">
        <v>0.54100000000000004</v>
      </c>
    </row>
    <row r="48" spans="4:21" x14ac:dyDescent="0.25">
      <c r="D48" s="9" t="s">
        <v>26</v>
      </c>
      <c r="E48" s="9" t="s">
        <v>349</v>
      </c>
      <c r="F48" s="9" t="s">
        <v>379</v>
      </c>
      <c r="G48" s="15">
        <v>1000</v>
      </c>
      <c r="H48" s="9" t="s">
        <v>81</v>
      </c>
      <c r="I48" s="9" t="s">
        <v>29</v>
      </c>
      <c r="J48" s="9" t="s">
        <v>57</v>
      </c>
      <c r="K48" s="18">
        <v>8.9999999999999993E-3</v>
      </c>
      <c r="L48" s="18">
        <v>0</v>
      </c>
      <c r="M48" s="18">
        <v>0</v>
      </c>
      <c r="N48" s="18">
        <v>0</v>
      </c>
      <c r="O48" s="18">
        <v>0</v>
      </c>
      <c r="P48" s="18">
        <v>0</v>
      </c>
      <c r="Q48" s="18">
        <v>0</v>
      </c>
      <c r="R48" s="18">
        <v>0</v>
      </c>
      <c r="S48" s="18">
        <v>0</v>
      </c>
      <c r="T48" s="18">
        <v>0</v>
      </c>
      <c r="U48" s="18">
        <v>0</v>
      </c>
    </row>
    <row r="49" spans="4:21" x14ac:dyDescent="0.25">
      <c r="D49" s="9" t="s">
        <v>26</v>
      </c>
      <c r="E49" s="9" t="s">
        <v>349</v>
      </c>
      <c r="F49" s="9" t="s">
        <v>379</v>
      </c>
      <c r="G49" s="15">
        <v>1000</v>
      </c>
      <c r="H49" s="9" t="s">
        <v>81</v>
      </c>
      <c r="I49" s="9" t="s">
        <v>16</v>
      </c>
      <c r="J49" s="9" t="s">
        <v>57</v>
      </c>
      <c r="K49" s="18">
        <v>5.8799999999999998E-3</v>
      </c>
      <c r="L49" s="18">
        <v>5.8799999999999998E-3</v>
      </c>
      <c r="M49" s="18">
        <v>5.8799999999999998E-3</v>
      </c>
      <c r="N49" s="18">
        <v>5.8799999999999998E-3</v>
      </c>
      <c r="O49" s="18">
        <v>5.8799999999999998E-3</v>
      </c>
      <c r="P49" s="18">
        <v>5.8799999999999998E-3</v>
      </c>
      <c r="Q49" s="18">
        <v>5.8799999999999998E-3</v>
      </c>
      <c r="R49" s="18">
        <v>5.8799999999999998E-3</v>
      </c>
      <c r="S49" s="18">
        <v>5.8799999999999998E-3</v>
      </c>
      <c r="T49" s="18">
        <v>5.8799999999999998E-3</v>
      </c>
      <c r="U49" s="18">
        <v>5.8799999999999998E-3</v>
      </c>
    </row>
    <row r="50" spans="4:21" x14ac:dyDescent="0.25">
      <c r="D50" s="9" t="s">
        <v>26</v>
      </c>
      <c r="E50" s="9" t="s">
        <v>349</v>
      </c>
      <c r="F50" s="9" t="s">
        <v>379</v>
      </c>
      <c r="G50" s="15">
        <v>1000</v>
      </c>
      <c r="H50" s="9" t="s">
        <v>81</v>
      </c>
      <c r="I50" s="9" t="s">
        <v>13</v>
      </c>
      <c r="J50" s="9" t="s">
        <v>61</v>
      </c>
      <c r="K50" s="18">
        <v>0.21999999999999997</v>
      </c>
      <c r="L50" s="18">
        <v>0.21999999999999997</v>
      </c>
      <c r="M50" s="18">
        <v>0.21999999999999997</v>
      </c>
      <c r="N50" s="18">
        <v>0.21999999999999997</v>
      </c>
      <c r="O50" s="18">
        <v>0.21999999999999997</v>
      </c>
      <c r="P50" s="18">
        <v>0.21999999999999997</v>
      </c>
      <c r="Q50" s="18">
        <v>0.21999999999999997</v>
      </c>
      <c r="R50" s="18">
        <v>0.21999999999999997</v>
      </c>
      <c r="S50" s="18">
        <v>0.21999999999999997</v>
      </c>
      <c r="T50" s="18">
        <v>0.21999999999999997</v>
      </c>
      <c r="U50" s="18">
        <v>0.21999999999999997</v>
      </c>
    </row>
    <row r="51" spans="4:21" x14ac:dyDescent="0.25">
      <c r="D51" s="9" t="s">
        <v>26</v>
      </c>
      <c r="E51" s="9" t="s">
        <v>349</v>
      </c>
      <c r="F51" s="9" t="s">
        <v>379</v>
      </c>
      <c r="G51" s="9">
        <v>1000</v>
      </c>
      <c r="H51" s="9" t="s">
        <v>81</v>
      </c>
      <c r="I51" s="9" t="s">
        <v>15</v>
      </c>
      <c r="J51" s="9" t="s">
        <v>65</v>
      </c>
      <c r="K51" s="18">
        <v>40</v>
      </c>
      <c r="L51" s="18">
        <v>40</v>
      </c>
      <c r="M51" s="18">
        <v>40</v>
      </c>
      <c r="N51" s="18">
        <v>40</v>
      </c>
      <c r="O51" s="18">
        <v>40</v>
      </c>
      <c r="P51" s="18">
        <v>40</v>
      </c>
      <c r="Q51" s="18">
        <v>40</v>
      </c>
      <c r="R51" s="18">
        <v>40</v>
      </c>
      <c r="S51" s="18">
        <v>40</v>
      </c>
      <c r="T51" s="18">
        <v>40</v>
      </c>
      <c r="U51" s="18">
        <v>40</v>
      </c>
    </row>
    <row r="52" spans="4:21" x14ac:dyDescent="0.25">
      <c r="D52" s="9" t="s">
        <v>26</v>
      </c>
      <c r="E52" s="9" t="s">
        <v>349</v>
      </c>
      <c r="F52" s="9" t="s">
        <v>379</v>
      </c>
      <c r="G52" s="9">
        <v>1000</v>
      </c>
      <c r="H52" s="9" t="s">
        <v>81</v>
      </c>
      <c r="I52" s="9" t="s">
        <v>338</v>
      </c>
      <c r="J52" s="9" t="s">
        <v>339</v>
      </c>
      <c r="K52" s="18">
        <v>1</v>
      </c>
      <c r="L52" s="18">
        <v>1</v>
      </c>
      <c r="M52" s="18">
        <v>1</v>
      </c>
      <c r="N52" s="18">
        <v>1</v>
      </c>
      <c r="O52" s="18">
        <v>1</v>
      </c>
      <c r="P52" s="18">
        <v>1</v>
      </c>
      <c r="Q52" s="18">
        <v>1</v>
      </c>
      <c r="R52" s="18">
        <v>1</v>
      </c>
      <c r="S52" s="18">
        <v>1</v>
      </c>
      <c r="T52" s="18">
        <v>1</v>
      </c>
      <c r="U52" s="18">
        <v>1</v>
      </c>
    </row>
    <row r="53" spans="4:21" x14ac:dyDescent="0.25">
      <c r="D53" s="9" t="s">
        <v>26</v>
      </c>
      <c r="E53" s="9" t="s">
        <v>349</v>
      </c>
      <c r="F53" s="9" t="s">
        <v>379</v>
      </c>
      <c r="G53" s="9">
        <v>1000</v>
      </c>
      <c r="H53" s="9" t="s">
        <v>81</v>
      </c>
      <c r="I53" s="9" t="s">
        <v>340</v>
      </c>
      <c r="J53" s="9" t="s">
        <v>339</v>
      </c>
      <c r="K53" s="18">
        <v>3</v>
      </c>
      <c r="L53" s="18">
        <v>3</v>
      </c>
      <c r="M53" s="18">
        <v>3</v>
      </c>
      <c r="N53" s="18">
        <v>3</v>
      </c>
      <c r="O53" s="18">
        <v>3</v>
      </c>
      <c r="P53" s="18">
        <v>3</v>
      </c>
      <c r="Q53" s="18">
        <v>3</v>
      </c>
      <c r="R53" s="18">
        <v>3</v>
      </c>
      <c r="S53" s="18">
        <v>3</v>
      </c>
      <c r="T53" s="18">
        <v>3</v>
      </c>
      <c r="U53" s="18">
        <v>3</v>
      </c>
    </row>
    <row r="54" spans="4:21" x14ac:dyDescent="0.25">
      <c r="D54" s="9" t="s">
        <v>26</v>
      </c>
      <c r="E54" s="9" t="s">
        <v>349</v>
      </c>
      <c r="F54" s="9" t="s">
        <v>379</v>
      </c>
      <c r="G54" s="9">
        <v>1000</v>
      </c>
      <c r="H54" s="9" t="s">
        <v>81</v>
      </c>
      <c r="I54" s="9" t="s">
        <v>32</v>
      </c>
      <c r="J54" s="9" t="s">
        <v>57</v>
      </c>
      <c r="K54" s="18">
        <v>2.5000000000000001E-2</v>
      </c>
      <c r="L54" s="18">
        <v>2.5000000000000001E-2</v>
      </c>
      <c r="M54" s="18">
        <v>2.5000000000000001E-2</v>
      </c>
      <c r="N54" s="18">
        <v>2.5000000000000001E-2</v>
      </c>
      <c r="O54" s="18">
        <v>2.5000000000000001E-2</v>
      </c>
      <c r="P54" s="18">
        <v>2.5000000000000001E-2</v>
      </c>
      <c r="Q54" s="18">
        <v>2.5000000000000001E-2</v>
      </c>
      <c r="R54" s="18">
        <v>2.5000000000000001E-2</v>
      </c>
      <c r="S54" s="18">
        <v>2.5000000000000001E-2</v>
      </c>
      <c r="T54" s="18">
        <v>2.5000000000000001E-2</v>
      </c>
      <c r="U54" s="18">
        <v>2.5000000000000001E-2</v>
      </c>
    </row>
    <row r="55" spans="4:21" x14ac:dyDescent="0.25">
      <c r="D55" s="9" t="s">
        <v>26</v>
      </c>
      <c r="E55" s="9" t="s">
        <v>349</v>
      </c>
      <c r="F55" s="9" t="s">
        <v>379</v>
      </c>
      <c r="G55" s="9">
        <v>1000</v>
      </c>
      <c r="H55" s="9" t="s">
        <v>81</v>
      </c>
      <c r="I55" s="9" t="s">
        <v>31</v>
      </c>
      <c r="J55" s="9" t="s">
        <v>57</v>
      </c>
      <c r="K55" s="18">
        <v>3.5000000000000003E-2</v>
      </c>
      <c r="L55" s="18">
        <v>3.5000000000000003E-2</v>
      </c>
      <c r="M55" s="18">
        <v>3.5000000000000003E-2</v>
      </c>
      <c r="N55" s="18">
        <v>3.5000000000000003E-2</v>
      </c>
      <c r="O55" s="18">
        <v>3.5000000000000003E-2</v>
      </c>
      <c r="P55" s="18">
        <v>3.5000000000000003E-2</v>
      </c>
      <c r="Q55" s="18">
        <v>3.5000000000000003E-2</v>
      </c>
      <c r="R55" s="18">
        <v>3.5000000000000003E-2</v>
      </c>
      <c r="S55" s="18">
        <v>3.5000000000000003E-2</v>
      </c>
      <c r="T55" s="18">
        <v>3.5000000000000003E-2</v>
      </c>
      <c r="U55" s="18">
        <v>3.5000000000000003E-2</v>
      </c>
    </row>
    <row r="56" spans="4:21" x14ac:dyDescent="0.25">
      <c r="D56" s="9" t="s">
        <v>26</v>
      </c>
      <c r="E56" s="9" t="s">
        <v>349</v>
      </c>
      <c r="F56" s="9" t="s">
        <v>379</v>
      </c>
      <c r="G56" s="9">
        <v>1000</v>
      </c>
      <c r="H56" s="9" t="s">
        <v>81</v>
      </c>
      <c r="I56" s="9" t="s">
        <v>341</v>
      </c>
      <c r="J56" s="9" t="s">
        <v>132</v>
      </c>
      <c r="K56" s="18">
        <v>2.5</v>
      </c>
      <c r="L56" s="18">
        <v>2.5</v>
      </c>
      <c r="M56" s="18">
        <v>2.5</v>
      </c>
      <c r="N56" s="18">
        <v>2.5</v>
      </c>
      <c r="O56" s="18">
        <v>2.5</v>
      </c>
      <c r="P56" s="18">
        <v>2.5</v>
      </c>
      <c r="Q56" s="18">
        <v>2.5</v>
      </c>
      <c r="R56" s="18">
        <v>2.5</v>
      </c>
      <c r="S56" s="18">
        <v>2.5</v>
      </c>
      <c r="T56" s="18">
        <v>2.5</v>
      </c>
      <c r="U56" s="18">
        <v>2.5</v>
      </c>
    </row>
    <row r="57" spans="4:21" x14ac:dyDescent="0.25">
      <c r="D57" s="9" t="s">
        <v>26</v>
      </c>
      <c r="E57" s="9" t="s">
        <v>349</v>
      </c>
      <c r="F57" s="9" t="s">
        <v>379</v>
      </c>
      <c r="G57" s="9">
        <v>1000</v>
      </c>
      <c r="H57" s="9" t="s">
        <v>81</v>
      </c>
      <c r="I57" s="9" t="s">
        <v>342</v>
      </c>
      <c r="J57" s="9" t="s">
        <v>343</v>
      </c>
      <c r="K57" s="18">
        <v>50</v>
      </c>
      <c r="L57" s="18">
        <v>50</v>
      </c>
      <c r="M57" s="18">
        <v>50</v>
      </c>
      <c r="N57" s="18">
        <v>50</v>
      </c>
      <c r="O57" s="18">
        <v>50</v>
      </c>
      <c r="P57" s="18">
        <v>50</v>
      </c>
      <c r="Q57" s="18">
        <v>50</v>
      </c>
      <c r="R57" s="18">
        <v>50</v>
      </c>
      <c r="S57" s="18">
        <v>50</v>
      </c>
      <c r="T57" s="18">
        <v>50</v>
      </c>
      <c r="U57" s="18">
        <v>50</v>
      </c>
    </row>
    <row r="58" spans="4:21" x14ac:dyDescent="0.25">
      <c r="D58" s="9" t="s">
        <v>26</v>
      </c>
      <c r="E58" s="9" t="s">
        <v>349</v>
      </c>
      <c r="F58" s="9" t="s">
        <v>379</v>
      </c>
      <c r="G58" s="9">
        <v>1000</v>
      </c>
      <c r="H58" s="9" t="s">
        <v>83</v>
      </c>
      <c r="I58" s="9" t="s">
        <v>345</v>
      </c>
      <c r="J58" s="9" t="s">
        <v>57</v>
      </c>
      <c r="K58" s="18">
        <v>0.187</v>
      </c>
      <c r="L58" s="18">
        <v>0.187</v>
      </c>
      <c r="M58" s="18">
        <v>0.187</v>
      </c>
      <c r="N58" s="18">
        <v>0.187</v>
      </c>
      <c r="O58" s="18">
        <v>0.187</v>
      </c>
      <c r="P58" s="18">
        <v>0.187</v>
      </c>
      <c r="Q58" s="18">
        <v>0.187</v>
      </c>
      <c r="R58" s="18">
        <v>0.187</v>
      </c>
      <c r="S58" s="18">
        <v>0.187</v>
      </c>
      <c r="T58" s="18">
        <v>0.187</v>
      </c>
      <c r="U58" s="18">
        <v>0.187</v>
      </c>
    </row>
    <row r="59" spans="4:21" x14ac:dyDescent="0.25">
      <c r="D59" s="9" t="s">
        <v>26</v>
      </c>
      <c r="E59" s="9" t="s">
        <v>349</v>
      </c>
      <c r="F59" s="9" t="s">
        <v>379</v>
      </c>
      <c r="G59" s="9">
        <v>1000</v>
      </c>
      <c r="H59" s="9" t="s">
        <v>83</v>
      </c>
      <c r="I59" s="9" t="s">
        <v>458</v>
      </c>
      <c r="J59" s="9" t="s">
        <v>57</v>
      </c>
      <c r="K59" s="18">
        <v>0.19400000000000001</v>
      </c>
      <c r="L59" s="18">
        <v>0.19400000000000001</v>
      </c>
      <c r="M59" s="18">
        <v>0.19400000000000001</v>
      </c>
      <c r="N59" s="18">
        <v>0.19400000000000001</v>
      </c>
      <c r="O59" s="18">
        <v>0.19400000000000001</v>
      </c>
      <c r="P59" s="18">
        <v>0.19400000000000001</v>
      </c>
      <c r="Q59" s="18">
        <v>0.19400000000000001</v>
      </c>
      <c r="R59" s="18">
        <v>0.19400000000000001</v>
      </c>
      <c r="S59" s="18">
        <v>0.19400000000000001</v>
      </c>
      <c r="T59" s="18">
        <v>0.19400000000000001</v>
      </c>
      <c r="U59" s="18">
        <v>0.19400000000000001</v>
      </c>
    </row>
    <row r="60" spans="4:21" x14ac:dyDescent="0.25">
      <c r="D60" s="9" t="s">
        <v>26</v>
      </c>
      <c r="E60" s="9" t="s">
        <v>349</v>
      </c>
      <c r="F60" s="9" t="s">
        <v>379</v>
      </c>
      <c r="G60" s="9">
        <v>1000</v>
      </c>
      <c r="H60" s="9" t="s">
        <v>83</v>
      </c>
      <c r="I60" s="9" t="s">
        <v>29</v>
      </c>
      <c r="J60" s="9" t="s">
        <v>57</v>
      </c>
      <c r="K60" s="18">
        <v>0.30599999999999999</v>
      </c>
      <c r="L60" s="18">
        <v>0</v>
      </c>
      <c r="M60" s="18">
        <v>0</v>
      </c>
      <c r="N60" s="18">
        <v>0</v>
      </c>
      <c r="O60" s="18">
        <v>0</v>
      </c>
      <c r="P60" s="18">
        <v>0</v>
      </c>
      <c r="Q60" s="18">
        <v>0</v>
      </c>
      <c r="R60" s="18">
        <v>0</v>
      </c>
      <c r="S60" s="18">
        <v>0</v>
      </c>
      <c r="T60" s="18">
        <v>0</v>
      </c>
      <c r="U60" s="18">
        <v>0</v>
      </c>
    </row>
    <row r="61" spans="4:21" x14ac:dyDescent="0.25">
      <c r="D61" s="9" t="s">
        <v>26</v>
      </c>
      <c r="E61" s="9" t="s">
        <v>349</v>
      </c>
      <c r="F61" s="9" t="s">
        <v>379</v>
      </c>
      <c r="G61" s="9">
        <v>1000</v>
      </c>
      <c r="H61" s="9" t="s">
        <v>83</v>
      </c>
      <c r="I61" s="9" t="s">
        <v>16</v>
      </c>
      <c r="J61" s="9" t="s">
        <v>57</v>
      </c>
      <c r="K61" s="18">
        <v>1.0137E-2</v>
      </c>
      <c r="L61" s="18">
        <v>1.0137E-2</v>
      </c>
      <c r="M61" s="18">
        <v>1.0137E-2</v>
      </c>
      <c r="N61" s="18">
        <v>1.0137E-2</v>
      </c>
      <c r="O61" s="18">
        <v>1.0137E-2</v>
      </c>
      <c r="P61" s="18">
        <v>1.0137E-2</v>
      </c>
      <c r="Q61" s="18">
        <v>1.0137E-2</v>
      </c>
      <c r="R61" s="18">
        <v>1.0137E-2</v>
      </c>
      <c r="S61" s="18">
        <v>1.0137E-2</v>
      </c>
      <c r="T61" s="18">
        <v>1.0137E-2</v>
      </c>
      <c r="U61" s="18">
        <v>1.0137E-2</v>
      </c>
    </row>
    <row r="62" spans="4:21" x14ac:dyDescent="0.25">
      <c r="D62" s="9" t="s">
        <v>26</v>
      </c>
      <c r="E62" s="9" t="s">
        <v>349</v>
      </c>
      <c r="F62" s="9" t="s">
        <v>379</v>
      </c>
      <c r="G62" s="9">
        <v>1000</v>
      </c>
      <c r="H62" s="9" t="s">
        <v>83</v>
      </c>
      <c r="I62" s="9" t="s">
        <v>13</v>
      </c>
      <c r="J62" s="9" t="s">
        <v>61</v>
      </c>
      <c r="K62" s="18">
        <v>0.2</v>
      </c>
      <c r="L62" s="18">
        <v>0.2</v>
      </c>
      <c r="M62" s="18">
        <v>0.2</v>
      </c>
      <c r="N62" s="18">
        <v>0.2</v>
      </c>
      <c r="O62" s="18">
        <v>0.2</v>
      </c>
      <c r="P62" s="18">
        <v>0.2</v>
      </c>
      <c r="Q62" s="18">
        <v>0.2</v>
      </c>
      <c r="R62" s="18">
        <v>0.2</v>
      </c>
      <c r="S62" s="18">
        <v>0.2</v>
      </c>
      <c r="T62" s="18">
        <v>0.2</v>
      </c>
      <c r="U62" s="18">
        <v>0.2</v>
      </c>
    </row>
    <row r="63" spans="4:21" x14ac:dyDescent="0.25">
      <c r="D63" s="9" t="s">
        <v>26</v>
      </c>
      <c r="E63" s="9" t="s">
        <v>349</v>
      </c>
      <c r="F63" s="9" t="s">
        <v>379</v>
      </c>
      <c r="G63" s="9">
        <v>1000</v>
      </c>
      <c r="H63" s="9" t="s">
        <v>83</v>
      </c>
      <c r="I63" s="9" t="s">
        <v>15</v>
      </c>
      <c r="J63" s="9" t="s">
        <v>65</v>
      </c>
      <c r="K63" s="18">
        <v>40</v>
      </c>
      <c r="L63" s="18">
        <v>40</v>
      </c>
      <c r="M63" s="18">
        <v>40</v>
      </c>
      <c r="N63" s="18">
        <v>40</v>
      </c>
      <c r="O63" s="18">
        <v>40</v>
      </c>
      <c r="P63" s="18">
        <v>40</v>
      </c>
      <c r="Q63" s="18">
        <v>40</v>
      </c>
      <c r="R63" s="18">
        <v>40</v>
      </c>
      <c r="S63" s="18">
        <v>40</v>
      </c>
      <c r="T63" s="18">
        <v>40</v>
      </c>
      <c r="U63" s="18">
        <v>40</v>
      </c>
    </row>
    <row r="64" spans="4:21" x14ac:dyDescent="0.25">
      <c r="D64" s="9" t="s">
        <v>26</v>
      </c>
      <c r="E64" s="9" t="s">
        <v>349</v>
      </c>
      <c r="F64" s="9" t="s">
        <v>379</v>
      </c>
      <c r="G64" s="9">
        <v>1000</v>
      </c>
      <c r="H64" s="9" t="s">
        <v>83</v>
      </c>
      <c r="I64" s="9" t="s">
        <v>338</v>
      </c>
      <c r="J64" s="9" t="s">
        <v>339</v>
      </c>
      <c r="K64" s="18">
        <v>1</v>
      </c>
      <c r="L64" s="18">
        <v>1</v>
      </c>
      <c r="M64" s="18">
        <v>1</v>
      </c>
      <c r="N64" s="18">
        <v>1</v>
      </c>
      <c r="O64" s="18">
        <v>1</v>
      </c>
      <c r="P64" s="18">
        <v>1</v>
      </c>
      <c r="Q64" s="18">
        <v>1</v>
      </c>
      <c r="R64" s="18">
        <v>1</v>
      </c>
      <c r="S64" s="18">
        <v>1</v>
      </c>
      <c r="T64" s="18">
        <v>1</v>
      </c>
      <c r="U64" s="18">
        <v>1</v>
      </c>
    </row>
    <row r="65" spans="4:21" x14ac:dyDescent="0.25">
      <c r="D65" s="9" t="s">
        <v>26</v>
      </c>
      <c r="E65" s="9" t="s">
        <v>349</v>
      </c>
      <c r="F65" s="9" t="s">
        <v>379</v>
      </c>
      <c r="G65" s="9">
        <v>1000</v>
      </c>
      <c r="H65" s="9" t="s">
        <v>83</v>
      </c>
      <c r="I65" s="9" t="s">
        <v>340</v>
      </c>
      <c r="J65" s="9" t="s">
        <v>339</v>
      </c>
      <c r="K65" s="18">
        <v>3</v>
      </c>
      <c r="L65" s="18">
        <v>3</v>
      </c>
      <c r="M65" s="18">
        <v>3</v>
      </c>
      <c r="N65" s="18">
        <v>3</v>
      </c>
      <c r="O65" s="18">
        <v>3</v>
      </c>
      <c r="P65" s="18">
        <v>3</v>
      </c>
      <c r="Q65" s="18">
        <v>3</v>
      </c>
      <c r="R65" s="18">
        <v>3</v>
      </c>
      <c r="S65" s="18">
        <v>3</v>
      </c>
      <c r="T65" s="18">
        <v>3</v>
      </c>
      <c r="U65" s="18">
        <v>3</v>
      </c>
    </row>
    <row r="66" spans="4:21" x14ac:dyDescent="0.25">
      <c r="D66" s="9" t="s">
        <v>26</v>
      </c>
      <c r="E66" s="9" t="s">
        <v>349</v>
      </c>
      <c r="F66" s="9" t="s">
        <v>379</v>
      </c>
      <c r="G66" s="9">
        <v>1000</v>
      </c>
      <c r="H66" s="9" t="s">
        <v>83</v>
      </c>
      <c r="I66" s="9" t="s">
        <v>32</v>
      </c>
      <c r="J66" s="9" t="s">
        <v>57</v>
      </c>
      <c r="K66" s="18">
        <v>2.5000000000000001E-2</v>
      </c>
      <c r="L66" s="18">
        <v>2.5000000000000001E-2</v>
      </c>
      <c r="M66" s="18">
        <v>2.5000000000000001E-2</v>
      </c>
      <c r="N66" s="18">
        <v>2.5000000000000001E-2</v>
      </c>
      <c r="O66" s="18">
        <v>2.5000000000000001E-2</v>
      </c>
      <c r="P66" s="18">
        <v>2.5000000000000001E-2</v>
      </c>
      <c r="Q66" s="18">
        <v>2.5000000000000001E-2</v>
      </c>
      <c r="R66" s="18">
        <v>2.5000000000000001E-2</v>
      </c>
      <c r="S66" s="18">
        <v>2.5000000000000001E-2</v>
      </c>
      <c r="T66" s="18">
        <v>2.5000000000000001E-2</v>
      </c>
      <c r="U66" s="18">
        <v>2.5000000000000001E-2</v>
      </c>
    </row>
    <row r="67" spans="4:21" x14ac:dyDescent="0.25">
      <c r="D67" s="9" t="s">
        <v>26</v>
      </c>
      <c r="E67" s="9" t="s">
        <v>349</v>
      </c>
      <c r="F67" s="9" t="s">
        <v>379</v>
      </c>
      <c r="G67" s="9">
        <v>1000</v>
      </c>
      <c r="H67" s="9" t="s">
        <v>83</v>
      </c>
      <c r="I67" s="9" t="s">
        <v>31</v>
      </c>
      <c r="J67" s="9" t="s">
        <v>57</v>
      </c>
      <c r="K67" s="18">
        <v>3.5000000000000003E-2</v>
      </c>
      <c r="L67" s="18">
        <v>3.5000000000000003E-2</v>
      </c>
      <c r="M67" s="18">
        <v>3.5000000000000003E-2</v>
      </c>
      <c r="N67" s="18">
        <v>3.5000000000000003E-2</v>
      </c>
      <c r="O67" s="18">
        <v>3.5000000000000003E-2</v>
      </c>
      <c r="P67" s="18">
        <v>3.5000000000000003E-2</v>
      </c>
      <c r="Q67" s="18">
        <v>3.5000000000000003E-2</v>
      </c>
      <c r="R67" s="18">
        <v>3.5000000000000003E-2</v>
      </c>
      <c r="S67" s="18">
        <v>3.5000000000000003E-2</v>
      </c>
      <c r="T67" s="18">
        <v>3.5000000000000003E-2</v>
      </c>
      <c r="U67" s="18">
        <v>3.5000000000000003E-2</v>
      </c>
    </row>
    <row r="68" spans="4:21" x14ac:dyDescent="0.25">
      <c r="D68" s="9" t="s">
        <v>26</v>
      </c>
      <c r="E68" s="9" t="s">
        <v>349</v>
      </c>
      <c r="F68" s="9" t="s">
        <v>379</v>
      </c>
      <c r="G68" s="9">
        <v>1000</v>
      </c>
      <c r="H68" s="9" t="s">
        <v>83</v>
      </c>
      <c r="I68" s="9" t="s">
        <v>330</v>
      </c>
      <c r="J68" s="9" t="s">
        <v>57</v>
      </c>
      <c r="K68" s="18">
        <v>0.255</v>
      </c>
      <c r="L68" s="18">
        <v>0.255</v>
      </c>
      <c r="M68" s="18">
        <v>0.255</v>
      </c>
      <c r="N68" s="18">
        <v>0.255</v>
      </c>
      <c r="O68" s="18">
        <v>0.255</v>
      </c>
      <c r="P68" s="18">
        <v>0.255</v>
      </c>
      <c r="Q68" s="18">
        <v>0.255</v>
      </c>
      <c r="R68" s="18">
        <v>0.255</v>
      </c>
      <c r="S68" s="18">
        <v>0.255</v>
      </c>
      <c r="T68" s="18">
        <v>0.255</v>
      </c>
      <c r="U68" s="18">
        <v>0.255</v>
      </c>
    </row>
    <row r="69" spans="4:21" x14ac:dyDescent="0.25">
      <c r="D69" s="9" t="s">
        <v>26</v>
      </c>
      <c r="E69" s="9" t="s">
        <v>349</v>
      </c>
      <c r="F69" s="9" t="s">
        <v>379</v>
      </c>
      <c r="G69" s="9">
        <v>1000</v>
      </c>
      <c r="H69" s="9" t="s">
        <v>83</v>
      </c>
      <c r="I69" s="9" t="s">
        <v>341</v>
      </c>
      <c r="J69" s="9" t="s">
        <v>132</v>
      </c>
      <c r="K69" s="18">
        <v>2.5</v>
      </c>
      <c r="L69" s="18">
        <v>2.5</v>
      </c>
      <c r="M69" s="18">
        <v>2.5</v>
      </c>
      <c r="N69" s="18">
        <v>2.5</v>
      </c>
      <c r="O69" s="18">
        <v>2.5</v>
      </c>
      <c r="P69" s="18">
        <v>2.5</v>
      </c>
      <c r="Q69" s="18">
        <v>2.5</v>
      </c>
      <c r="R69" s="18">
        <v>2.5</v>
      </c>
      <c r="S69" s="18">
        <v>2.5</v>
      </c>
      <c r="T69" s="18">
        <v>2.5</v>
      </c>
      <c r="U69" s="18">
        <v>2.5</v>
      </c>
    </row>
    <row r="70" spans="4:21" x14ac:dyDescent="0.25">
      <c r="D70" s="9" t="s">
        <v>26</v>
      </c>
      <c r="E70" s="9" t="s">
        <v>349</v>
      </c>
      <c r="F70" s="9" t="s">
        <v>379</v>
      </c>
      <c r="G70" s="9">
        <v>1000</v>
      </c>
      <c r="H70" s="9" t="s">
        <v>83</v>
      </c>
      <c r="I70" s="9" t="s">
        <v>342</v>
      </c>
      <c r="J70" s="9" t="s">
        <v>343</v>
      </c>
      <c r="K70" s="18">
        <v>50</v>
      </c>
      <c r="L70" s="18">
        <v>50</v>
      </c>
      <c r="M70" s="18">
        <v>50</v>
      </c>
      <c r="N70" s="18">
        <v>50</v>
      </c>
      <c r="O70" s="18">
        <v>50</v>
      </c>
      <c r="P70" s="18">
        <v>50</v>
      </c>
      <c r="Q70" s="18">
        <v>50</v>
      </c>
      <c r="R70" s="18">
        <v>50</v>
      </c>
      <c r="S70" s="18">
        <v>50</v>
      </c>
      <c r="T70" s="18">
        <v>50</v>
      </c>
      <c r="U70" s="18">
        <v>50</v>
      </c>
    </row>
    <row r="71" spans="4:21" x14ac:dyDescent="0.25">
      <c r="D71" s="9" t="s">
        <v>26</v>
      </c>
      <c r="E71" s="9" t="s">
        <v>349</v>
      </c>
      <c r="F71" s="9" t="s">
        <v>379</v>
      </c>
      <c r="G71" s="9">
        <v>1000</v>
      </c>
      <c r="H71" s="9" t="s">
        <v>242</v>
      </c>
      <c r="I71" s="9" t="s">
        <v>345</v>
      </c>
      <c r="J71" s="9" t="s">
        <v>57</v>
      </c>
      <c r="K71" s="18">
        <v>0.18099999999999999</v>
      </c>
      <c r="L71" s="18">
        <v>0.18099999999999999</v>
      </c>
      <c r="M71" s="18">
        <v>0.18099999999999999</v>
      </c>
      <c r="N71" s="18">
        <v>0.18099999999999999</v>
      </c>
      <c r="O71" s="18">
        <v>0.18099999999999999</v>
      </c>
      <c r="P71" s="18">
        <v>0.18099999999999999</v>
      </c>
      <c r="Q71" s="18">
        <v>0.18099999999999999</v>
      </c>
      <c r="R71" s="18">
        <v>0.18099999999999999</v>
      </c>
      <c r="S71" s="18">
        <v>0.18099999999999999</v>
      </c>
      <c r="T71" s="18">
        <v>0.18099999999999999</v>
      </c>
      <c r="U71" s="18">
        <v>0.18099999999999999</v>
      </c>
    </row>
    <row r="72" spans="4:21" x14ac:dyDescent="0.25">
      <c r="D72" s="9" t="s">
        <v>26</v>
      </c>
      <c r="E72" s="9" t="s">
        <v>349</v>
      </c>
      <c r="F72" s="9" t="s">
        <v>379</v>
      </c>
      <c r="G72" s="9">
        <v>1000</v>
      </c>
      <c r="H72" s="9" t="s">
        <v>242</v>
      </c>
      <c r="I72" s="9" t="s">
        <v>458</v>
      </c>
      <c r="J72" s="9" t="s">
        <v>57</v>
      </c>
      <c r="K72" s="18">
        <v>0.46899999999999997</v>
      </c>
      <c r="L72" s="18">
        <v>0.46899999999999997</v>
      </c>
      <c r="M72" s="18">
        <v>0.46899999999999997</v>
      </c>
      <c r="N72" s="18">
        <v>0.46899999999999997</v>
      </c>
      <c r="O72" s="18">
        <v>0.46899999999999997</v>
      </c>
      <c r="P72" s="18">
        <v>0.46899999999999997</v>
      </c>
      <c r="Q72" s="18">
        <v>0.46899999999999997</v>
      </c>
      <c r="R72" s="18">
        <v>0.46899999999999997</v>
      </c>
      <c r="S72" s="18">
        <v>0.46899999999999997</v>
      </c>
      <c r="T72" s="18">
        <v>0.46899999999999997</v>
      </c>
      <c r="U72" s="18">
        <v>0.46899999999999997</v>
      </c>
    </row>
    <row r="73" spans="4:21" x14ac:dyDescent="0.25">
      <c r="D73" s="9" t="s">
        <v>26</v>
      </c>
      <c r="E73" s="9" t="s">
        <v>349</v>
      </c>
      <c r="F73" s="9" t="s">
        <v>379</v>
      </c>
      <c r="G73" s="9">
        <v>1000</v>
      </c>
      <c r="H73" s="9" t="s">
        <v>242</v>
      </c>
      <c r="I73" s="9" t="s">
        <v>29</v>
      </c>
      <c r="J73" s="9" t="s">
        <v>57</v>
      </c>
      <c r="K73" s="18">
        <v>0.28999999999999998</v>
      </c>
      <c r="L73" s="18">
        <v>0</v>
      </c>
      <c r="M73" s="18">
        <v>0</v>
      </c>
      <c r="N73" s="18">
        <v>0</v>
      </c>
      <c r="O73" s="18">
        <v>0</v>
      </c>
      <c r="P73" s="18">
        <v>0</v>
      </c>
      <c r="Q73" s="18">
        <v>0</v>
      </c>
      <c r="R73" s="18">
        <v>0</v>
      </c>
      <c r="S73" s="18">
        <v>0</v>
      </c>
      <c r="T73" s="18">
        <v>0</v>
      </c>
      <c r="U73" s="18">
        <v>0</v>
      </c>
    </row>
    <row r="74" spans="4:21" x14ac:dyDescent="0.25">
      <c r="D74" s="9" t="s">
        <v>26</v>
      </c>
      <c r="E74" s="9" t="s">
        <v>349</v>
      </c>
      <c r="F74" s="9" t="s">
        <v>379</v>
      </c>
      <c r="G74" s="9">
        <v>1000</v>
      </c>
      <c r="H74" s="9" t="s">
        <v>242</v>
      </c>
      <c r="I74" s="9" t="s">
        <v>16</v>
      </c>
      <c r="J74" s="9" t="s">
        <v>57</v>
      </c>
      <c r="K74" s="18">
        <v>4.5269999999999998E-3</v>
      </c>
      <c r="L74" s="18">
        <v>4.5269999999999998E-3</v>
      </c>
      <c r="M74" s="18">
        <v>4.5269999999999998E-3</v>
      </c>
      <c r="N74" s="18">
        <v>4.5269999999999998E-3</v>
      </c>
      <c r="O74" s="18">
        <v>4.5269999999999998E-3</v>
      </c>
      <c r="P74" s="18">
        <v>4.5269999999999998E-3</v>
      </c>
      <c r="Q74" s="18">
        <v>4.5269999999999998E-3</v>
      </c>
      <c r="R74" s="18">
        <v>4.5269999999999998E-3</v>
      </c>
      <c r="S74" s="18">
        <v>4.5269999999999998E-3</v>
      </c>
      <c r="T74" s="18">
        <v>4.5269999999999998E-3</v>
      </c>
      <c r="U74" s="18">
        <v>4.5269999999999998E-3</v>
      </c>
    </row>
    <row r="75" spans="4:21" x14ac:dyDescent="0.25">
      <c r="D75" s="9" t="s">
        <v>26</v>
      </c>
      <c r="E75" s="9" t="s">
        <v>349</v>
      </c>
      <c r="F75" s="9" t="s">
        <v>379</v>
      </c>
      <c r="G75" s="9">
        <v>1000</v>
      </c>
      <c r="H75" s="9" t="s">
        <v>242</v>
      </c>
      <c r="I75" s="9" t="s">
        <v>13</v>
      </c>
      <c r="J75" s="9" t="s">
        <v>61</v>
      </c>
      <c r="K75" s="18">
        <v>0.434</v>
      </c>
      <c r="L75" s="18">
        <v>0.434</v>
      </c>
      <c r="M75" s="18">
        <v>0.434</v>
      </c>
      <c r="N75" s="18">
        <v>0.434</v>
      </c>
      <c r="O75" s="18">
        <v>0.434</v>
      </c>
      <c r="P75" s="18">
        <v>0.434</v>
      </c>
      <c r="Q75" s="18">
        <v>0.434</v>
      </c>
      <c r="R75" s="18">
        <v>0.434</v>
      </c>
      <c r="S75" s="18">
        <v>0.434</v>
      </c>
      <c r="T75" s="18">
        <v>0.434</v>
      </c>
      <c r="U75" s="18">
        <v>0.434</v>
      </c>
    </row>
    <row r="76" spans="4:21" x14ac:dyDescent="0.25">
      <c r="D76" s="9" t="s">
        <v>26</v>
      </c>
      <c r="E76" s="9" t="s">
        <v>349</v>
      </c>
      <c r="F76" s="9" t="s">
        <v>379</v>
      </c>
      <c r="G76" s="9">
        <v>1000</v>
      </c>
      <c r="H76" s="9" t="s">
        <v>242</v>
      </c>
      <c r="I76" s="9" t="s">
        <v>15</v>
      </c>
      <c r="J76" s="9" t="s">
        <v>65</v>
      </c>
      <c r="K76" s="18">
        <v>40</v>
      </c>
      <c r="L76" s="18">
        <v>40</v>
      </c>
      <c r="M76" s="18">
        <v>40</v>
      </c>
      <c r="N76" s="18">
        <v>40</v>
      </c>
      <c r="O76" s="18">
        <v>40</v>
      </c>
      <c r="P76" s="18">
        <v>40</v>
      </c>
      <c r="Q76" s="18">
        <v>40</v>
      </c>
      <c r="R76" s="18">
        <v>40</v>
      </c>
      <c r="S76" s="18">
        <v>40</v>
      </c>
      <c r="T76" s="18">
        <v>40</v>
      </c>
      <c r="U76" s="18">
        <v>40</v>
      </c>
    </row>
    <row r="77" spans="4:21" x14ac:dyDescent="0.25">
      <c r="D77" s="9" t="s">
        <v>26</v>
      </c>
      <c r="E77" s="9" t="s">
        <v>349</v>
      </c>
      <c r="F77" s="9" t="s">
        <v>379</v>
      </c>
      <c r="G77" s="9">
        <v>1000</v>
      </c>
      <c r="H77" s="9" t="s">
        <v>242</v>
      </c>
      <c r="I77" s="9" t="s">
        <v>338</v>
      </c>
      <c r="J77" s="9" t="s">
        <v>339</v>
      </c>
      <c r="K77" s="18">
        <v>1</v>
      </c>
      <c r="L77" s="18">
        <v>1</v>
      </c>
      <c r="M77" s="18">
        <v>1</v>
      </c>
      <c r="N77" s="18">
        <v>1</v>
      </c>
      <c r="O77" s="18">
        <v>1</v>
      </c>
      <c r="P77" s="18">
        <v>1</v>
      </c>
      <c r="Q77" s="18">
        <v>1</v>
      </c>
      <c r="R77" s="18">
        <v>1</v>
      </c>
      <c r="S77" s="18">
        <v>1</v>
      </c>
      <c r="T77" s="18">
        <v>1</v>
      </c>
      <c r="U77" s="18">
        <v>1</v>
      </c>
    </row>
    <row r="78" spans="4:21" x14ac:dyDescent="0.25">
      <c r="D78" s="9" t="s">
        <v>26</v>
      </c>
      <c r="E78" s="9" t="s">
        <v>349</v>
      </c>
      <c r="F78" s="9" t="s">
        <v>379</v>
      </c>
      <c r="G78" s="9">
        <v>1000</v>
      </c>
      <c r="H78" s="9" t="s">
        <v>242</v>
      </c>
      <c r="I78" s="9" t="s">
        <v>340</v>
      </c>
      <c r="J78" s="9" t="s">
        <v>339</v>
      </c>
      <c r="K78" s="18">
        <v>3</v>
      </c>
      <c r="L78" s="18">
        <v>3</v>
      </c>
      <c r="M78" s="18">
        <v>3</v>
      </c>
      <c r="N78" s="18">
        <v>3</v>
      </c>
      <c r="O78" s="18">
        <v>3</v>
      </c>
      <c r="P78" s="18">
        <v>3</v>
      </c>
      <c r="Q78" s="18">
        <v>3</v>
      </c>
      <c r="R78" s="18">
        <v>3</v>
      </c>
      <c r="S78" s="18">
        <v>3</v>
      </c>
      <c r="T78" s="18">
        <v>3</v>
      </c>
      <c r="U78" s="18">
        <v>3</v>
      </c>
    </row>
    <row r="79" spans="4:21" x14ac:dyDescent="0.25">
      <c r="D79" s="9" t="s">
        <v>26</v>
      </c>
      <c r="E79" s="9" t="s">
        <v>349</v>
      </c>
      <c r="F79" s="9" t="s">
        <v>379</v>
      </c>
      <c r="G79" s="9">
        <v>1000</v>
      </c>
      <c r="H79" s="9" t="s">
        <v>242</v>
      </c>
      <c r="I79" s="9" t="s">
        <v>32</v>
      </c>
      <c r="J79" s="9" t="s">
        <v>57</v>
      </c>
      <c r="K79" s="18">
        <v>2.5000000000000001E-2</v>
      </c>
      <c r="L79" s="18">
        <v>2.5000000000000001E-2</v>
      </c>
      <c r="M79" s="18">
        <v>2.5000000000000001E-2</v>
      </c>
      <c r="N79" s="18">
        <v>2.5000000000000001E-2</v>
      </c>
      <c r="O79" s="18">
        <v>2.5000000000000001E-2</v>
      </c>
      <c r="P79" s="18">
        <v>2.5000000000000001E-2</v>
      </c>
      <c r="Q79" s="18">
        <v>2.5000000000000001E-2</v>
      </c>
      <c r="R79" s="18">
        <v>2.5000000000000001E-2</v>
      </c>
      <c r="S79" s="18">
        <v>2.5000000000000001E-2</v>
      </c>
      <c r="T79" s="18">
        <v>2.5000000000000001E-2</v>
      </c>
      <c r="U79" s="18">
        <v>2.5000000000000001E-2</v>
      </c>
    </row>
    <row r="80" spans="4:21" x14ac:dyDescent="0.25">
      <c r="D80" s="9" t="s">
        <v>26</v>
      </c>
      <c r="E80" s="9" t="s">
        <v>349</v>
      </c>
      <c r="F80" s="9" t="s">
        <v>379</v>
      </c>
      <c r="G80" s="9">
        <v>1000</v>
      </c>
      <c r="H80" s="9" t="s">
        <v>242</v>
      </c>
      <c r="I80" s="9" t="s">
        <v>31</v>
      </c>
      <c r="J80" s="9" t="s">
        <v>57</v>
      </c>
      <c r="K80" s="18">
        <v>3.5000000000000003E-2</v>
      </c>
      <c r="L80" s="18">
        <v>3.5000000000000003E-2</v>
      </c>
      <c r="M80" s="18">
        <v>3.5000000000000003E-2</v>
      </c>
      <c r="N80" s="18">
        <v>3.5000000000000003E-2</v>
      </c>
      <c r="O80" s="18">
        <v>3.5000000000000003E-2</v>
      </c>
      <c r="P80" s="18">
        <v>3.5000000000000003E-2</v>
      </c>
      <c r="Q80" s="18">
        <v>3.5000000000000003E-2</v>
      </c>
      <c r="R80" s="18">
        <v>3.5000000000000003E-2</v>
      </c>
      <c r="S80" s="18">
        <v>3.5000000000000003E-2</v>
      </c>
      <c r="T80" s="18">
        <v>3.5000000000000003E-2</v>
      </c>
      <c r="U80" s="18">
        <v>3.5000000000000003E-2</v>
      </c>
    </row>
    <row r="81" spans="4:21" x14ac:dyDescent="0.25">
      <c r="D81" s="9" t="s">
        <v>26</v>
      </c>
      <c r="E81" s="9" t="s">
        <v>349</v>
      </c>
      <c r="F81" s="9" t="s">
        <v>379</v>
      </c>
      <c r="G81" s="9">
        <v>1000</v>
      </c>
      <c r="H81" s="9" t="s">
        <v>242</v>
      </c>
      <c r="I81" s="9" t="s">
        <v>341</v>
      </c>
      <c r="J81" s="9" t="s">
        <v>132</v>
      </c>
      <c r="K81" s="18">
        <v>2.5</v>
      </c>
      <c r="L81" s="18">
        <v>2.5</v>
      </c>
      <c r="M81" s="18">
        <v>2.5</v>
      </c>
      <c r="N81" s="18">
        <v>2.5</v>
      </c>
      <c r="O81" s="18">
        <v>2.5</v>
      </c>
      <c r="P81" s="18">
        <v>2.5</v>
      </c>
      <c r="Q81" s="18">
        <v>2.5</v>
      </c>
      <c r="R81" s="18">
        <v>2.5</v>
      </c>
      <c r="S81" s="18">
        <v>2.5</v>
      </c>
      <c r="T81" s="18">
        <v>2.5</v>
      </c>
      <c r="U81" s="18">
        <v>2.5</v>
      </c>
    </row>
    <row r="82" spans="4:21" x14ac:dyDescent="0.25">
      <c r="D82" s="9" t="s">
        <v>26</v>
      </c>
      <c r="E82" s="9" t="s">
        <v>349</v>
      </c>
      <c r="F82" s="9" t="s">
        <v>379</v>
      </c>
      <c r="G82" s="9">
        <v>1000</v>
      </c>
      <c r="H82" s="9" t="s">
        <v>242</v>
      </c>
      <c r="I82" s="9" t="s">
        <v>342</v>
      </c>
      <c r="J82" s="9" t="s">
        <v>343</v>
      </c>
      <c r="K82" s="18">
        <v>50</v>
      </c>
      <c r="L82" s="18">
        <v>50</v>
      </c>
      <c r="M82" s="18">
        <v>50</v>
      </c>
      <c r="N82" s="18">
        <v>50</v>
      </c>
      <c r="O82" s="18">
        <v>50</v>
      </c>
      <c r="P82" s="18">
        <v>50</v>
      </c>
      <c r="Q82" s="18">
        <v>50</v>
      </c>
      <c r="R82" s="18">
        <v>50</v>
      </c>
      <c r="S82" s="18">
        <v>50</v>
      </c>
      <c r="T82" s="18">
        <v>50</v>
      </c>
      <c r="U82" s="18">
        <v>50</v>
      </c>
    </row>
    <row r="83" spans="4:21" x14ac:dyDescent="0.25">
      <c r="D83" s="9" t="s">
        <v>26</v>
      </c>
      <c r="E83" s="9" t="s">
        <v>349</v>
      </c>
      <c r="F83" s="9" t="s">
        <v>379</v>
      </c>
      <c r="G83" s="9">
        <v>1000</v>
      </c>
      <c r="H83" s="9" t="s">
        <v>243</v>
      </c>
      <c r="I83" s="9" t="s">
        <v>345</v>
      </c>
      <c r="J83" s="9" t="s">
        <v>57</v>
      </c>
      <c r="K83" s="18">
        <v>0.24</v>
      </c>
      <c r="L83" s="18">
        <v>0.24</v>
      </c>
      <c r="M83" s="18">
        <v>0.24</v>
      </c>
      <c r="N83" s="18">
        <v>0.24</v>
      </c>
      <c r="O83" s="18">
        <v>0.24</v>
      </c>
      <c r="P83" s="18">
        <v>0.24</v>
      </c>
      <c r="Q83" s="18">
        <v>0.24</v>
      </c>
      <c r="R83" s="18">
        <v>0.24</v>
      </c>
      <c r="S83" s="18">
        <v>0.24</v>
      </c>
      <c r="T83" s="18">
        <v>0.24</v>
      </c>
      <c r="U83" s="18">
        <v>0.24</v>
      </c>
    </row>
    <row r="84" spans="4:21" x14ac:dyDescent="0.25">
      <c r="D84" s="9" t="s">
        <v>26</v>
      </c>
      <c r="E84" s="9" t="s">
        <v>349</v>
      </c>
      <c r="F84" s="9" t="s">
        <v>379</v>
      </c>
      <c r="G84" s="9">
        <v>1000</v>
      </c>
      <c r="H84" s="9" t="s">
        <v>243</v>
      </c>
      <c r="I84" s="9" t="s">
        <v>458</v>
      </c>
      <c r="J84" s="9" t="s">
        <v>57</v>
      </c>
      <c r="K84" s="18">
        <v>0.39100000000000001</v>
      </c>
      <c r="L84" s="18">
        <v>0.39100000000000001</v>
      </c>
      <c r="M84" s="18">
        <v>0.39100000000000001</v>
      </c>
      <c r="N84" s="18">
        <v>0.39100000000000001</v>
      </c>
      <c r="O84" s="18">
        <v>0.39100000000000001</v>
      </c>
      <c r="P84" s="18">
        <v>0.39100000000000001</v>
      </c>
      <c r="Q84" s="18">
        <v>0.39100000000000001</v>
      </c>
      <c r="R84" s="18">
        <v>0.39100000000000001</v>
      </c>
      <c r="S84" s="18">
        <v>0.39100000000000001</v>
      </c>
      <c r="T84" s="18">
        <v>0.39100000000000001</v>
      </c>
      <c r="U84" s="18">
        <v>0.39100000000000001</v>
      </c>
    </row>
    <row r="85" spans="4:21" x14ac:dyDescent="0.25">
      <c r="D85" s="9" t="s">
        <v>26</v>
      </c>
      <c r="E85" s="9" t="s">
        <v>349</v>
      </c>
      <c r="F85" s="9" t="s">
        <v>379</v>
      </c>
      <c r="G85" s="9">
        <v>1000</v>
      </c>
      <c r="H85" s="9" t="s">
        <v>243</v>
      </c>
      <c r="I85" s="9" t="s">
        <v>29</v>
      </c>
      <c r="J85" s="9" t="s">
        <v>57</v>
      </c>
      <c r="K85" s="18">
        <v>0.217</v>
      </c>
      <c r="L85" s="18">
        <v>0</v>
      </c>
      <c r="M85" s="18">
        <v>0</v>
      </c>
      <c r="N85" s="18">
        <v>0</v>
      </c>
      <c r="O85" s="18">
        <v>0</v>
      </c>
      <c r="P85" s="18">
        <v>0</v>
      </c>
      <c r="Q85" s="18">
        <v>0</v>
      </c>
      <c r="R85" s="18">
        <v>0</v>
      </c>
      <c r="S85" s="18">
        <v>0</v>
      </c>
      <c r="T85" s="18">
        <v>0</v>
      </c>
      <c r="U85" s="18">
        <v>0</v>
      </c>
    </row>
    <row r="86" spans="4:21" x14ac:dyDescent="0.25">
      <c r="D86" s="9" t="s">
        <v>26</v>
      </c>
      <c r="E86" s="9" t="s">
        <v>349</v>
      </c>
      <c r="F86" s="9" t="s">
        <v>379</v>
      </c>
      <c r="G86" s="9">
        <v>1000</v>
      </c>
      <c r="H86" s="9" t="s">
        <v>243</v>
      </c>
      <c r="I86" s="9" t="s">
        <v>16</v>
      </c>
      <c r="J86" s="9" t="s">
        <v>57</v>
      </c>
      <c r="K86" s="18">
        <v>8.0000000000000002E-3</v>
      </c>
      <c r="L86" s="18">
        <v>8.0000000000000002E-3</v>
      </c>
      <c r="M86" s="18">
        <v>8.0000000000000002E-3</v>
      </c>
      <c r="N86" s="18">
        <v>8.0000000000000002E-3</v>
      </c>
      <c r="O86" s="18">
        <v>8.0000000000000002E-3</v>
      </c>
      <c r="P86" s="18">
        <v>8.0000000000000002E-3</v>
      </c>
      <c r="Q86" s="18">
        <v>8.0000000000000002E-3</v>
      </c>
      <c r="R86" s="18">
        <v>8.0000000000000002E-3</v>
      </c>
      <c r="S86" s="18">
        <v>8.0000000000000002E-3</v>
      </c>
      <c r="T86" s="18">
        <v>8.0000000000000002E-3</v>
      </c>
      <c r="U86" s="18">
        <v>8.0000000000000002E-3</v>
      </c>
    </row>
    <row r="87" spans="4:21" x14ac:dyDescent="0.25">
      <c r="D87" s="9" t="s">
        <v>26</v>
      </c>
      <c r="E87" s="9" t="s">
        <v>349</v>
      </c>
      <c r="F87" s="9" t="s">
        <v>379</v>
      </c>
      <c r="G87" s="9">
        <v>1000</v>
      </c>
      <c r="H87" s="9" t="s">
        <v>243</v>
      </c>
      <c r="I87" s="9" t="s">
        <v>13</v>
      </c>
      <c r="J87" s="9" t="s">
        <v>61</v>
      </c>
      <c r="K87" s="18">
        <v>0.434</v>
      </c>
      <c r="L87" s="18">
        <v>0.434</v>
      </c>
      <c r="M87" s="18">
        <v>0.434</v>
      </c>
      <c r="N87" s="18">
        <v>0.434</v>
      </c>
      <c r="O87" s="18">
        <v>0.434</v>
      </c>
      <c r="P87" s="18">
        <v>0.434</v>
      </c>
      <c r="Q87" s="18">
        <v>0.434</v>
      </c>
      <c r="R87" s="18">
        <v>0.434</v>
      </c>
      <c r="S87" s="18">
        <v>0.434</v>
      </c>
      <c r="T87" s="18">
        <v>0.434</v>
      </c>
      <c r="U87" s="18">
        <v>0.434</v>
      </c>
    </row>
    <row r="88" spans="4:21" x14ac:dyDescent="0.25">
      <c r="D88" s="9" t="s">
        <v>26</v>
      </c>
      <c r="E88" s="9" t="s">
        <v>349</v>
      </c>
      <c r="F88" s="9" t="s">
        <v>379</v>
      </c>
      <c r="G88" s="9">
        <v>1000</v>
      </c>
      <c r="H88" s="9" t="s">
        <v>243</v>
      </c>
      <c r="I88" s="9" t="s">
        <v>15</v>
      </c>
      <c r="J88" s="9" t="s">
        <v>65</v>
      </c>
      <c r="K88" s="18">
        <v>40</v>
      </c>
      <c r="L88" s="18">
        <v>40</v>
      </c>
      <c r="M88" s="18">
        <v>40</v>
      </c>
      <c r="N88" s="18">
        <v>40</v>
      </c>
      <c r="O88" s="18">
        <v>40</v>
      </c>
      <c r="P88" s="18">
        <v>40</v>
      </c>
      <c r="Q88" s="18">
        <v>40</v>
      </c>
      <c r="R88" s="18">
        <v>40</v>
      </c>
      <c r="S88" s="18">
        <v>40</v>
      </c>
      <c r="T88" s="18">
        <v>40</v>
      </c>
      <c r="U88" s="18">
        <v>40</v>
      </c>
    </row>
    <row r="89" spans="4:21" x14ac:dyDescent="0.25">
      <c r="D89" s="9" t="s">
        <v>26</v>
      </c>
      <c r="E89" s="9" t="s">
        <v>349</v>
      </c>
      <c r="F89" s="9" t="s">
        <v>379</v>
      </c>
      <c r="G89" s="9">
        <v>1000</v>
      </c>
      <c r="H89" s="9" t="s">
        <v>243</v>
      </c>
      <c r="I89" s="9" t="s">
        <v>338</v>
      </c>
      <c r="J89" s="9" t="s">
        <v>339</v>
      </c>
      <c r="K89" s="18">
        <v>1</v>
      </c>
      <c r="L89" s="18">
        <v>1</v>
      </c>
      <c r="M89" s="18">
        <v>1</v>
      </c>
      <c r="N89" s="18">
        <v>1</v>
      </c>
      <c r="O89" s="18">
        <v>1</v>
      </c>
      <c r="P89" s="18">
        <v>1</v>
      </c>
      <c r="Q89" s="18">
        <v>1</v>
      </c>
      <c r="R89" s="18">
        <v>1</v>
      </c>
      <c r="S89" s="18">
        <v>1</v>
      </c>
      <c r="T89" s="18">
        <v>1</v>
      </c>
      <c r="U89" s="18">
        <v>1</v>
      </c>
    </row>
    <row r="90" spans="4:21" x14ac:dyDescent="0.25">
      <c r="D90" s="9" t="s">
        <v>26</v>
      </c>
      <c r="E90" s="9" t="s">
        <v>349</v>
      </c>
      <c r="F90" s="9" t="s">
        <v>379</v>
      </c>
      <c r="G90" s="9">
        <v>1000</v>
      </c>
      <c r="H90" s="9" t="s">
        <v>243</v>
      </c>
      <c r="I90" s="9" t="s">
        <v>340</v>
      </c>
      <c r="J90" s="9" t="s">
        <v>339</v>
      </c>
      <c r="K90" s="18">
        <v>3</v>
      </c>
      <c r="L90" s="18">
        <v>3</v>
      </c>
      <c r="M90" s="18">
        <v>3</v>
      </c>
      <c r="N90" s="18">
        <v>3</v>
      </c>
      <c r="O90" s="18">
        <v>3</v>
      </c>
      <c r="P90" s="18">
        <v>3</v>
      </c>
      <c r="Q90" s="18">
        <v>3</v>
      </c>
      <c r="R90" s="18">
        <v>3</v>
      </c>
      <c r="S90" s="18">
        <v>3</v>
      </c>
      <c r="T90" s="18">
        <v>3</v>
      </c>
      <c r="U90" s="18">
        <v>3</v>
      </c>
    </row>
    <row r="91" spans="4:21" x14ac:dyDescent="0.25">
      <c r="D91" s="9" t="s">
        <v>26</v>
      </c>
      <c r="E91" s="9" t="s">
        <v>349</v>
      </c>
      <c r="F91" s="9" t="s">
        <v>379</v>
      </c>
      <c r="G91" s="9">
        <v>1000</v>
      </c>
      <c r="H91" s="9" t="s">
        <v>243</v>
      </c>
      <c r="I91" s="9" t="s">
        <v>32</v>
      </c>
      <c r="J91" s="9" t="s">
        <v>57</v>
      </c>
      <c r="K91" s="18">
        <v>2.5000000000000001E-2</v>
      </c>
      <c r="L91" s="18">
        <v>2.5000000000000001E-2</v>
      </c>
      <c r="M91" s="18">
        <v>2.5000000000000001E-2</v>
      </c>
      <c r="N91" s="18">
        <v>2.5000000000000001E-2</v>
      </c>
      <c r="O91" s="18">
        <v>2.5000000000000001E-2</v>
      </c>
      <c r="P91" s="18">
        <v>2.5000000000000001E-2</v>
      </c>
      <c r="Q91" s="18">
        <v>2.5000000000000001E-2</v>
      </c>
      <c r="R91" s="18">
        <v>2.5000000000000001E-2</v>
      </c>
      <c r="S91" s="18">
        <v>2.5000000000000001E-2</v>
      </c>
      <c r="T91" s="18">
        <v>2.5000000000000001E-2</v>
      </c>
      <c r="U91" s="18">
        <v>2.5000000000000001E-2</v>
      </c>
    </row>
    <row r="92" spans="4:21" x14ac:dyDescent="0.25">
      <c r="D92" s="9" t="s">
        <v>26</v>
      </c>
      <c r="E92" s="9" t="s">
        <v>349</v>
      </c>
      <c r="F92" s="9" t="s">
        <v>379</v>
      </c>
      <c r="G92" s="9">
        <v>1000</v>
      </c>
      <c r="H92" s="9" t="s">
        <v>243</v>
      </c>
      <c r="I92" s="9" t="s">
        <v>31</v>
      </c>
      <c r="J92" s="9" t="s">
        <v>57</v>
      </c>
      <c r="K92" s="18">
        <v>3.5000000000000003E-2</v>
      </c>
      <c r="L92" s="18">
        <v>3.5000000000000003E-2</v>
      </c>
      <c r="M92" s="18">
        <v>3.5000000000000003E-2</v>
      </c>
      <c r="N92" s="18">
        <v>3.5000000000000003E-2</v>
      </c>
      <c r="O92" s="18">
        <v>3.5000000000000003E-2</v>
      </c>
      <c r="P92" s="18">
        <v>3.5000000000000003E-2</v>
      </c>
      <c r="Q92" s="18">
        <v>3.5000000000000003E-2</v>
      </c>
      <c r="R92" s="18">
        <v>3.5000000000000003E-2</v>
      </c>
      <c r="S92" s="18">
        <v>3.5000000000000003E-2</v>
      </c>
      <c r="T92" s="18">
        <v>3.5000000000000003E-2</v>
      </c>
      <c r="U92" s="18">
        <v>3.5000000000000003E-2</v>
      </c>
    </row>
    <row r="93" spans="4:21" x14ac:dyDescent="0.25">
      <c r="D93" s="9" t="s">
        <v>26</v>
      </c>
      <c r="E93" s="9" t="s">
        <v>349</v>
      </c>
      <c r="F93" s="9" t="s">
        <v>379</v>
      </c>
      <c r="G93" s="9">
        <v>1000</v>
      </c>
      <c r="H93" s="9" t="s">
        <v>243</v>
      </c>
      <c r="I93" s="9" t="s">
        <v>341</v>
      </c>
      <c r="J93" s="9" t="s">
        <v>132</v>
      </c>
      <c r="K93" s="18">
        <v>2.5</v>
      </c>
      <c r="L93" s="18">
        <v>2.5</v>
      </c>
      <c r="M93" s="18">
        <v>2.5</v>
      </c>
      <c r="N93" s="18">
        <v>2.5</v>
      </c>
      <c r="O93" s="18">
        <v>2.5</v>
      </c>
      <c r="P93" s="18">
        <v>2.5</v>
      </c>
      <c r="Q93" s="18">
        <v>2.5</v>
      </c>
      <c r="R93" s="18">
        <v>2.5</v>
      </c>
      <c r="S93" s="18">
        <v>2.5</v>
      </c>
      <c r="T93" s="18">
        <v>2.5</v>
      </c>
      <c r="U93" s="18">
        <v>2.5</v>
      </c>
    </row>
    <row r="94" spans="4:21" x14ac:dyDescent="0.25">
      <c r="D94" s="9" t="s">
        <v>26</v>
      </c>
      <c r="E94" s="9" t="s">
        <v>349</v>
      </c>
      <c r="F94" s="9" t="s">
        <v>379</v>
      </c>
      <c r="G94" s="9">
        <v>1000</v>
      </c>
      <c r="H94" s="9" t="s">
        <v>243</v>
      </c>
      <c r="I94" s="9" t="s">
        <v>342</v>
      </c>
      <c r="J94" s="9" t="s">
        <v>343</v>
      </c>
      <c r="K94" s="18">
        <v>50</v>
      </c>
      <c r="L94" s="18">
        <v>50</v>
      </c>
      <c r="M94" s="18">
        <v>50</v>
      </c>
      <c r="N94" s="18">
        <v>50</v>
      </c>
      <c r="O94" s="18">
        <v>50</v>
      </c>
      <c r="P94" s="18">
        <v>50</v>
      </c>
      <c r="Q94" s="18">
        <v>50</v>
      </c>
      <c r="R94" s="18">
        <v>50</v>
      </c>
      <c r="S94" s="18">
        <v>50</v>
      </c>
      <c r="T94" s="18">
        <v>50</v>
      </c>
      <c r="U94" s="18">
        <v>50</v>
      </c>
    </row>
    <row r="95" spans="4:21" x14ac:dyDescent="0.25">
      <c r="D95" s="9" t="s">
        <v>26</v>
      </c>
      <c r="E95" s="9" t="s">
        <v>349</v>
      </c>
      <c r="F95" s="9" t="s">
        <v>379</v>
      </c>
      <c r="G95" s="9">
        <v>1000</v>
      </c>
      <c r="H95" s="9" t="s">
        <v>84</v>
      </c>
      <c r="I95" s="9" t="s">
        <v>290</v>
      </c>
      <c r="J95" s="9" t="s">
        <v>57</v>
      </c>
      <c r="K95" s="18">
        <v>0.45</v>
      </c>
      <c r="L95" s="18">
        <v>0.45</v>
      </c>
      <c r="M95" s="18">
        <v>0.45</v>
      </c>
      <c r="N95" s="18">
        <v>0.45</v>
      </c>
      <c r="O95" s="18">
        <v>0.45</v>
      </c>
      <c r="P95" s="18">
        <v>0.45</v>
      </c>
      <c r="Q95" s="18">
        <v>0.45</v>
      </c>
      <c r="R95" s="18">
        <v>0.45</v>
      </c>
      <c r="S95" s="18">
        <v>0.45</v>
      </c>
      <c r="T95" s="18">
        <v>0.45</v>
      </c>
      <c r="U95" s="18">
        <v>0.45</v>
      </c>
    </row>
    <row r="96" spans="4:21" x14ac:dyDescent="0.25">
      <c r="D96" s="9" t="s">
        <v>26</v>
      </c>
      <c r="E96" s="9" t="s">
        <v>349</v>
      </c>
      <c r="F96" s="9" t="s">
        <v>379</v>
      </c>
      <c r="G96" s="9">
        <v>1000</v>
      </c>
      <c r="H96" s="9" t="s">
        <v>84</v>
      </c>
      <c r="I96" s="9" t="s">
        <v>458</v>
      </c>
      <c r="J96" s="9" t="s">
        <v>57</v>
      </c>
      <c r="K96" s="18">
        <v>0.371</v>
      </c>
      <c r="L96" s="18">
        <v>0.371</v>
      </c>
      <c r="M96" s="18">
        <v>0.371</v>
      </c>
      <c r="N96" s="18">
        <v>0.371</v>
      </c>
      <c r="O96" s="18">
        <v>0.371</v>
      </c>
      <c r="P96" s="18">
        <v>0.371</v>
      </c>
      <c r="Q96" s="18">
        <v>0.371</v>
      </c>
      <c r="R96" s="18">
        <v>0.371</v>
      </c>
      <c r="S96" s="18">
        <v>0.371</v>
      </c>
      <c r="T96" s="18">
        <v>0.371</v>
      </c>
      <c r="U96" s="18">
        <v>0.371</v>
      </c>
    </row>
    <row r="97" spans="4:21" x14ac:dyDescent="0.25">
      <c r="D97" s="9" t="s">
        <v>26</v>
      </c>
      <c r="E97" s="9" t="s">
        <v>349</v>
      </c>
      <c r="F97" s="9" t="s">
        <v>379</v>
      </c>
      <c r="G97" s="9">
        <v>1000</v>
      </c>
      <c r="H97" s="9" t="s">
        <v>84</v>
      </c>
      <c r="I97" s="9" t="s">
        <v>16</v>
      </c>
      <c r="J97" s="9" t="s">
        <v>57</v>
      </c>
      <c r="K97" s="18">
        <v>2.3E-2</v>
      </c>
      <c r="L97" s="18">
        <v>2.3E-2</v>
      </c>
      <c r="M97" s="18">
        <v>2.3E-2</v>
      </c>
      <c r="N97" s="18">
        <v>2.3E-2</v>
      </c>
      <c r="O97" s="18">
        <v>2.3E-2</v>
      </c>
      <c r="P97" s="18">
        <v>2.3E-2</v>
      </c>
      <c r="Q97" s="18">
        <v>2.3E-2</v>
      </c>
      <c r="R97" s="18">
        <v>2.3E-2</v>
      </c>
      <c r="S97" s="18">
        <v>2.3E-2</v>
      </c>
      <c r="T97" s="18">
        <v>2.3E-2</v>
      </c>
      <c r="U97" s="18">
        <v>2.3E-2</v>
      </c>
    </row>
    <row r="98" spans="4:21" x14ac:dyDescent="0.25">
      <c r="D98" s="9" t="s">
        <v>26</v>
      </c>
      <c r="E98" s="9" t="s">
        <v>349</v>
      </c>
      <c r="F98" s="9" t="s">
        <v>379</v>
      </c>
      <c r="G98" s="9">
        <v>1000</v>
      </c>
      <c r="H98" s="9" t="s">
        <v>84</v>
      </c>
      <c r="I98" s="9" t="s">
        <v>13</v>
      </c>
      <c r="J98" s="9" t="s">
        <v>61</v>
      </c>
      <c r="K98" s="18">
        <v>0.40500000000000003</v>
      </c>
      <c r="L98" s="18">
        <v>0.40500000000000003</v>
      </c>
      <c r="M98" s="18">
        <v>0.40500000000000003</v>
      </c>
      <c r="N98" s="18">
        <v>0.40500000000000003</v>
      </c>
      <c r="O98" s="18">
        <v>0.40500000000000003</v>
      </c>
      <c r="P98" s="18">
        <v>0.40500000000000003</v>
      </c>
      <c r="Q98" s="18">
        <v>0.40500000000000003</v>
      </c>
      <c r="R98" s="18">
        <v>0.40500000000000003</v>
      </c>
      <c r="S98" s="18">
        <v>0.40500000000000003</v>
      </c>
      <c r="T98" s="18">
        <v>0.40500000000000003</v>
      </c>
      <c r="U98" s="18">
        <v>0.40500000000000003</v>
      </c>
    </row>
    <row r="99" spans="4:21" x14ac:dyDescent="0.25">
      <c r="D99" s="9" t="s">
        <v>26</v>
      </c>
      <c r="E99" s="9" t="s">
        <v>349</v>
      </c>
      <c r="F99" s="9" t="s">
        <v>379</v>
      </c>
      <c r="G99" s="9">
        <v>1000</v>
      </c>
      <c r="H99" s="9" t="s">
        <v>84</v>
      </c>
      <c r="I99" s="9" t="s">
        <v>15</v>
      </c>
      <c r="J99" s="9" t="s">
        <v>65</v>
      </c>
      <c r="K99" s="18">
        <v>80</v>
      </c>
      <c r="L99" s="18">
        <v>80</v>
      </c>
      <c r="M99" s="18">
        <v>80</v>
      </c>
      <c r="N99" s="18">
        <v>80</v>
      </c>
      <c r="O99" s="18">
        <v>80</v>
      </c>
      <c r="P99" s="18">
        <v>80</v>
      </c>
      <c r="Q99" s="18">
        <v>80</v>
      </c>
      <c r="R99" s="18">
        <v>80</v>
      </c>
      <c r="S99" s="18">
        <v>80</v>
      </c>
      <c r="T99" s="18">
        <v>80</v>
      </c>
      <c r="U99" s="18">
        <v>80</v>
      </c>
    </row>
    <row r="100" spans="4:21" x14ac:dyDescent="0.25">
      <c r="D100" s="9" t="s">
        <v>26</v>
      </c>
      <c r="E100" s="9" t="s">
        <v>349</v>
      </c>
      <c r="F100" s="9" t="s">
        <v>379</v>
      </c>
      <c r="G100" s="9">
        <v>1000</v>
      </c>
      <c r="H100" s="9" t="s">
        <v>84</v>
      </c>
      <c r="I100" s="9" t="s">
        <v>338</v>
      </c>
      <c r="J100" s="9" t="s">
        <v>339</v>
      </c>
      <c r="K100" s="18">
        <v>1</v>
      </c>
      <c r="L100" s="18">
        <v>1</v>
      </c>
      <c r="M100" s="18">
        <v>1</v>
      </c>
      <c r="N100" s="18">
        <v>1</v>
      </c>
      <c r="O100" s="18">
        <v>1</v>
      </c>
      <c r="P100" s="18">
        <v>1</v>
      </c>
      <c r="Q100" s="18">
        <v>1</v>
      </c>
      <c r="R100" s="18">
        <v>1</v>
      </c>
      <c r="S100" s="18">
        <v>1</v>
      </c>
      <c r="T100" s="18">
        <v>1</v>
      </c>
      <c r="U100" s="18">
        <v>1</v>
      </c>
    </row>
    <row r="101" spans="4:21" x14ac:dyDescent="0.25">
      <c r="D101" s="9" t="s">
        <v>26</v>
      </c>
      <c r="E101" s="9" t="s">
        <v>349</v>
      </c>
      <c r="F101" s="9" t="s">
        <v>379</v>
      </c>
      <c r="G101" s="9">
        <v>1000</v>
      </c>
      <c r="H101" s="9" t="s">
        <v>84</v>
      </c>
      <c r="I101" s="9" t="s">
        <v>340</v>
      </c>
      <c r="J101" s="9" t="s">
        <v>339</v>
      </c>
      <c r="K101" s="18">
        <v>3</v>
      </c>
      <c r="L101" s="18">
        <v>3</v>
      </c>
      <c r="M101" s="18">
        <v>3</v>
      </c>
      <c r="N101" s="18">
        <v>3</v>
      </c>
      <c r="O101" s="18">
        <v>3</v>
      </c>
      <c r="P101" s="18">
        <v>3</v>
      </c>
      <c r="Q101" s="18">
        <v>3</v>
      </c>
      <c r="R101" s="18">
        <v>3</v>
      </c>
      <c r="S101" s="18">
        <v>3</v>
      </c>
      <c r="T101" s="18">
        <v>3</v>
      </c>
      <c r="U101" s="18">
        <v>3</v>
      </c>
    </row>
    <row r="102" spans="4:21" x14ac:dyDescent="0.25">
      <c r="D102" s="9" t="s">
        <v>26</v>
      </c>
      <c r="E102" s="9" t="s">
        <v>349</v>
      </c>
      <c r="F102" s="9" t="s">
        <v>379</v>
      </c>
      <c r="G102" s="9">
        <v>1000</v>
      </c>
      <c r="H102" s="9" t="s">
        <v>84</v>
      </c>
      <c r="I102" s="9" t="s">
        <v>32</v>
      </c>
      <c r="J102" s="9" t="s">
        <v>57</v>
      </c>
      <c r="K102" s="18">
        <v>7.0000000000000007E-2</v>
      </c>
      <c r="L102" s="18">
        <v>7.0000000000000007E-2</v>
      </c>
      <c r="M102" s="18">
        <v>7.0000000000000007E-2</v>
      </c>
      <c r="N102" s="18">
        <v>7.0000000000000007E-2</v>
      </c>
      <c r="O102" s="18">
        <v>7.0000000000000007E-2</v>
      </c>
      <c r="P102" s="18">
        <v>7.0000000000000007E-2</v>
      </c>
      <c r="Q102" s="18">
        <v>7.0000000000000007E-2</v>
      </c>
      <c r="R102" s="18">
        <v>7.0000000000000007E-2</v>
      </c>
      <c r="S102" s="18">
        <v>7.0000000000000007E-2</v>
      </c>
      <c r="T102" s="18">
        <v>7.0000000000000007E-2</v>
      </c>
      <c r="U102" s="18">
        <v>7.0000000000000007E-2</v>
      </c>
    </row>
    <row r="103" spans="4:21" x14ac:dyDescent="0.25">
      <c r="D103" s="9" t="s">
        <v>26</v>
      </c>
      <c r="E103" s="9" t="s">
        <v>349</v>
      </c>
      <c r="F103" s="9" t="s">
        <v>379</v>
      </c>
      <c r="G103" s="9">
        <v>1000</v>
      </c>
      <c r="H103" s="9" t="s">
        <v>84</v>
      </c>
      <c r="I103" s="9" t="s">
        <v>31</v>
      </c>
      <c r="J103" s="9" t="s">
        <v>57</v>
      </c>
      <c r="K103" s="18">
        <v>0.09</v>
      </c>
      <c r="L103" s="18">
        <v>0.09</v>
      </c>
      <c r="M103" s="18">
        <v>0.09</v>
      </c>
      <c r="N103" s="18">
        <v>0.09</v>
      </c>
      <c r="O103" s="18">
        <v>0.09</v>
      </c>
      <c r="P103" s="18">
        <v>0.09</v>
      </c>
      <c r="Q103" s="18">
        <v>0.09</v>
      </c>
      <c r="R103" s="18">
        <v>0.09</v>
      </c>
      <c r="S103" s="18">
        <v>0.09</v>
      </c>
      <c r="T103" s="18">
        <v>0.09</v>
      </c>
      <c r="U103" s="18">
        <v>0.09</v>
      </c>
    </row>
    <row r="104" spans="4:21" x14ac:dyDescent="0.25">
      <c r="D104" s="9" t="s">
        <v>26</v>
      </c>
      <c r="E104" s="9" t="s">
        <v>349</v>
      </c>
      <c r="F104" s="9" t="s">
        <v>379</v>
      </c>
      <c r="G104" s="9">
        <v>1000</v>
      </c>
      <c r="H104" s="9" t="s">
        <v>84</v>
      </c>
      <c r="I104" s="9" t="s">
        <v>341</v>
      </c>
      <c r="J104" s="9" t="s">
        <v>132</v>
      </c>
      <c r="K104" s="18">
        <v>2.5</v>
      </c>
      <c r="L104" s="18">
        <v>2.5</v>
      </c>
      <c r="M104" s="18">
        <v>2.5</v>
      </c>
      <c r="N104" s="18">
        <v>2.5</v>
      </c>
      <c r="O104" s="18">
        <v>2.5</v>
      </c>
      <c r="P104" s="18">
        <v>2.5</v>
      </c>
      <c r="Q104" s="18">
        <v>2.5</v>
      </c>
      <c r="R104" s="18">
        <v>2.5</v>
      </c>
      <c r="S104" s="18">
        <v>2.5</v>
      </c>
      <c r="T104" s="18">
        <v>2.5</v>
      </c>
      <c r="U104" s="18">
        <v>2.5</v>
      </c>
    </row>
    <row r="105" spans="4:21" x14ac:dyDescent="0.25">
      <c r="D105" s="9" t="s">
        <v>26</v>
      </c>
      <c r="E105" s="9" t="s">
        <v>349</v>
      </c>
      <c r="F105" s="9" t="s">
        <v>379</v>
      </c>
      <c r="G105" s="9">
        <v>1000</v>
      </c>
      <c r="H105" s="9" t="s">
        <v>84</v>
      </c>
      <c r="I105" s="9" t="s">
        <v>342</v>
      </c>
      <c r="J105" s="9" t="s">
        <v>343</v>
      </c>
      <c r="K105" s="18">
        <v>50</v>
      </c>
      <c r="L105" s="18">
        <v>50</v>
      </c>
      <c r="M105" s="18">
        <v>50</v>
      </c>
      <c r="N105" s="18">
        <v>50</v>
      </c>
      <c r="O105" s="18">
        <v>50</v>
      </c>
      <c r="P105" s="18">
        <v>50</v>
      </c>
      <c r="Q105" s="18">
        <v>50</v>
      </c>
      <c r="R105" s="18">
        <v>50</v>
      </c>
      <c r="S105" s="18">
        <v>50</v>
      </c>
      <c r="T105" s="18">
        <v>50</v>
      </c>
      <c r="U105" s="18">
        <v>50</v>
      </c>
    </row>
    <row r="106" spans="4:21" x14ac:dyDescent="0.25">
      <c r="D106" s="9" t="s">
        <v>26</v>
      </c>
      <c r="E106" s="9" t="s">
        <v>351</v>
      </c>
      <c r="F106" s="9" t="s">
        <v>381</v>
      </c>
      <c r="G106" s="9">
        <v>120</v>
      </c>
      <c r="H106" s="9" t="s">
        <v>83</v>
      </c>
      <c r="I106" s="9" t="s">
        <v>329</v>
      </c>
      <c r="J106" s="9" t="s">
        <v>57</v>
      </c>
      <c r="K106" s="18">
        <v>0.19700000000000001</v>
      </c>
      <c r="L106" s="18">
        <v>0.19700000000000001</v>
      </c>
      <c r="M106" s="18">
        <v>0.19700000000000001</v>
      </c>
      <c r="N106" s="18">
        <v>0.19700000000000001</v>
      </c>
      <c r="O106" s="18">
        <v>0.19700000000000001</v>
      </c>
      <c r="P106" s="18">
        <v>0.19700000000000001</v>
      </c>
      <c r="Q106" s="18">
        <v>0.19700000000000001</v>
      </c>
      <c r="R106" s="18">
        <v>0.19700000000000001</v>
      </c>
      <c r="S106" s="18">
        <v>0.19700000000000001</v>
      </c>
      <c r="T106" s="18">
        <v>0.19700000000000001</v>
      </c>
      <c r="U106" s="18">
        <v>0.19700000000000001</v>
      </c>
    </row>
    <row r="107" spans="4:21" x14ac:dyDescent="0.25">
      <c r="D107" s="9" t="s">
        <v>26</v>
      </c>
      <c r="E107" s="9" t="s">
        <v>351</v>
      </c>
      <c r="F107" s="9" t="s">
        <v>381</v>
      </c>
      <c r="G107" s="9">
        <v>120</v>
      </c>
      <c r="H107" s="9" t="s">
        <v>83</v>
      </c>
      <c r="I107" s="9" t="s">
        <v>330</v>
      </c>
      <c r="J107" s="9" t="s">
        <v>57</v>
      </c>
      <c r="K107" s="18">
        <v>0.253</v>
      </c>
      <c r="L107" s="18">
        <v>0.253</v>
      </c>
      <c r="M107" s="18">
        <v>0.253</v>
      </c>
      <c r="N107" s="18">
        <v>0.253</v>
      </c>
      <c r="O107" s="18">
        <v>0.253</v>
      </c>
      <c r="P107" s="18">
        <v>0.253</v>
      </c>
      <c r="Q107" s="18">
        <v>0.253</v>
      </c>
      <c r="R107" s="18">
        <v>0.253</v>
      </c>
      <c r="S107" s="18">
        <v>0.253</v>
      </c>
      <c r="T107" s="18">
        <v>0.253</v>
      </c>
      <c r="U107" s="18">
        <v>0.253</v>
      </c>
    </row>
    <row r="108" spans="4:21" x14ac:dyDescent="0.25">
      <c r="D108" s="9" t="s">
        <v>26</v>
      </c>
      <c r="E108" s="9" t="s">
        <v>351</v>
      </c>
      <c r="F108" s="9" t="s">
        <v>381</v>
      </c>
      <c r="G108" s="9">
        <v>120</v>
      </c>
      <c r="H108" s="9" t="s">
        <v>83</v>
      </c>
      <c r="I108" s="9" t="s">
        <v>82</v>
      </c>
      <c r="J108" s="9" t="s">
        <v>57</v>
      </c>
      <c r="K108" s="18">
        <v>0.32900000000000001</v>
      </c>
      <c r="L108" s="18">
        <v>0.32900000000000001</v>
      </c>
      <c r="M108" s="18">
        <v>0.32900000000000001</v>
      </c>
      <c r="N108" s="18">
        <v>0.32900000000000001</v>
      </c>
      <c r="O108" s="18">
        <v>0.32900000000000001</v>
      </c>
      <c r="P108" s="18">
        <v>0.32900000000000001</v>
      </c>
      <c r="Q108" s="18">
        <v>0.32900000000000001</v>
      </c>
      <c r="R108" s="18">
        <v>0.32900000000000001</v>
      </c>
      <c r="S108" s="18">
        <v>0.32900000000000001</v>
      </c>
      <c r="T108" s="18">
        <v>0.32900000000000001</v>
      </c>
      <c r="U108" s="18">
        <v>0.32900000000000001</v>
      </c>
    </row>
    <row r="109" spans="4:21" x14ac:dyDescent="0.25">
      <c r="D109" s="9" t="s">
        <v>26</v>
      </c>
      <c r="E109" s="9" t="s">
        <v>351</v>
      </c>
      <c r="F109" s="9" t="s">
        <v>381</v>
      </c>
      <c r="G109" s="9">
        <v>120</v>
      </c>
      <c r="H109" s="9" t="s">
        <v>83</v>
      </c>
      <c r="I109" s="9" t="s">
        <v>332</v>
      </c>
      <c r="J109" s="9" t="s">
        <v>57</v>
      </c>
      <c r="K109" s="18">
        <v>0</v>
      </c>
      <c r="L109" s="18">
        <v>0</v>
      </c>
      <c r="M109" s="18">
        <v>0</v>
      </c>
      <c r="N109" s="18">
        <v>0</v>
      </c>
      <c r="O109" s="18">
        <v>0</v>
      </c>
      <c r="P109" s="18">
        <v>0</v>
      </c>
      <c r="Q109" s="18">
        <v>0</v>
      </c>
      <c r="R109" s="18">
        <v>0</v>
      </c>
      <c r="S109" s="18">
        <v>0</v>
      </c>
      <c r="T109" s="18">
        <v>0</v>
      </c>
      <c r="U109" s="18">
        <v>0</v>
      </c>
    </row>
    <row r="110" spans="4:21" x14ac:dyDescent="0.25">
      <c r="D110" s="9" t="s">
        <v>26</v>
      </c>
      <c r="E110" s="9" t="s">
        <v>351</v>
      </c>
      <c r="F110" s="9" t="s">
        <v>381</v>
      </c>
      <c r="G110" s="9">
        <v>120</v>
      </c>
      <c r="H110" s="9" t="s">
        <v>83</v>
      </c>
      <c r="I110" s="9" t="s">
        <v>346</v>
      </c>
      <c r="J110" s="9" t="s">
        <v>57</v>
      </c>
      <c r="K110" s="18">
        <v>0.22700000000000001</v>
      </c>
      <c r="L110" s="18">
        <v>0.22700000000000001</v>
      </c>
      <c r="M110" s="18">
        <v>0.22700000000000001</v>
      </c>
      <c r="N110" s="18">
        <v>0.22700000000000001</v>
      </c>
      <c r="O110" s="18">
        <v>0.22700000000000001</v>
      </c>
      <c r="P110" s="18">
        <v>0.22700000000000001</v>
      </c>
      <c r="Q110" s="18">
        <v>0.22700000000000001</v>
      </c>
      <c r="R110" s="18">
        <v>0.22700000000000001</v>
      </c>
      <c r="S110" s="18">
        <v>0.22700000000000001</v>
      </c>
      <c r="T110" s="18">
        <v>0.22700000000000001</v>
      </c>
      <c r="U110" s="18">
        <v>0.22700000000000001</v>
      </c>
    </row>
    <row r="111" spans="4:21" x14ac:dyDescent="0.25">
      <c r="D111" s="9" t="s">
        <v>26</v>
      </c>
      <c r="E111" s="9" t="s">
        <v>351</v>
      </c>
      <c r="F111" s="9" t="s">
        <v>381</v>
      </c>
      <c r="G111" s="9">
        <v>120</v>
      </c>
      <c r="H111" s="9" t="s">
        <v>83</v>
      </c>
      <c r="I111" s="9" t="s">
        <v>340</v>
      </c>
      <c r="J111" s="9" t="s">
        <v>339</v>
      </c>
      <c r="K111" s="18">
        <v>3</v>
      </c>
      <c r="L111" s="18">
        <v>3</v>
      </c>
      <c r="M111" s="18">
        <v>3</v>
      </c>
      <c r="N111" s="18">
        <v>3</v>
      </c>
      <c r="O111" s="18">
        <v>3</v>
      </c>
      <c r="P111" s="18">
        <v>3</v>
      </c>
      <c r="Q111" s="18">
        <v>3</v>
      </c>
      <c r="R111" s="18">
        <v>3</v>
      </c>
      <c r="S111" s="18">
        <v>3</v>
      </c>
      <c r="T111" s="18">
        <v>3</v>
      </c>
      <c r="U111" s="18">
        <v>3</v>
      </c>
    </row>
    <row r="112" spans="4:21" x14ac:dyDescent="0.25">
      <c r="D112" s="9" t="s">
        <v>26</v>
      </c>
      <c r="E112" s="9" t="s">
        <v>351</v>
      </c>
      <c r="F112" s="9" t="s">
        <v>381</v>
      </c>
      <c r="G112" s="9">
        <v>120</v>
      </c>
      <c r="H112" s="9" t="s">
        <v>83</v>
      </c>
      <c r="I112" s="9" t="s">
        <v>341</v>
      </c>
      <c r="J112" s="9" t="s">
        <v>132</v>
      </c>
      <c r="K112" s="18">
        <v>1.5</v>
      </c>
      <c r="L112" s="18">
        <v>1.5</v>
      </c>
      <c r="M112" s="18">
        <v>1.5</v>
      </c>
      <c r="N112" s="18">
        <v>1.5</v>
      </c>
      <c r="O112" s="18">
        <v>1.5</v>
      </c>
      <c r="P112" s="18">
        <v>1.5</v>
      </c>
      <c r="Q112" s="18">
        <v>1.5</v>
      </c>
      <c r="R112" s="18">
        <v>1.5</v>
      </c>
      <c r="S112" s="18">
        <v>1.5</v>
      </c>
      <c r="T112" s="18">
        <v>1.5</v>
      </c>
      <c r="U112" s="18">
        <v>1.5</v>
      </c>
    </row>
    <row r="113" spans="4:21" x14ac:dyDescent="0.25">
      <c r="D113" s="9" t="s">
        <v>26</v>
      </c>
      <c r="E113" s="9" t="s">
        <v>351</v>
      </c>
      <c r="F113" s="9" t="s">
        <v>381</v>
      </c>
      <c r="G113" s="9">
        <v>120</v>
      </c>
      <c r="H113" s="9" t="s">
        <v>83</v>
      </c>
      <c r="I113" s="9" t="s">
        <v>342</v>
      </c>
      <c r="J113" s="9" t="s">
        <v>343</v>
      </c>
      <c r="K113" s="18">
        <v>100</v>
      </c>
      <c r="L113" s="18">
        <v>100</v>
      </c>
      <c r="M113" s="18">
        <v>100</v>
      </c>
      <c r="N113" s="18">
        <v>100</v>
      </c>
      <c r="O113" s="18">
        <v>100</v>
      </c>
      <c r="P113" s="18">
        <v>100</v>
      </c>
      <c r="Q113" s="18">
        <v>100</v>
      </c>
      <c r="R113" s="18">
        <v>100</v>
      </c>
      <c r="S113" s="18">
        <v>100</v>
      </c>
      <c r="T113" s="18">
        <v>100</v>
      </c>
      <c r="U113" s="18">
        <v>100</v>
      </c>
    </row>
    <row r="114" spans="4:21" x14ac:dyDescent="0.25">
      <c r="D114" s="9" t="s">
        <v>26</v>
      </c>
      <c r="E114" s="9" t="s">
        <v>351</v>
      </c>
      <c r="F114" s="9" t="s">
        <v>381</v>
      </c>
      <c r="G114" s="9">
        <v>120</v>
      </c>
      <c r="H114" s="9" t="s">
        <v>83</v>
      </c>
      <c r="I114" s="9" t="s">
        <v>15</v>
      </c>
      <c r="J114" s="9" t="s">
        <v>65</v>
      </c>
      <c r="K114" s="18">
        <v>5</v>
      </c>
      <c r="L114" s="18">
        <v>5</v>
      </c>
      <c r="M114" s="18">
        <v>5</v>
      </c>
      <c r="N114" s="18">
        <v>5</v>
      </c>
      <c r="O114" s="18">
        <v>5</v>
      </c>
      <c r="P114" s="18">
        <v>5</v>
      </c>
      <c r="Q114" s="18">
        <v>5</v>
      </c>
      <c r="R114" s="18">
        <v>5</v>
      </c>
      <c r="S114" s="18">
        <v>5</v>
      </c>
      <c r="T114" s="18">
        <v>5</v>
      </c>
      <c r="U114" s="18">
        <v>5</v>
      </c>
    </row>
    <row r="115" spans="4:21" x14ac:dyDescent="0.25">
      <c r="D115" s="9" t="s">
        <v>26</v>
      </c>
      <c r="E115" s="9" t="s">
        <v>351</v>
      </c>
      <c r="F115" s="9" t="s">
        <v>380</v>
      </c>
      <c r="G115" s="9">
        <v>250</v>
      </c>
      <c r="H115" s="9" t="s">
        <v>83</v>
      </c>
      <c r="I115" s="9" t="s">
        <v>329</v>
      </c>
      <c r="J115" s="9" t="s">
        <v>57</v>
      </c>
      <c r="K115" s="18">
        <v>8.3000000000000004E-2</v>
      </c>
      <c r="L115" s="18">
        <v>8.3000000000000004E-2</v>
      </c>
      <c r="M115" s="18">
        <v>8.3000000000000004E-2</v>
      </c>
      <c r="N115" s="18">
        <v>8.3000000000000004E-2</v>
      </c>
      <c r="O115" s="18">
        <v>8.3000000000000004E-2</v>
      </c>
      <c r="P115" s="18">
        <v>8.3000000000000004E-2</v>
      </c>
      <c r="Q115" s="18">
        <v>8.3000000000000004E-2</v>
      </c>
      <c r="R115" s="18">
        <v>8.3000000000000004E-2</v>
      </c>
      <c r="S115" s="18">
        <v>8.3000000000000004E-2</v>
      </c>
      <c r="T115" s="18">
        <v>8.3000000000000004E-2</v>
      </c>
      <c r="U115" s="18">
        <v>8.3000000000000004E-2</v>
      </c>
    </row>
    <row r="116" spans="4:21" x14ac:dyDescent="0.25">
      <c r="D116" s="9" t="s">
        <v>26</v>
      </c>
      <c r="E116" s="9" t="s">
        <v>351</v>
      </c>
      <c r="F116" s="9" t="s">
        <v>380</v>
      </c>
      <c r="G116" s="9">
        <v>250</v>
      </c>
      <c r="H116" s="9" t="s">
        <v>83</v>
      </c>
      <c r="I116" s="9" t="s">
        <v>345</v>
      </c>
      <c r="J116" s="9" t="s">
        <v>57</v>
      </c>
      <c r="K116" s="18">
        <v>2.1999999999999999E-2</v>
      </c>
      <c r="L116" s="18">
        <v>2.1999999999999999E-2</v>
      </c>
      <c r="M116" s="18">
        <v>2.1999999999999999E-2</v>
      </c>
      <c r="N116" s="18">
        <v>2.1999999999999999E-2</v>
      </c>
      <c r="O116" s="18">
        <v>2.1999999999999999E-2</v>
      </c>
      <c r="P116" s="18">
        <v>2.1999999999999999E-2</v>
      </c>
      <c r="Q116" s="18">
        <v>2.1999999999999999E-2</v>
      </c>
      <c r="R116" s="18">
        <v>2.1999999999999999E-2</v>
      </c>
      <c r="S116" s="18">
        <v>2.1999999999999999E-2</v>
      </c>
      <c r="T116" s="18">
        <v>2.1999999999999999E-2</v>
      </c>
      <c r="U116" s="18">
        <v>2.1999999999999999E-2</v>
      </c>
    </row>
    <row r="117" spans="4:21" x14ac:dyDescent="0.25">
      <c r="D117" s="9" t="s">
        <v>26</v>
      </c>
      <c r="E117" s="9" t="s">
        <v>351</v>
      </c>
      <c r="F117" s="9" t="s">
        <v>380</v>
      </c>
      <c r="G117" s="9">
        <v>250</v>
      </c>
      <c r="H117" s="9" t="s">
        <v>83</v>
      </c>
      <c r="I117" s="9" t="s">
        <v>330</v>
      </c>
      <c r="J117" s="9" t="s">
        <v>57</v>
      </c>
      <c r="K117" s="18">
        <v>0.25</v>
      </c>
      <c r="L117" s="18">
        <v>0.25</v>
      </c>
      <c r="M117" s="18">
        <v>0.25</v>
      </c>
      <c r="N117" s="18">
        <v>0.25</v>
      </c>
      <c r="O117" s="18">
        <v>0.25</v>
      </c>
      <c r="P117" s="18">
        <v>0.25</v>
      </c>
      <c r="Q117" s="18">
        <v>0.25</v>
      </c>
      <c r="R117" s="18">
        <v>0.25</v>
      </c>
      <c r="S117" s="18">
        <v>0.25</v>
      </c>
      <c r="T117" s="18">
        <v>0.25</v>
      </c>
      <c r="U117" s="18">
        <v>0.25</v>
      </c>
    </row>
    <row r="118" spans="4:21" x14ac:dyDescent="0.25">
      <c r="D118" s="9" t="s">
        <v>26</v>
      </c>
      <c r="E118" s="9" t="s">
        <v>351</v>
      </c>
      <c r="F118" s="9" t="s">
        <v>380</v>
      </c>
      <c r="G118" s="9">
        <v>250</v>
      </c>
      <c r="H118" s="9" t="s">
        <v>83</v>
      </c>
      <c r="I118" s="9" t="s">
        <v>81</v>
      </c>
      <c r="J118" s="9" t="s">
        <v>57</v>
      </c>
      <c r="K118" s="18">
        <v>0.28799999999999998</v>
      </c>
      <c r="L118" s="18">
        <v>0.28799999999999998</v>
      </c>
      <c r="M118" s="18">
        <v>0.28799999999999998</v>
      </c>
      <c r="N118" s="18">
        <v>0.28799999999999998</v>
      </c>
      <c r="O118" s="18">
        <v>0.28799999999999998</v>
      </c>
      <c r="P118" s="18">
        <v>0.28799999999999998</v>
      </c>
      <c r="Q118" s="18">
        <v>0.28799999999999998</v>
      </c>
      <c r="R118" s="18">
        <v>0.28799999999999998</v>
      </c>
      <c r="S118" s="18">
        <v>0.28799999999999998</v>
      </c>
      <c r="T118" s="18">
        <v>0.28799999999999998</v>
      </c>
      <c r="U118" s="18">
        <v>0.28799999999999998</v>
      </c>
    </row>
    <row r="119" spans="4:21" x14ac:dyDescent="0.25">
      <c r="D119" s="9" t="s">
        <v>26</v>
      </c>
      <c r="E119" s="9" t="s">
        <v>351</v>
      </c>
      <c r="F119" s="9" t="s">
        <v>380</v>
      </c>
      <c r="G119" s="9">
        <v>250</v>
      </c>
      <c r="H119" s="9" t="s">
        <v>83</v>
      </c>
      <c r="I119" s="9" t="s">
        <v>458</v>
      </c>
      <c r="J119" s="9" t="s">
        <v>57</v>
      </c>
      <c r="K119" s="18">
        <v>0.47699999999999998</v>
      </c>
      <c r="L119" s="18">
        <v>0.47699999999999998</v>
      </c>
      <c r="M119" s="18">
        <v>0.47699999999999998</v>
      </c>
      <c r="N119" s="18">
        <v>0.47699999999999998</v>
      </c>
      <c r="O119" s="18">
        <v>0.47699999999999998</v>
      </c>
      <c r="P119" s="18">
        <v>0.47699999999999998</v>
      </c>
      <c r="Q119" s="18">
        <v>0.47699999999999998</v>
      </c>
      <c r="R119" s="18">
        <v>0.47699999999999998</v>
      </c>
      <c r="S119" s="18">
        <v>0.47699999999999998</v>
      </c>
      <c r="T119" s="18">
        <v>0.47699999999999998</v>
      </c>
      <c r="U119" s="18">
        <v>0.47699999999999998</v>
      </c>
    </row>
    <row r="120" spans="4:21" x14ac:dyDescent="0.25">
      <c r="D120" s="9" t="s">
        <v>26</v>
      </c>
      <c r="E120" s="9" t="s">
        <v>351</v>
      </c>
      <c r="F120" s="9" t="s">
        <v>380</v>
      </c>
      <c r="G120" s="9">
        <v>250</v>
      </c>
      <c r="H120" s="9" t="s">
        <v>83</v>
      </c>
      <c r="I120" s="9" t="s">
        <v>346</v>
      </c>
      <c r="J120" s="9" t="s">
        <v>57</v>
      </c>
      <c r="K120" s="18">
        <v>0</v>
      </c>
      <c r="L120" s="18">
        <v>0</v>
      </c>
      <c r="M120" s="18">
        <v>0</v>
      </c>
      <c r="N120" s="18">
        <v>0</v>
      </c>
      <c r="O120" s="18">
        <v>0</v>
      </c>
      <c r="P120" s="18">
        <v>0</v>
      </c>
      <c r="Q120" s="18">
        <v>0</v>
      </c>
      <c r="R120" s="18">
        <v>0</v>
      </c>
      <c r="S120" s="18">
        <v>0</v>
      </c>
      <c r="T120" s="18">
        <v>0</v>
      </c>
      <c r="U120" s="18">
        <v>0</v>
      </c>
    </row>
    <row r="121" spans="4:21" x14ac:dyDescent="0.25">
      <c r="D121" s="9" t="s">
        <v>26</v>
      </c>
      <c r="E121" s="9" t="s">
        <v>351</v>
      </c>
      <c r="F121" s="9" t="s">
        <v>380</v>
      </c>
      <c r="G121" s="9">
        <v>250</v>
      </c>
      <c r="H121" s="9" t="s">
        <v>83</v>
      </c>
      <c r="I121" s="9" t="s">
        <v>340</v>
      </c>
      <c r="J121" s="9" t="s">
        <v>339</v>
      </c>
      <c r="K121" s="18">
        <v>3</v>
      </c>
      <c r="L121" s="18">
        <v>3</v>
      </c>
      <c r="M121" s="18">
        <v>3</v>
      </c>
      <c r="N121" s="18">
        <v>3</v>
      </c>
      <c r="O121" s="18">
        <v>3</v>
      </c>
      <c r="P121" s="18">
        <v>3</v>
      </c>
      <c r="Q121" s="18">
        <v>3</v>
      </c>
      <c r="R121" s="18">
        <v>3</v>
      </c>
      <c r="S121" s="18">
        <v>3</v>
      </c>
      <c r="T121" s="18">
        <v>3</v>
      </c>
      <c r="U121" s="18">
        <v>3</v>
      </c>
    </row>
    <row r="122" spans="4:21" x14ac:dyDescent="0.25">
      <c r="D122" s="9" t="s">
        <v>26</v>
      </c>
      <c r="E122" s="9" t="s">
        <v>351</v>
      </c>
      <c r="F122" s="9" t="s">
        <v>380</v>
      </c>
      <c r="G122" s="9">
        <v>250</v>
      </c>
      <c r="H122" s="9" t="s">
        <v>83</v>
      </c>
      <c r="I122" s="9" t="s">
        <v>341</v>
      </c>
      <c r="J122" s="9" t="s">
        <v>132</v>
      </c>
      <c r="K122" s="18">
        <v>2.5</v>
      </c>
      <c r="L122" s="18">
        <v>2.5</v>
      </c>
      <c r="M122" s="18">
        <v>2.5</v>
      </c>
      <c r="N122" s="18">
        <v>2.5</v>
      </c>
      <c r="O122" s="18">
        <v>2.5</v>
      </c>
      <c r="P122" s="18">
        <v>2.5</v>
      </c>
      <c r="Q122" s="18">
        <v>2.5</v>
      </c>
      <c r="R122" s="18">
        <v>2.5</v>
      </c>
      <c r="S122" s="18">
        <v>2.5</v>
      </c>
      <c r="T122" s="18">
        <v>2.5</v>
      </c>
      <c r="U122" s="18">
        <v>2.5</v>
      </c>
    </row>
    <row r="123" spans="4:21" x14ac:dyDescent="0.25">
      <c r="D123" s="9" t="s">
        <v>26</v>
      </c>
      <c r="E123" s="9" t="s">
        <v>351</v>
      </c>
      <c r="F123" s="9" t="s">
        <v>380</v>
      </c>
      <c r="G123" s="9">
        <v>250</v>
      </c>
      <c r="H123" s="9" t="s">
        <v>83</v>
      </c>
      <c r="I123" s="9" t="s">
        <v>342</v>
      </c>
      <c r="J123" s="9" t="s">
        <v>343</v>
      </c>
      <c r="K123" s="18">
        <v>25</v>
      </c>
      <c r="L123" s="18">
        <v>25</v>
      </c>
      <c r="M123" s="18">
        <v>25</v>
      </c>
      <c r="N123" s="18">
        <v>25</v>
      </c>
      <c r="O123" s="18">
        <v>25</v>
      </c>
      <c r="P123" s="18">
        <v>25</v>
      </c>
      <c r="Q123" s="18">
        <v>25</v>
      </c>
      <c r="R123" s="18">
        <v>25</v>
      </c>
      <c r="S123" s="18">
        <v>25</v>
      </c>
      <c r="T123" s="18">
        <v>25</v>
      </c>
      <c r="U123" s="18">
        <v>25</v>
      </c>
    </row>
    <row r="124" spans="4:21" x14ac:dyDescent="0.25">
      <c r="D124" s="9" t="s">
        <v>26</v>
      </c>
      <c r="E124" s="9" t="s">
        <v>351</v>
      </c>
      <c r="F124" s="9" t="s">
        <v>380</v>
      </c>
      <c r="G124" s="9">
        <v>250</v>
      </c>
      <c r="H124" s="9" t="s">
        <v>83</v>
      </c>
      <c r="I124" s="9" t="s">
        <v>15</v>
      </c>
      <c r="J124" s="9" t="s">
        <v>65</v>
      </c>
      <c r="K124" s="18">
        <v>30</v>
      </c>
      <c r="L124" s="18">
        <v>30</v>
      </c>
      <c r="M124" s="18">
        <v>30</v>
      </c>
      <c r="N124" s="18">
        <v>30</v>
      </c>
      <c r="O124" s="18">
        <v>30</v>
      </c>
      <c r="P124" s="18">
        <v>30</v>
      </c>
      <c r="Q124" s="18">
        <v>30</v>
      </c>
      <c r="R124" s="18">
        <v>30</v>
      </c>
      <c r="S124" s="18">
        <v>30</v>
      </c>
      <c r="T124" s="18">
        <v>30</v>
      </c>
      <c r="U124" s="18">
        <v>30</v>
      </c>
    </row>
    <row r="125" spans="4:21" x14ac:dyDescent="0.25">
      <c r="D125" s="9" t="s">
        <v>26</v>
      </c>
      <c r="E125" s="9" t="s">
        <v>351</v>
      </c>
      <c r="F125" s="9" t="s">
        <v>380</v>
      </c>
      <c r="G125" s="9">
        <v>250</v>
      </c>
      <c r="H125" s="9" t="s">
        <v>83</v>
      </c>
      <c r="I125" s="9" t="s">
        <v>32</v>
      </c>
      <c r="J125" s="9" t="s">
        <v>57</v>
      </c>
      <c r="K125" s="18">
        <v>2.5000000000000001E-2</v>
      </c>
      <c r="L125" s="18">
        <v>2.5000000000000001E-2</v>
      </c>
      <c r="M125" s="18">
        <v>2.5000000000000001E-2</v>
      </c>
      <c r="N125" s="18">
        <v>2.5000000000000001E-2</v>
      </c>
      <c r="O125" s="18">
        <v>2.5000000000000001E-2</v>
      </c>
      <c r="P125" s="18">
        <v>2.5000000000000001E-2</v>
      </c>
      <c r="Q125" s="18">
        <v>2.5000000000000001E-2</v>
      </c>
      <c r="R125" s="18">
        <v>2.5000000000000001E-2</v>
      </c>
      <c r="S125" s="18">
        <v>2.5000000000000001E-2</v>
      </c>
      <c r="T125" s="18">
        <v>2.5000000000000001E-2</v>
      </c>
      <c r="U125" s="18">
        <v>2.5000000000000001E-2</v>
      </c>
    </row>
    <row r="126" spans="4:21" x14ac:dyDescent="0.25">
      <c r="D126" s="9" t="s">
        <v>26</v>
      </c>
      <c r="E126" s="9" t="s">
        <v>351</v>
      </c>
      <c r="F126" s="9" t="s">
        <v>380</v>
      </c>
      <c r="G126" s="9">
        <v>250</v>
      </c>
      <c r="H126" s="9" t="s">
        <v>83</v>
      </c>
      <c r="I126" s="9" t="s">
        <v>13</v>
      </c>
      <c r="J126" s="9" t="s">
        <v>61</v>
      </c>
      <c r="K126" s="18">
        <v>0.2</v>
      </c>
      <c r="L126" s="18">
        <v>0.2</v>
      </c>
      <c r="M126" s="18">
        <v>0.2</v>
      </c>
      <c r="N126" s="18">
        <v>0.2</v>
      </c>
      <c r="O126" s="18">
        <v>0.2</v>
      </c>
      <c r="P126" s="18">
        <v>0.2</v>
      </c>
      <c r="Q126" s="18">
        <v>0.2</v>
      </c>
      <c r="R126" s="18">
        <v>0.2</v>
      </c>
      <c r="S126" s="18">
        <v>0.2</v>
      </c>
      <c r="T126" s="18">
        <v>0.2</v>
      </c>
      <c r="U126" s="18">
        <v>0.2</v>
      </c>
    </row>
    <row r="127" spans="4:21" x14ac:dyDescent="0.25">
      <c r="D127" s="9" t="s">
        <v>26</v>
      </c>
      <c r="E127" s="9" t="s">
        <v>349</v>
      </c>
      <c r="F127" s="9" t="s">
        <v>379</v>
      </c>
      <c r="G127" s="9">
        <v>500</v>
      </c>
      <c r="H127" s="9" t="s">
        <v>82</v>
      </c>
      <c r="I127" s="9" t="s">
        <v>345</v>
      </c>
      <c r="J127" s="9" t="s">
        <v>57</v>
      </c>
      <c r="K127" s="18">
        <v>0.23</v>
      </c>
      <c r="L127" s="18">
        <v>0.23</v>
      </c>
      <c r="M127" s="18">
        <v>0.23</v>
      </c>
      <c r="N127" s="18">
        <v>0.23</v>
      </c>
      <c r="O127" s="18">
        <v>0.23</v>
      </c>
      <c r="P127" s="18">
        <v>0.23</v>
      </c>
      <c r="Q127" s="18">
        <v>0.23</v>
      </c>
      <c r="R127" s="18">
        <v>0.23</v>
      </c>
      <c r="S127" s="18">
        <v>0.23</v>
      </c>
      <c r="T127" s="18">
        <v>0.23</v>
      </c>
      <c r="U127" s="18">
        <v>0.23</v>
      </c>
    </row>
    <row r="128" spans="4:21" x14ac:dyDescent="0.25">
      <c r="D128" s="9" t="s">
        <v>26</v>
      </c>
      <c r="E128" s="9" t="s">
        <v>349</v>
      </c>
      <c r="F128" s="9" t="s">
        <v>379</v>
      </c>
      <c r="G128" s="9">
        <v>500</v>
      </c>
      <c r="H128" s="9" t="s">
        <v>82</v>
      </c>
      <c r="I128" s="9" t="s">
        <v>458</v>
      </c>
      <c r="J128" s="9" t="s">
        <v>57</v>
      </c>
      <c r="K128" s="18">
        <v>0.47699999999999998</v>
      </c>
      <c r="L128" s="18">
        <v>0.47699999999999998</v>
      </c>
      <c r="M128" s="18">
        <v>0.47699999999999998</v>
      </c>
      <c r="N128" s="18">
        <v>0.47699999999999998</v>
      </c>
      <c r="O128" s="18">
        <v>0.47699999999999998</v>
      </c>
      <c r="P128" s="18">
        <v>0.47699999999999998</v>
      </c>
      <c r="Q128" s="18">
        <v>0.47699999999999998</v>
      </c>
      <c r="R128" s="18">
        <v>0.47699999999999998</v>
      </c>
      <c r="S128" s="18">
        <v>0.47699999999999998</v>
      </c>
      <c r="T128" s="18">
        <v>0.47699999999999998</v>
      </c>
      <c r="U128" s="18">
        <v>0.47699999999999998</v>
      </c>
    </row>
    <row r="129" spans="4:25" ht="15.75" thickBot="1" x14ac:dyDescent="0.3">
      <c r="D129" s="9" t="s">
        <v>26</v>
      </c>
      <c r="E129" s="9" t="s">
        <v>349</v>
      </c>
      <c r="F129" s="9" t="s">
        <v>379</v>
      </c>
      <c r="G129" s="9">
        <v>500</v>
      </c>
      <c r="H129" s="9" t="s">
        <v>82</v>
      </c>
      <c r="I129" s="9" t="s">
        <v>29</v>
      </c>
      <c r="J129" s="9" t="s">
        <v>57</v>
      </c>
      <c r="K129" s="18">
        <v>3.0000000000000001E-3</v>
      </c>
      <c r="L129" s="18">
        <v>0</v>
      </c>
      <c r="M129" s="18">
        <v>0</v>
      </c>
      <c r="N129" s="18">
        <v>0</v>
      </c>
      <c r="O129" s="18">
        <v>0</v>
      </c>
      <c r="P129" s="18">
        <v>0</v>
      </c>
      <c r="Q129" s="18">
        <v>0</v>
      </c>
      <c r="R129" s="18">
        <v>0</v>
      </c>
      <c r="S129" s="18">
        <v>0</v>
      </c>
      <c r="T129" s="18">
        <v>0</v>
      </c>
      <c r="U129" s="18">
        <v>0</v>
      </c>
    </row>
    <row r="130" spans="4:25" x14ac:dyDescent="0.25">
      <c r="D130" s="9" t="s">
        <v>26</v>
      </c>
      <c r="E130" s="9" t="s">
        <v>349</v>
      </c>
      <c r="F130" s="9" t="s">
        <v>379</v>
      </c>
      <c r="G130" s="9">
        <v>500</v>
      </c>
      <c r="H130" s="9" t="s">
        <v>82</v>
      </c>
      <c r="I130" s="9" t="s">
        <v>16</v>
      </c>
      <c r="J130" s="9" t="s">
        <v>57</v>
      </c>
      <c r="K130" s="18">
        <v>5.6449999999999998E-3</v>
      </c>
      <c r="L130" s="18">
        <v>5.6449999999999998E-3</v>
      </c>
      <c r="M130" s="18">
        <v>5.6449999999999998E-3</v>
      </c>
      <c r="N130" s="18">
        <v>5.6449999999999998E-3</v>
      </c>
      <c r="O130" s="18">
        <v>5.6449999999999998E-3</v>
      </c>
      <c r="P130" s="18">
        <v>5.6449999999999998E-3</v>
      </c>
      <c r="Q130" s="18">
        <v>5.6449999999999998E-3</v>
      </c>
      <c r="R130" s="18">
        <v>5.6449999999999998E-3</v>
      </c>
      <c r="S130" s="18">
        <v>5.6449999999999998E-3</v>
      </c>
      <c r="T130" s="18">
        <v>5.6449999999999998E-3</v>
      </c>
      <c r="U130" s="18">
        <v>5.6449999999999998E-3</v>
      </c>
      <c r="W130" s="9" t="s">
        <v>184</v>
      </c>
      <c r="X130" s="8" t="s">
        <v>100</v>
      </c>
      <c r="Y130" s="17">
        <v>3</v>
      </c>
    </row>
    <row r="131" spans="4:25" x14ac:dyDescent="0.25">
      <c r="D131" s="9" t="s">
        <v>26</v>
      </c>
      <c r="E131" s="9" t="s">
        <v>349</v>
      </c>
      <c r="F131" s="9" t="s">
        <v>379</v>
      </c>
      <c r="G131" s="9">
        <v>500</v>
      </c>
      <c r="H131" s="9" t="s">
        <v>82</v>
      </c>
      <c r="I131" s="9" t="s">
        <v>13</v>
      </c>
      <c r="J131" s="9" t="s">
        <v>61</v>
      </c>
      <c r="K131" s="18">
        <v>0.36799999999999999</v>
      </c>
      <c r="L131" s="18">
        <v>0.36799999999999999</v>
      </c>
      <c r="M131" s="18">
        <v>0.36799999999999999</v>
      </c>
      <c r="N131" s="18">
        <v>0.36799999999999999</v>
      </c>
      <c r="O131" s="18">
        <v>0.36799999999999999</v>
      </c>
      <c r="P131" s="18">
        <v>0.36799999999999999</v>
      </c>
      <c r="Q131" s="18">
        <v>0.36799999999999999</v>
      </c>
      <c r="R131" s="18">
        <v>0.36799999999999999</v>
      </c>
      <c r="S131" s="18">
        <v>0.36799999999999999</v>
      </c>
      <c r="T131" s="18">
        <v>0.36799999999999999</v>
      </c>
      <c r="U131" s="18">
        <v>0.36799999999999999</v>
      </c>
      <c r="W131" s="9" t="s">
        <v>29</v>
      </c>
      <c r="X131" s="9" t="s">
        <v>131</v>
      </c>
      <c r="Y131" s="18">
        <v>1</v>
      </c>
    </row>
    <row r="132" spans="4:25" x14ac:dyDescent="0.25">
      <c r="D132" s="9" t="s">
        <v>26</v>
      </c>
      <c r="E132" s="9" t="s">
        <v>349</v>
      </c>
      <c r="F132" s="9" t="s">
        <v>379</v>
      </c>
      <c r="G132" s="9">
        <v>500</v>
      </c>
      <c r="H132" s="9" t="s">
        <v>82</v>
      </c>
      <c r="I132" s="9" t="s">
        <v>15</v>
      </c>
      <c r="J132" s="9" t="s">
        <v>65</v>
      </c>
      <c r="K132" s="18">
        <v>40</v>
      </c>
      <c r="L132" s="18">
        <v>40</v>
      </c>
      <c r="M132" s="18">
        <v>40</v>
      </c>
      <c r="N132" s="18">
        <v>40</v>
      </c>
      <c r="O132" s="18">
        <v>40</v>
      </c>
      <c r="P132" s="18">
        <v>40</v>
      </c>
      <c r="Q132" s="18">
        <v>40</v>
      </c>
      <c r="R132" s="18">
        <v>40</v>
      </c>
      <c r="S132" s="18">
        <v>40</v>
      </c>
      <c r="T132" s="18">
        <v>40</v>
      </c>
      <c r="U132" s="18">
        <v>40</v>
      </c>
      <c r="W132" s="9" t="s">
        <v>185</v>
      </c>
      <c r="X132" s="9" t="s">
        <v>133</v>
      </c>
      <c r="Y132" s="18">
        <v>4</v>
      </c>
    </row>
    <row r="133" spans="4:25" x14ac:dyDescent="0.25">
      <c r="D133" s="9" t="s">
        <v>26</v>
      </c>
      <c r="E133" s="9" t="s">
        <v>349</v>
      </c>
      <c r="F133" s="9" t="s">
        <v>379</v>
      </c>
      <c r="G133" s="9">
        <v>500</v>
      </c>
      <c r="H133" s="9" t="s">
        <v>82</v>
      </c>
      <c r="I133" s="9" t="s">
        <v>338</v>
      </c>
      <c r="J133" s="9" t="s">
        <v>339</v>
      </c>
      <c r="K133" s="18">
        <v>1</v>
      </c>
      <c r="L133" s="18">
        <v>1</v>
      </c>
      <c r="M133" s="18">
        <v>1</v>
      </c>
      <c r="N133" s="18">
        <v>1</v>
      </c>
      <c r="O133" s="18">
        <v>1</v>
      </c>
      <c r="P133" s="18">
        <v>1</v>
      </c>
      <c r="Q133" s="18">
        <v>1</v>
      </c>
      <c r="R133" s="18">
        <v>1</v>
      </c>
      <c r="S133" s="18">
        <v>1</v>
      </c>
      <c r="T133" s="18">
        <v>1</v>
      </c>
      <c r="U133" s="18">
        <v>1</v>
      </c>
      <c r="W133" s="9" t="s">
        <v>13</v>
      </c>
      <c r="X133" s="9" t="s">
        <v>100</v>
      </c>
      <c r="Y133" s="18">
        <v>0.6</v>
      </c>
    </row>
    <row r="134" spans="4:25" x14ac:dyDescent="0.25">
      <c r="D134" s="9" t="s">
        <v>26</v>
      </c>
      <c r="E134" s="9" t="s">
        <v>349</v>
      </c>
      <c r="F134" s="9" t="s">
        <v>379</v>
      </c>
      <c r="G134" s="9">
        <v>500</v>
      </c>
      <c r="H134" s="9" t="s">
        <v>82</v>
      </c>
      <c r="I134" s="9" t="s">
        <v>340</v>
      </c>
      <c r="J134" s="9" t="s">
        <v>339</v>
      </c>
      <c r="K134" s="18">
        <v>3</v>
      </c>
      <c r="L134" s="18">
        <v>3</v>
      </c>
      <c r="M134" s="18">
        <v>3</v>
      </c>
      <c r="N134" s="18">
        <v>3</v>
      </c>
      <c r="O134" s="18">
        <v>3</v>
      </c>
      <c r="P134" s="18">
        <v>3</v>
      </c>
      <c r="Q134" s="18">
        <v>3</v>
      </c>
      <c r="R134" s="18">
        <v>3</v>
      </c>
      <c r="S134" s="18">
        <v>3</v>
      </c>
      <c r="T134" s="18">
        <v>3</v>
      </c>
      <c r="U134" s="18">
        <v>3</v>
      </c>
      <c r="W134" s="9" t="s">
        <v>15</v>
      </c>
      <c r="X134" s="9" t="s">
        <v>131</v>
      </c>
      <c r="Y134" s="18">
        <v>1</v>
      </c>
    </row>
    <row r="135" spans="4:25" x14ac:dyDescent="0.25">
      <c r="D135" s="9" t="s">
        <v>26</v>
      </c>
      <c r="E135" s="9" t="s">
        <v>349</v>
      </c>
      <c r="F135" s="9" t="s">
        <v>379</v>
      </c>
      <c r="G135" s="9">
        <v>500</v>
      </c>
      <c r="H135" s="9" t="s">
        <v>82</v>
      </c>
      <c r="I135" s="9" t="s">
        <v>32</v>
      </c>
      <c r="J135" s="9" t="s">
        <v>57</v>
      </c>
      <c r="K135" s="18">
        <v>2.5000000000000001E-2</v>
      </c>
      <c r="L135" s="18">
        <v>2.5000000000000001E-2</v>
      </c>
      <c r="M135" s="18">
        <v>2.5000000000000001E-2</v>
      </c>
      <c r="N135" s="18">
        <v>2.5000000000000001E-2</v>
      </c>
      <c r="O135" s="18">
        <v>2.5000000000000001E-2</v>
      </c>
      <c r="P135" s="18">
        <v>2.5000000000000001E-2</v>
      </c>
      <c r="Q135" s="18">
        <v>2.5000000000000001E-2</v>
      </c>
      <c r="R135" s="18">
        <v>2.5000000000000001E-2</v>
      </c>
      <c r="S135" s="18">
        <v>2.5000000000000001E-2</v>
      </c>
      <c r="T135" s="18">
        <v>2.5000000000000001E-2</v>
      </c>
      <c r="U135" s="18">
        <v>2.5000000000000001E-2</v>
      </c>
      <c r="W135" s="9" t="s">
        <v>35</v>
      </c>
      <c r="X135" s="9" t="s">
        <v>133</v>
      </c>
      <c r="Y135" s="18">
        <v>15</v>
      </c>
    </row>
    <row r="136" spans="4:25" x14ac:dyDescent="0.25">
      <c r="D136" s="9" t="s">
        <v>26</v>
      </c>
      <c r="E136" s="9" t="s">
        <v>349</v>
      </c>
      <c r="F136" s="9" t="s">
        <v>379</v>
      </c>
      <c r="G136" s="9">
        <v>500</v>
      </c>
      <c r="H136" s="9" t="s">
        <v>82</v>
      </c>
      <c r="I136" s="9" t="s">
        <v>31</v>
      </c>
      <c r="J136" s="9" t="s">
        <v>57</v>
      </c>
      <c r="K136" s="18">
        <v>3.5000000000000003E-2</v>
      </c>
      <c r="L136" s="18">
        <v>3.5000000000000003E-2</v>
      </c>
      <c r="M136" s="18">
        <v>3.5000000000000003E-2</v>
      </c>
      <c r="N136" s="18">
        <v>3.5000000000000003E-2</v>
      </c>
      <c r="O136" s="18">
        <v>3.5000000000000003E-2</v>
      </c>
      <c r="P136" s="18">
        <v>3.5000000000000003E-2</v>
      </c>
      <c r="Q136" s="18">
        <v>3.5000000000000003E-2</v>
      </c>
      <c r="R136" s="18">
        <v>3.5000000000000003E-2</v>
      </c>
      <c r="S136" s="18">
        <v>3.5000000000000003E-2</v>
      </c>
      <c r="T136" s="18">
        <v>3.5000000000000003E-2</v>
      </c>
      <c r="U136" s="18">
        <v>3.5000000000000003E-2</v>
      </c>
      <c r="W136" s="9" t="s">
        <v>186</v>
      </c>
      <c r="X136" s="9" t="s">
        <v>133</v>
      </c>
      <c r="Y136" s="18">
        <v>15</v>
      </c>
    </row>
    <row r="137" spans="4:25" x14ac:dyDescent="0.25">
      <c r="D137" s="9" t="s">
        <v>26</v>
      </c>
      <c r="E137" s="9" t="s">
        <v>349</v>
      </c>
      <c r="F137" s="9" t="s">
        <v>379</v>
      </c>
      <c r="G137" s="9">
        <v>500</v>
      </c>
      <c r="H137" s="9" t="s">
        <v>82</v>
      </c>
      <c r="I137" s="9" t="s">
        <v>341</v>
      </c>
      <c r="J137" s="9" t="s">
        <v>132</v>
      </c>
      <c r="K137" s="18">
        <v>2.5</v>
      </c>
      <c r="L137" s="18">
        <v>2.5</v>
      </c>
      <c r="M137" s="18">
        <v>2.5</v>
      </c>
      <c r="N137" s="18">
        <v>2.5</v>
      </c>
      <c r="O137" s="18">
        <v>2.5</v>
      </c>
      <c r="P137" s="18">
        <v>2.5</v>
      </c>
      <c r="Q137" s="18">
        <v>2.5</v>
      </c>
      <c r="R137" s="18">
        <v>2.5</v>
      </c>
      <c r="S137" s="18">
        <v>2.5</v>
      </c>
      <c r="T137" s="18">
        <v>2.5</v>
      </c>
      <c r="U137" s="18">
        <v>2.5</v>
      </c>
    </row>
    <row r="138" spans="4:25" x14ac:dyDescent="0.25">
      <c r="D138" s="9" t="s">
        <v>26</v>
      </c>
      <c r="E138" s="9" t="s">
        <v>349</v>
      </c>
      <c r="F138" s="9" t="s">
        <v>379</v>
      </c>
      <c r="G138" s="9">
        <v>500</v>
      </c>
      <c r="H138" s="9" t="s">
        <v>82</v>
      </c>
      <c r="I138" s="9" t="s">
        <v>342</v>
      </c>
      <c r="J138" s="9" t="s">
        <v>343</v>
      </c>
      <c r="K138" s="18">
        <v>50</v>
      </c>
      <c r="L138" s="18">
        <v>50</v>
      </c>
      <c r="M138" s="18">
        <v>50</v>
      </c>
      <c r="N138" s="18">
        <v>50</v>
      </c>
      <c r="O138" s="18">
        <v>50</v>
      </c>
      <c r="P138" s="18">
        <v>50</v>
      </c>
      <c r="Q138" s="18">
        <v>50</v>
      </c>
      <c r="R138" s="18">
        <v>50</v>
      </c>
      <c r="S138" s="18">
        <v>50</v>
      </c>
      <c r="T138" s="18">
        <v>50</v>
      </c>
      <c r="U138" s="18">
        <v>50</v>
      </c>
    </row>
    <row r="139" spans="4:25" x14ac:dyDescent="0.25">
      <c r="D139" s="9" t="s">
        <v>26</v>
      </c>
      <c r="E139" s="9" t="s">
        <v>349</v>
      </c>
      <c r="F139" s="9" t="s">
        <v>379</v>
      </c>
      <c r="G139" s="9">
        <v>500</v>
      </c>
      <c r="H139" s="9" t="s">
        <v>81</v>
      </c>
      <c r="I139" s="9" t="s">
        <v>345</v>
      </c>
      <c r="J139" s="9" t="s">
        <v>57</v>
      </c>
      <c r="K139" s="18">
        <v>0.14000000000000001</v>
      </c>
      <c r="L139" s="18">
        <v>0.14000000000000001</v>
      </c>
      <c r="M139" s="18">
        <v>0.14000000000000001</v>
      </c>
      <c r="N139" s="18">
        <v>0.14000000000000001</v>
      </c>
      <c r="O139" s="18">
        <v>0.14000000000000001</v>
      </c>
      <c r="P139" s="18">
        <v>0.14000000000000001</v>
      </c>
      <c r="Q139" s="18">
        <v>0.14000000000000001</v>
      </c>
      <c r="R139" s="18">
        <v>0.14000000000000001</v>
      </c>
      <c r="S139" s="18">
        <v>0.14000000000000001</v>
      </c>
      <c r="T139" s="18">
        <v>0.14000000000000001</v>
      </c>
      <c r="U139" s="18">
        <v>0.14000000000000001</v>
      </c>
      <c r="W139" s="137">
        <f>(K131*Y133+K132*Y134+K127*Y130)</f>
        <v>40.910799999999995</v>
      </c>
      <c r="X139" s="5" t="s">
        <v>375</v>
      </c>
    </row>
    <row r="140" spans="4:25" x14ac:dyDescent="0.25">
      <c r="D140" s="9" t="s">
        <v>26</v>
      </c>
      <c r="E140" s="9" t="s">
        <v>349</v>
      </c>
      <c r="F140" s="9" t="s">
        <v>379</v>
      </c>
      <c r="G140" s="9">
        <v>500</v>
      </c>
      <c r="H140" s="9" t="s">
        <v>81</v>
      </c>
      <c r="I140" s="9" t="s">
        <v>458</v>
      </c>
      <c r="J140" s="9" t="s">
        <v>57</v>
      </c>
      <c r="K140" s="18">
        <v>0.54100000000000004</v>
      </c>
      <c r="L140" s="18">
        <v>0.54100000000000004</v>
      </c>
      <c r="M140" s="18">
        <v>0.54100000000000004</v>
      </c>
      <c r="N140" s="18">
        <v>0.54100000000000004</v>
      </c>
      <c r="O140" s="18">
        <v>0.54100000000000004</v>
      </c>
      <c r="P140" s="18">
        <v>0.54100000000000004</v>
      </c>
      <c r="Q140" s="18">
        <v>0.54100000000000004</v>
      </c>
      <c r="R140" s="18">
        <v>0.54100000000000004</v>
      </c>
      <c r="S140" s="18">
        <v>0.54100000000000004</v>
      </c>
      <c r="T140" s="18">
        <v>0.54100000000000004</v>
      </c>
      <c r="U140" s="18">
        <v>0.54100000000000004</v>
      </c>
      <c r="W140" s="137">
        <f>500000</f>
        <v>500000</v>
      </c>
      <c r="X140" s="5" t="s">
        <v>372</v>
      </c>
    </row>
    <row r="141" spans="4:25" x14ac:dyDescent="0.25">
      <c r="D141" s="9" t="s">
        <v>26</v>
      </c>
      <c r="E141" s="9" t="s">
        <v>349</v>
      </c>
      <c r="F141" s="9" t="s">
        <v>379</v>
      </c>
      <c r="G141" s="9">
        <v>500</v>
      </c>
      <c r="H141" s="9" t="s">
        <v>81</v>
      </c>
      <c r="I141" s="9" t="s">
        <v>29</v>
      </c>
      <c r="J141" s="9" t="s">
        <v>57</v>
      </c>
      <c r="K141" s="18">
        <v>8.9999999999999993E-3</v>
      </c>
      <c r="L141" s="18">
        <v>0</v>
      </c>
      <c r="M141" s="18">
        <v>0</v>
      </c>
      <c r="N141" s="18">
        <v>0</v>
      </c>
      <c r="O141" s="18">
        <v>0</v>
      </c>
      <c r="P141" s="18">
        <v>0</v>
      </c>
      <c r="Q141" s="18">
        <v>0</v>
      </c>
      <c r="R141" s="18">
        <v>0</v>
      </c>
      <c r="S141" s="18">
        <v>0</v>
      </c>
      <c r="T141" s="18">
        <v>0</v>
      </c>
      <c r="U141" s="18">
        <v>0</v>
      </c>
    </row>
    <row r="142" spans="4:25" x14ac:dyDescent="0.25">
      <c r="D142" s="9" t="s">
        <v>26</v>
      </c>
      <c r="E142" s="9" t="s">
        <v>349</v>
      </c>
      <c r="F142" s="9" t="s">
        <v>379</v>
      </c>
      <c r="G142" s="9">
        <v>500</v>
      </c>
      <c r="H142" s="9" t="s">
        <v>81</v>
      </c>
      <c r="I142" s="9" t="s">
        <v>16</v>
      </c>
      <c r="J142" s="9" t="s">
        <v>57</v>
      </c>
      <c r="K142" s="18">
        <v>5.8799999999999998E-3</v>
      </c>
      <c r="L142" s="18">
        <v>5.8799999999999998E-3</v>
      </c>
      <c r="M142" s="18">
        <v>5.8799999999999998E-3</v>
      </c>
      <c r="N142" s="18">
        <v>5.8799999999999998E-3</v>
      </c>
      <c r="O142" s="18">
        <v>5.8799999999999998E-3</v>
      </c>
      <c r="P142" s="18">
        <v>5.8799999999999998E-3</v>
      </c>
      <c r="Q142" s="18">
        <v>5.8799999999999998E-3</v>
      </c>
      <c r="R142" s="18">
        <v>5.8799999999999998E-3</v>
      </c>
      <c r="S142" s="18">
        <v>5.8799999999999998E-3</v>
      </c>
      <c r="T142" s="18">
        <v>5.8799999999999998E-3</v>
      </c>
      <c r="U142" s="18">
        <v>5.8799999999999998E-3</v>
      </c>
      <c r="W142" s="137">
        <f>W140*W139</f>
        <v>20455399.999999996</v>
      </c>
    </row>
    <row r="143" spans="4:25" x14ac:dyDescent="0.25">
      <c r="D143" s="9" t="s">
        <v>26</v>
      </c>
      <c r="E143" s="9" t="s">
        <v>349</v>
      </c>
      <c r="F143" s="9" t="s">
        <v>379</v>
      </c>
      <c r="G143" s="9">
        <v>500</v>
      </c>
      <c r="H143" s="9" t="s">
        <v>81</v>
      </c>
      <c r="I143" s="9" t="s">
        <v>13</v>
      </c>
      <c r="J143" s="9" t="s">
        <v>61</v>
      </c>
      <c r="K143" s="18">
        <v>0.21999999999999997</v>
      </c>
      <c r="L143" s="18">
        <v>0.21999999999999997</v>
      </c>
      <c r="M143" s="18">
        <v>0.21999999999999997</v>
      </c>
      <c r="N143" s="18">
        <v>0.21999999999999997</v>
      </c>
      <c r="O143" s="18">
        <v>0.21999999999999997</v>
      </c>
      <c r="P143" s="18">
        <v>0.21999999999999997</v>
      </c>
      <c r="Q143" s="18">
        <v>0.21999999999999997</v>
      </c>
      <c r="R143" s="18">
        <v>0.21999999999999997</v>
      </c>
      <c r="S143" s="18">
        <v>0.21999999999999997</v>
      </c>
      <c r="T143" s="18">
        <v>0.21999999999999997</v>
      </c>
      <c r="U143" s="18">
        <v>0.21999999999999997</v>
      </c>
    </row>
    <row r="144" spans="4:25" x14ac:dyDescent="0.25">
      <c r="D144" s="9" t="s">
        <v>26</v>
      </c>
      <c r="E144" s="9" t="s">
        <v>349</v>
      </c>
      <c r="F144" s="9" t="s">
        <v>379</v>
      </c>
      <c r="G144" s="9">
        <v>500</v>
      </c>
      <c r="H144" s="9" t="s">
        <v>81</v>
      </c>
      <c r="I144" s="9" t="s">
        <v>15</v>
      </c>
      <c r="J144" s="9" t="s">
        <v>65</v>
      </c>
      <c r="K144" s="18">
        <v>40</v>
      </c>
      <c r="L144" s="18">
        <v>40</v>
      </c>
      <c r="M144" s="18">
        <v>40</v>
      </c>
      <c r="N144" s="18">
        <v>40</v>
      </c>
      <c r="O144" s="18">
        <v>40</v>
      </c>
      <c r="P144" s="18">
        <v>40</v>
      </c>
      <c r="Q144" s="18">
        <v>40</v>
      </c>
      <c r="R144" s="18">
        <v>40</v>
      </c>
      <c r="S144" s="18">
        <v>40</v>
      </c>
      <c r="T144" s="18">
        <v>40</v>
      </c>
      <c r="U144" s="18">
        <v>40</v>
      </c>
      <c r="W144" s="137">
        <f>W142*5</f>
        <v>102276999.99999999</v>
      </c>
    </row>
    <row r="145" spans="4:23" x14ac:dyDescent="0.25">
      <c r="D145" s="9" t="s">
        <v>26</v>
      </c>
      <c r="E145" s="9" t="s">
        <v>349</v>
      </c>
      <c r="F145" s="9" t="s">
        <v>379</v>
      </c>
      <c r="G145" s="9">
        <v>500</v>
      </c>
      <c r="H145" s="9" t="s">
        <v>81</v>
      </c>
      <c r="I145" s="9" t="s">
        <v>338</v>
      </c>
      <c r="J145" s="9" t="s">
        <v>339</v>
      </c>
      <c r="K145" s="18">
        <v>1</v>
      </c>
      <c r="L145" s="18">
        <v>1</v>
      </c>
      <c r="M145" s="18">
        <v>1</v>
      </c>
      <c r="N145" s="18">
        <v>1</v>
      </c>
      <c r="O145" s="18">
        <v>1</v>
      </c>
      <c r="P145" s="18">
        <v>1</v>
      </c>
      <c r="Q145" s="18">
        <v>1</v>
      </c>
      <c r="R145" s="18">
        <v>1</v>
      </c>
      <c r="S145" s="18">
        <v>1</v>
      </c>
      <c r="T145" s="18">
        <v>1</v>
      </c>
      <c r="U145" s="18">
        <v>1</v>
      </c>
    </row>
    <row r="146" spans="4:23" x14ac:dyDescent="0.25">
      <c r="D146" s="9" t="s">
        <v>26</v>
      </c>
      <c r="E146" s="9" t="s">
        <v>349</v>
      </c>
      <c r="F146" s="9" t="s">
        <v>379</v>
      </c>
      <c r="G146" s="9">
        <v>500</v>
      </c>
      <c r="H146" s="9" t="s">
        <v>81</v>
      </c>
      <c r="I146" s="9" t="s">
        <v>340</v>
      </c>
      <c r="J146" s="9" t="s">
        <v>339</v>
      </c>
      <c r="K146" s="18">
        <v>3</v>
      </c>
      <c r="L146" s="18">
        <v>3</v>
      </c>
      <c r="M146" s="18">
        <v>3</v>
      </c>
      <c r="N146" s="18">
        <v>3</v>
      </c>
      <c r="O146" s="18">
        <v>3</v>
      </c>
      <c r="P146" s="18">
        <v>3</v>
      </c>
      <c r="Q146" s="18">
        <v>3</v>
      </c>
      <c r="R146" s="18">
        <v>3</v>
      </c>
      <c r="S146" s="18">
        <v>3</v>
      </c>
      <c r="T146" s="18">
        <v>3</v>
      </c>
      <c r="U146" s="18">
        <v>3</v>
      </c>
    </row>
    <row r="147" spans="4:23" x14ac:dyDescent="0.25">
      <c r="D147" s="9" t="s">
        <v>26</v>
      </c>
      <c r="E147" s="9" t="s">
        <v>349</v>
      </c>
      <c r="F147" s="9" t="s">
        <v>379</v>
      </c>
      <c r="G147" s="9">
        <v>500</v>
      </c>
      <c r="H147" s="9" t="s">
        <v>81</v>
      </c>
      <c r="I147" s="9" t="s">
        <v>32</v>
      </c>
      <c r="J147" s="9" t="s">
        <v>57</v>
      </c>
      <c r="K147" s="18">
        <v>2.5000000000000001E-2</v>
      </c>
      <c r="L147" s="18">
        <v>2.5000000000000001E-2</v>
      </c>
      <c r="M147" s="18">
        <v>2.5000000000000001E-2</v>
      </c>
      <c r="N147" s="18">
        <v>2.5000000000000001E-2</v>
      </c>
      <c r="O147" s="18">
        <v>2.5000000000000001E-2</v>
      </c>
      <c r="P147" s="18">
        <v>2.5000000000000001E-2</v>
      </c>
      <c r="Q147" s="18">
        <v>2.5000000000000001E-2</v>
      </c>
      <c r="R147" s="18">
        <v>2.5000000000000001E-2</v>
      </c>
      <c r="S147" s="18">
        <v>2.5000000000000001E-2</v>
      </c>
      <c r="T147" s="18">
        <v>2.5000000000000001E-2</v>
      </c>
      <c r="U147" s="18">
        <v>2.5000000000000001E-2</v>
      </c>
    </row>
    <row r="148" spans="4:23" x14ac:dyDescent="0.25">
      <c r="D148" s="9" t="s">
        <v>26</v>
      </c>
      <c r="E148" s="9" t="s">
        <v>349</v>
      </c>
      <c r="F148" s="9" t="s">
        <v>379</v>
      </c>
      <c r="G148" s="9">
        <v>500</v>
      </c>
      <c r="H148" s="9" t="s">
        <v>81</v>
      </c>
      <c r="I148" s="9" t="s">
        <v>31</v>
      </c>
      <c r="J148" s="9" t="s">
        <v>57</v>
      </c>
      <c r="K148" s="18">
        <v>3.5000000000000003E-2</v>
      </c>
      <c r="L148" s="18">
        <v>3.5000000000000003E-2</v>
      </c>
      <c r="M148" s="18">
        <v>3.5000000000000003E-2</v>
      </c>
      <c r="N148" s="18">
        <v>3.5000000000000003E-2</v>
      </c>
      <c r="O148" s="18">
        <v>3.5000000000000003E-2</v>
      </c>
      <c r="P148" s="18">
        <v>3.5000000000000003E-2</v>
      </c>
      <c r="Q148" s="18">
        <v>3.5000000000000003E-2</v>
      </c>
      <c r="R148" s="18">
        <v>3.5000000000000003E-2</v>
      </c>
      <c r="S148" s="18">
        <v>3.5000000000000003E-2</v>
      </c>
      <c r="T148" s="18">
        <v>3.5000000000000003E-2</v>
      </c>
      <c r="U148" s="18">
        <v>3.5000000000000003E-2</v>
      </c>
      <c r="W148" s="5">
        <f>200.18*500000</f>
        <v>100090000</v>
      </c>
    </row>
    <row r="149" spans="4:23" x14ac:dyDescent="0.25">
      <c r="D149" s="9" t="s">
        <v>26</v>
      </c>
      <c r="E149" s="9" t="s">
        <v>349</v>
      </c>
      <c r="F149" s="9" t="s">
        <v>379</v>
      </c>
      <c r="G149" s="9">
        <v>500</v>
      </c>
      <c r="H149" s="9" t="s">
        <v>81</v>
      </c>
      <c r="I149" s="9" t="s">
        <v>341</v>
      </c>
      <c r="J149" s="9" t="s">
        <v>132</v>
      </c>
      <c r="K149" s="18">
        <v>2.5</v>
      </c>
      <c r="L149" s="18">
        <v>2.5</v>
      </c>
      <c r="M149" s="18">
        <v>2.5</v>
      </c>
      <c r="N149" s="18">
        <v>2.5</v>
      </c>
      <c r="O149" s="18">
        <v>2.5</v>
      </c>
      <c r="P149" s="18">
        <v>2.5</v>
      </c>
      <c r="Q149" s="18">
        <v>2.5</v>
      </c>
      <c r="R149" s="18">
        <v>2.5</v>
      </c>
      <c r="S149" s="18">
        <v>2.5</v>
      </c>
      <c r="T149" s="18">
        <v>2.5</v>
      </c>
      <c r="U149" s="18">
        <v>2.5</v>
      </c>
    </row>
    <row r="150" spans="4:23" x14ac:dyDescent="0.25">
      <c r="D150" s="9" t="s">
        <v>26</v>
      </c>
      <c r="E150" s="9" t="s">
        <v>349</v>
      </c>
      <c r="F150" s="9" t="s">
        <v>379</v>
      </c>
      <c r="G150" s="9">
        <v>500</v>
      </c>
      <c r="H150" s="9" t="s">
        <v>81</v>
      </c>
      <c r="I150" s="9" t="s">
        <v>342</v>
      </c>
      <c r="J150" s="9" t="s">
        <v>343</v>
      </c>
      <c r="K150" s="18">
        <v>50</v>
      </c>
      <c r="L150" s="18">
        <v>50</v>
      </c>
      <c r="M150" s="18">
        <v>50</v>
      </c>
      <c r="N150" s="18">
        <v>50</v>
      </c>
      <c r="O150" s="18">
        <v>50</v>
      </c>
      <c r="P150" s="18">
        <v>50</v>
      </c>
      <c r="Q150" s="18">
        <v>50</v>
      </c>
      <c r="R150" s="18">
        <v>50</v>
      </c>
      <c r="S150" s="18">
        <v>50</v>
      </c>
      <c r="T150" s="18">
        <v>50</v>
      </c>
      <c r="U150" s="18">
        <v>50</v>
      </c>
    </row>
    <row r="151" spans="4:23" x14ac:dyDescent="0.25">
      <c r="D151" s="9" t="s">
        <v>26</v>
      </c>
      <c r="E151" s="9" t="s">
        <v>349</v>
      </c>
      <c r="F151" s="9" t="s">
        <v>379</v>
      </c>
      <c r="G151" s="9">
        <v>500</v>
      </c>
      <c r="H151" s="9" t="s">
        <v>83</v>
      </c>
      <c r="I151" s="9" t="s">
        <v>345</v>
      </c>
      <c r="J151" s="9" t="s">
        <v>57</v>
      </c>
      <c r="K151" s="18">
        <v>0.187</v>
      </c>
      <c r="L151" s="18">
        <v>0.187</v>
      </c>
      <c r="M151" s="18">
        <v>0.187</v>
      </c>
      <c r="N151" s="18">
        <v>0.187</v>
      </c>
      <c r="O151" s="18">
        <v>0.187</v>
      </c>
      <c r="P151" s="18">
        <v>0.187</v>
      </c>
      <c r="Q151" s="18">
        <v>0.187</v>
      </c>
      <c r="R151" s="18">
        <v>0.187</v>
      </c>
      <c r="S151" s="18">
        <v>0.187</v>
      </c>
      <c r="T151" s="18">
        <v>0.187</v>
      </c>
      <c r="U151" s="18">
        <v>0.187</v>
      </c>
    </row>
    <row r="152" spans="4:23" x14ac:dyDescent="0.25">
      <c r="D152" s="9" t="s">
        <v>26</v>
      </c>
      <c r="E152" s="9" t="s">
        <v>349</v>
      </c>
      <c r="F152" s="9" t="s">
        <v>379</v>
      </c>
      <c r="G152" s="9">
        <v>500</v>
      </c>
      <c r="H152" s="9" t="s">
        <v>83</v>
      </c>
      <c r="I152" s="9" t="s">
        <v>458</v>
      </c>
      <c r="J152" s="9" t="s">
        <v>57</v>
      </c>
      <c r="K152" s="18">
        <v>0.19400000000000001</v>
      </c>
      <c r="L152" s="18">
        <v>0.19400000000000001</v>
      </c>
      <c r="M152" s="18">
        <v>0.19400000000000001</v>
      </c>
      <c r="N152" s="18">
        <v>0.19400000000000001</v>
      </c>
      <c r="O152" s="18">
        <v>0.19400000000000001</v>
      </c>
      <c r="P152" s="18">
        <v>0.19400000000000001</v>
      </c>
      <c r="Q152" s="18">
        <v>0.19400000000000001</v>
      </c>
      <c r="R152" s="18">
        <v>0.19400000000000001</v>
      </c>
      <c r="S152" s="18">
        <v>0.19400000000000001</v>
      </c>
      <c r="T152" s="18">
        <v>0.19400000000000001</v>
      </c>
      <c r="U152" s="18">
        <v>0.19400000000000001</v>
      </c>
    </row>
    <row r="153" spans="4:23" x14ac:dyDescent="0.25">
      <c r="D153" s="9" t="s">
        <v>26</v>
      </c>
      <c r="E153" s="9" t="s">
        <v>349</v>
      </c>
      <c r="F153" s="9" t="s">
        <v>379</v>
      </c>
      <c r="G153" s="9">
        <v>500</v>
      </c>
      <c r="H153" s="9" t="s">
        <v>83</v>
      </c>
      <c r="I153" s="9" t="s">
        <v>29</v>
      </c>
      <c r="J153" s="9" t="s">
        <v>57</v>
      </c>
      <c r="K153" s="18">
        <v>0.30599999999999999</v>
      </c>
      <c r="L153" s="18">
        <v>0</v>
      </c>
      <c r="M153" s="18">
        <v>0</v>
      </c>
      <c r="N153" s="18">
        <v>0</v>
      </c>
      <c r="O153" s="18">
        <v>0</v>
      </c>
      <c r="P153" s="18">
        <v>0</v>
      </c>
      <c r="Q153" s="18">
        <v>0</v>
      </c>
      <c r="R153" s="18">
        <v>0</v>
      </c>
      <c r="S153" s="18">
        <v>0</v>
      </c>
      <c r="T153" s="18">
        <v>0</v>
      </c>
      <c r="U153" s="18">
        <v>0</v>
      </c>
    </row>
    <row r="154" spans="4:23" x14ac:dyDescent="0.25">
      <c r="D154" s="9" t="s">
        <v>26</v>
      </c>
      <c r="E154" s="9" t="s">
        <v>349</v>
      </c>
      <c r="F154" s="9" t="s">
        <v>379</v>
      </c>
      <c r="G154" s="9">
        <v>500</v>
      </c>
      <c r="H154" s="9" t="s">
        <v>83</v>
      </c>
      <c r="I154" s="9" t="s">
        <v>16</v>
      </c>
      <c r="J154" s="9" t="s">
        <v>57</v>
      </c>
      <c r="K154" s="18">
        <v>1.0137E-2</v>
      </c>
      <c r="L154" s="18">
        <v>1.0137E-2</v>
      </c>
      <c r="M154" s="18">
        <v>1.0137E-2</v>
      </c>
      <c r="N154" s="18">
        <v>1.0137E-2</v>
      </c>
      <c r="O154" s="18">
        <v>1.0137E-2</v>
      </c>
      <c r="P154" s="18">
        <v>1.0137E-2</v>
      </c>
      <c r="Q154" s="18">
        <v>1.0137E-2</v>
      </c>
      <c r="R154" s="18">
        <v>1.0137E-2</v>
      </c>
      <c r="S154" s="18">
        <v>1.0137E-2</v>
      </c>
      <c r="T154" s="18">
        <v>1.0137E-2</v>
      </c>
      <c r="U154" s="18">
        <v>1.0137E-2</v>
      </c>
    </row>
    <row r="155" spans="4:23" x14ac:dyDescent="0.25">
      <c r="D155" s="9" t="s">
        <v>26</v>
      </c>
      <c r="E155" s="9" t="s">
        <v>349</v>
      </c>
      <c r="F155" s="9" t="s">
        <v>379</v>
      </c>
      <c r="G155" s="9">
        <v>500</v>
      </c>
      <c r="H155" s="9" t="s">
        <v>83</v>
      </c>
      <c r="I155" s="9" t="s">
        <v>13</v>
      </c>
      <c r="J155" s="9" t="s">
        <v>61</v>
      </c>
      <c r="K155" s="18">
        <v>0.2</v>
      </c>
      <c r="L155" s="18">
        <v>0.2</v>
      </c>
      <c r="M155" s="18">
        <v>0.2</v>
      </c>
      <c r="N155" s="18">
        <v>0.2</v>
      </c>
      <c r="O155" s="18">
        <v>0.2</v>
      </c>
      <c r="P155" s="18">
        <v>0.2</v>
      </c>
      <c r="Q155" s="18">
        <v>0.2</v>
      </c>
      <c r="R155" s="18">
        <v>0.2</v>
      </c>
      <c r="S155" s="18">
        <v>0.2</v>
      </c>
      <c r="T155" s="18">
        <v>0.2</v>
      </c>
      <c r="U155" s="18">
        <v>0.2</v>
      </c>
    </row>
    <row r="156" spans="4:23" x14ac:dyDescent="0.25">
      <c r="D156" s="9" t="s">
        <v>26</v>
      </c>
      <c r="E156" s="9" t="s">
        <v>349</v>
      </c>
      <c r="F156" s="9" t="s">
        <v>379</v>
      </c>
      <c r="G156" s="9">
        <v>500</v>
      </c>
      <c r="H156" s="9" t="s">
        <v>83</v>
      </c>
      <c r="I156" s="9" t="s">
        <v>15</v>
      </c>
      <c r="J156" s="9" t="s">
        <v>65</v>
      </c>
      <c r="K156" s="18">
        <v>40</v>
      </c>
      <c r="L156" s="18">
        <v>40</v>
      </c>
      <c r="M156" s="18">
        <v>40</v>
      </c>
      <c r="N156" s="18">
        <v>40</v>
      </c>
      <c r="O156" s="18">
        <v>40</v>
      </c>
      <c r="P156" s="18">
        <v>40</v>
      </c>
      <c r="Q156" s="18">
        <v>40</v>
      </c>
      <c r="R156" s="18">
        <v>40</v>
      </c>
      <c r="S156" s="18">
        <v>40</v>
      </c>
      <c r="T156" s="18">
        <v>40</v>
      </c>
      <c r="U156" s="18">
        <v>40</v>
      </c>
    </row>
    <row r="157" spans="4:23" x14ac:dyDescent="0.25">
      <c r="D157" s="9" t="s">
        <v>26</v>
      </c>
      <c r="E157" s="9" t="s">
        <v>349</v>
      </c>
      <c r="F157" s="9" t="s">
        <v>379</v>
      </c>
      <c r="G157" s="9">
        <v>500</v>
      </c>
      <c r="H157" s="9" t="s">
        <v>83</v>
      </c>
      <c r="I157" s="9" t="s">
        <v>338</v>
      </c>
      <c r="J157" s="9" t="s">
        <v>339</v>
      </c>
      <c r="K157" s="18">
        <v>1</v>
      </c>
      <c r="L157" s="18">
        <v>1</v>
      </c>
      <c r="M157" s="18">
        <v>1</v>
      </c>
      <c r="N157" s="18">
        <v>1</v>
      </c>
      <c r="O157" s="18">
        <v>1</v>
      </c>
      <c r="P157" s="18">
        <v>1</v>
      </c>
      <c r="Q157" s="18">
        <v>1</v>
      </c>
      <c r="R157" s="18">
        <v>1</v>
      </c>
      <c r="S157" s="18">
        <v>1</v>
      </c>
      <c r="T157" s="18">
        <v>1</v>
      </c>
      <c r="U157" s="18">
        <v>1</v>
      </c>
    </row>
    <row r="158" spans="4:23" x14ac:dyDescent="0.25">
      <c r="D158" s="9" t="s">
        <v>26</v>
      </c>
      <c r="E158" s="9" t="s">
        <v>349</v>
      </c>
      <c r="F158" s="9" t="s">
        <v>379</v>
      </c>
      <c r="G158" s="9">
        <v>500</v>
      </c>
      <c r="H158" s="9" t="s">
        <v>83</v>
      </c>
      <c r="I158" s="9" t="s">
        <v>340</v>
      </c>
      <c r="J158" s="9" t="s">
        <v>339</v>
      </c>
      <c r="K158" s="18">
        <v>3</v>
      </c>
      <c r="L158" s="18">
        <v>3</v>
      </c>
      <c r="M158" s="18">
        <v>3</v>
      </c>
      <c r="N158" s="18">
        <v>3</v>
      </c>
      <c r="O158" s="18">
        <v>3</v>
      </c>
      <c r="P158" s="18">
        <v>3</v>
      </c>
      <c r="Q158" s="18">
        <v>3</v>
      </c>
      <c r="R158" s="18">
        <v>3</v>
      </c>
      <c r="S158" s="18">
        <v>3</v>
      </c>
      <c r="T158" s="18">
        <v>3</v>
      </c>
      <c r="U158" s="18">
        <v>3</v>
      </c>
    </row>
    <row r="159" spans="4:23" x14ac:dyDescent="0.25">
      <c r="D159" s="9" t="s">
        <v>26</v>
      </c>
      <c r="E159" s="9" t="s">
        <v>349</v>
      </c>
      <c r="F159" s="9" t="s">
        <v>379</v>
      </c>
      <c r="G159" s="9">
        <v>500</v>
      </c>
      <c r="H159" s="9" t="s">
        <v>83</v>
      </c>
      <c r="I159" s="9" t="s">
        <v>32</v>
      </c>
      <c r="J159" s="9" t="s">
        <v>57</v>
      </c>
      <c r="K159" s="18">
        <v>2.5000000000000001E-2</v>
      </c>
      <c r="L159" s="18">
        <v>2.5000000000000001E-2</v>
      </c>
      <c r="M159" s="18">
        <v>2.5000000000000001E-2</v>
      </c>
      <c r="N159" s="18">
        <v>2.5000000000000001E-2</v>
      </c>
      <c r="O159" s="18">
        <v>2.5000000000000001E-2</v>
      </c>
      <c r="P159" s="18">
        <v>2.5000000000000001E-2</v>
      </c>
      <c r="Q159" s="18">
        <v>2.5000000000000001E-2</v>
      </c>
      <c r="R159" s="18">
        <v>2.5000000000000001E-2</v>
      </c>
      <c r="S159" s="18">
        <v>2.5000000000000001E-2</v>
      </c>
      <c r="T159" s="18">
        <v>2.5000000000000001E-2</v>
      </c>
      <c r="U159" s="18">
        <v>2.5000000000000001E-2</v>
      </c>
    </row>
    <row r="160" spans="4:23" x14ac:dyDescent="0.25">
      <c r="D160" s="9" t="s">
        <v>26</v>
      </c>
      <c r="E160" s="9" t="s">
        <v>349</v>
      </c>
      <c r="F160" s="9" t="s">
        <v>379</v>
      </c>
      <c r="G160" s="9">
        <v>500</v>
      </c>
      <c r="H160" s="9" t="s">
        <v>83</v>
      </c>
      <c r="I160" s="9" t="s">
        <v>31</v>
      </c>
      <c r="J160" s="9" t="s">
        <v>57</v>
      </c>
      <c r="K160" s="18">
        <v>3.5000000000000003E-2</v>
      </c>
      <c r="L160" s="18">
        <v>3.5000000000000003E-2</v>
      </c>
      <c r="M160" s="18">
        <v>3.5000000000000003E-2</v>
      </c>
      <c r="N160" s="18">
        <v>3.5000000000000003E-2</v>
      </c>
      <c r="O160" s="18">
        <v>3.5000000000000003E-2</v>
      </c>
      <c r="P160" s="18">
        <v>3.5000000000000003E-2</v>
      </c>
      <c r="Q160" s="18">
        <v>3.5000000000000003E-2</v>
      </c>
      <c r="R160" s="18">
        <v>3.5000000000000003E-2</v>
      </c>
      <c r="S160" s="18">
        <v>3.5000000000000003E-2</v>
      </c>
      <c r="T160" s="18">
        <v>3.5000000000000003E-2</v>
      </c>
      <c r="U160" s="18">
        <v>3.5000000000000003E-2</v>
      </c>
    </row>
    <row r="161" spans="4:21" x14ac:dyDescent="0.25">
      <c r="D161" s="9" t="s">
        <v>26</v>
      </c>
      <c r="E161" s="9" t="s">
        <v>349</v>
      </c>
      <c r="F161" s="9" t="s">
        <v>379</v>
      </c>
      <c r="G161" s="9">
        <v>500</v>
      </c>
      <c r="H161" s="9" t="s">
        <v>83</v>
      </c>
      <c r="I161" s="9" t="s">
        <v>330</v>
      </c>
      <c r="J161" s="9" t="s">
        <v>57</v>
      </c>
      <c r="K161" s="18">
        <v>0.255</v>
      </c>
      <c r="L161" s="18">
        <v>0.255</v>
      </c>
      <c r="M161" s="18">
        <v>0.255</v>
      </c>
      <c r="N161" s="18">
        <v>0.255</v>
      </c>
      <c r="O161" s="18">
        <v>0.255</v>
      </c>
      <c r="P161" s="18">
        <v>0.255</v>
      </c>
      <c r="Q161" s="18">
        <v>0.255</v>
      </c>
      <c r="R161" s="18">
        <v>0.255</v>
      </c>
      <c r="S161" s="18">
        <v>0.255</v>
      </c>
      <c r="T161" s="18">
        <v>0.255</v>
      </c>
      <c r="U161" s="18">
        <v>0.255</v>
      </c>
    </row>
    <row r="162" spans="4:21" x14ac:dyDescent="0.25">
      <c r="D162" s="9" t="s">
        <v>26</v>
      </c>
      <c r="E162" s="9" t="s">
        <v>349</v>
      </c>
      <c r="F162" s="9" t="s">
        <v>379</v>
      </c>
      <c r="G162" s="9">
        <v>500</v>
      </c>
      <c r="H162" s="9" t="s">
        <v>83</v>
      </c>
      <c r="I162" s="9" t="s">
        <v>341</v>
      </c>
      <c r="J162" s="9" t="s">
        <v>132</v>
      </c>
      <c r="K162" s="18">
        <v>2.5</v>
      </c>
      <c r="L162" s="18">
        <v>2.5</v>
      </c>
      <c r="M162" s="18">
        <v>2.5</v>
      </c>
      <c r="N162" s="18">
        <v>2.5</v>
      </c>
      <c r="O162" s="18">
        <v>2.5</v>
      </c>
      <c r="P162" s="18">
        <v>2.5</v>
      </c>
      <c r="Q162" s="18">
        <v>2.5</v>
      </c>
      <c r="R162" s="18">
        <v>2.5</v>
      </c>
      <c r="S162" s="18">
        <v>2.5</v>
      </c>
      <c r="T162" s="18">
        <v>2.5</v>
      </c>
      <c r="U162" s="18">
        <v>2.5</v>
      </c>
    </row>
    <row r="163" spans="4:21" x14ac:dyDescent="0.25">
      <c r="D163" s="9" t="s">
        <v>26</v>
      </c>
      <c r="E163" s="9" t="s">
        <v>349</v>
      </c>
      <c r="F163" s="9" t="s">
        <v>379</v>
      </c>
      <c r="G163" s="9">
        <v>500</v>
      </c>
      <c r="H163" s="9" t="s">
        <v>83</v>
      </c>
      <c r="I163" s="9" t="s">
        <v>342</v>
      </c>
      <c r="J163" s="9" t="s">
        <v>343</v>
      </c>
      <c r="K163" s="18">
        <v>50</v>
      </c>
      <c r="L163" s="18">
        <v>50</v>
      </c>
      <c r="M163" s="18">
        <v>50</v>
      </c>
      <c r="N163" s="18">
        <v>50</v>
      </c>
      <c r="O163" s="18">
        <v>50</v>
      </c>
      <c r="P163" s="18">
        <v>50</v>
      </c>
      <c r="Q163" s="18">
        <v>50</v>
      </c>
      <c r="R163" s="18">
        <v>50</v>
      </c>
      <c r="S163" s="18">
        <v>50</v>
      </c>
      <c r="T163" s="18">
        <v>50</v>
      </c>
      <c r="U163" s="18">
        <v>50</v>
      </c>
    </row>
    <row r="164" spans="4:21" x14ac:dyDescent="0.25">
      <c r="D164" s="9" t="s">
        <v>26</v>
      </c>
      <c r="E164" s="9" t="s">
        <v>349</v>
      </c>
      <c r="F164" s="9" t="s">
        <v>379</v>
      </c>
      <c r="G164" s="9">
        <v>500</v>
      </c>
      <c r="H164" s="9" t="s">
        <v>242</v>
      </c>
      <c r="I164" s="9" t="s">
        <v>345</v>
      </c>
      <c r="J164" s="9" t="s">
        <v>57</v>
      </c>
      <c r="K164" s="18">
        <v>0.18099999999999999</v>
      </c>
      <c r="L164" s="18">
        <v>0.18099999999999999</v>
      </c>
      <c r="M164" s="18">
        <v>0.18099999999999999</v>
      </c>
      <c r="N164" s="18">
        <v>0.18099999999999999</v>
      </c>
      <c r="O164" s="18">
        <v>0.18099999999999999</v>
      </c>
      <c r="P164" s="18">
        <v>0.18099999999999999</v>
      </c>
      <c r="Q164" s="18">
        <v>0.18099999999999999</v>
      </c>
      <c r="R164" s="18">
        <v>0.18099999999999999</v>
      </c>
      <c r="S164" s="18">
        <v>0.18099999999999999</v>
      </c>
      <c r="T164" s="18">
        <v>0.18099999999999999</v>
      </c>
      <c r="U164" s="18">
        <v>0.18099999999999999</v>
      </c>
    </row>
    <row r="165" spans="4:21" x14ac:dyDescent="0.25">
      <c r="D165" s="9" t="s">
        <v>26</v>
      </c>
      <c r="E165" s="9" t="s">
        <v>349</v>
      </c>
      <c r="F165" s="9" t="s">
        <v>379</v>
      </c>
      <c r="G165" s="9">
        <v>500</v>
      </c>
      <c r="H165" s="9" t="s">
        <v>242</v>
      </c>
      <c r="I165" s="9" t="s">
        <v>458</v>
      </c>
      <c r="J165" s="9" t="s">
        <v>57</v>
      </c>
      <c r="K165" s="18">
        <v>0.46899999999999997</v>
      </c>
      <c r="L165" s="18">
        <v>0.46899999999999997</v>
      </c>
      <c r="M165" s="18">
        <v>0.46899999999999997</v>
      </c>
      <c r="N165" s="18">
        <v>0.46899999999999997</v>
      </c>
      <c r="O165" s="18">
        <v>0.46899999999999997</v>
      </c>
      <c r="P165" s="18">
        <v>0.46899999999999997</v>
      </c>
      <c r="Q165" s="18">
        <v>0.46899999999999997</v>
      </c>
      <c r="R165" s="18">
        <v>0.46899999999999997</v>
      </c>
      <c r="S165" s="18">
        <v>0.46899999999999997</v>
      </c>
      <c r="T165" s="18">
        <v>0.46899999999999997</v>
      </c>
      <c r="U165" s="18">
        <v>0.46899999999999997</v>
      </c>
    </row>
    <row r="166" spans="4:21" x14ac:dyDescent="0.25">
      <c r="D166" s="9" t="s">
        <v>26</v>
      </c>
      <c r="E166" s="9" t="s">
        <v>349</v>
      </c>
      <c r="F166" s="9" t="s">
        <v>379</v>
      </c>
      <c r="G166" s="9">
        <v>500</v>
      </c>
      <c r="H166" s="9" t="s">
        <v>242</v>
      </c>
      <c r="I166" s="9" t="s">
        <v>29</v>
      </c>
      <c r="J166" s="9" t="s">
        <v>57</v>
      </c>
      <c r="K166" s="18">
        <v>0.28999999999999998</v>
      </c>
      <c r="L166" s="18">
        <v>0</v>
      </c>
      <c r="M166" s="18">
        <v>0</v>
      </c>
      <c r="N166" s="18">
        <v>0</v>
      </c>
      <c r="O166" s="18">
        <v>0</v>
      </c>
      <c r="P166" s="18">
        <v>0</v>
      </c>
      <c r="Q166" s="18">
        <v>0</v>
      </c>
      <c r="R166" s="18">
        <v>0</v>
      </c>
      <c r="S166" s="18">
        <v>0</v>
      </c>
      <c r="T166" s="18">
        <v>0</v>
      </c>
      <c r="U166" s="18">
        <v>0</v>
      </c>
    </row>
    <row r="167" spans="4:21" x14ac:dyDescent="0.25">
      <c r="D167" s="9" t="s">
        <v>26</v>
      </c>
      <c r="E167" s="9" t="s">
        <v>349</v>
      </c>
      <c r="F167" s="9" t="s">
        <v>379</v>
      </c>
      <c r="G167" s="9">
        <v>500</v>
      </c>
      <c r="H167" s="9" t="s">
        <v>242</v>
      </c>
      <c r="I167" s="9" t="s">
        <v>16</v>
      </c>
      <c r="J167" s="9" t="s">
        <v>57</v>
      </c>
      <c r="K167" s="18">
        <v>4.5269999999999998E-3</v>
      </c>
      <c r="L167" s="18">
        <v>4.5269999999999998E-3</v>
      </c>
      <c r="M167" s="18">
        <v>4.5269999999999998E-3</v>
      </c>
      <c r="N167" s="18">
        <v>4.5269999999999998E-3</v>
      </c>
      <c r="O167" s="18">
        <v>4.5269999999999998E-3</v>
      </c>
      <c r="P167" s="18">
        <v>4.5269999999999998E-3</v>
      </c>
      <c r="Q167" s="18">
        <v>4.5269999999999998E-3</v>
      </c>
      <c r="R167" s="18">
        <v>4.5269999999999998E-3</v>
      </c>
      <c r="S167" s="18">
        <v>4.5269999999999998E-3</v>
      </c>
      <c r="T167" s="18">
        <v>4.5269999999999998E-3</v>
      </c>
      <c r="U167" s="18">
        <v>4.5269999999999998E-3</v>
      </c>
    </row>
    <row r="168" spans="4:21" x14ac:dyDescent="0.25">
      <c r="D168" s="9" t="s">
        <v>26</v>
      </c>
      <c r="E168" s="9" t="s">
        <v>349</v>
      </c>
      <c r="F168" s="9" t="s">
        <v>379</v>
      </c>
      <c r="G168" s="9">
        <v>500</v>
      </c>
      <c r="H168" s="9" t="s">
        <v>242</v>
      </c>
      <c r="I168" s="9" t="s">
        <v>13</v>
      </c>
      <c r="J168" s="9" t="s">
        <v>61</v>
      </c>
      <c r="K168" s="18">
        <v>0.434</v>
      </c>
      <c r="L168" s="18">
        <v>0.434</v>
      </c>
      <c r="M168" s="18">
        <v>0.434</v>
      </c>
      <c r="N168" s="18">
        <v>0.434</v>
      </c>
      <c r="O168" s="18">
        <v>0.434</v>
      </c>
      <c r="P168" s="18">
        <v>0.434</v>
      </c>
      <c r="Q168" s="18">
        <v>0.434</v>
      </c>
      <c r="R168" s="18">
        <v>0.434</v>
      </c>
      <c r="S168" s="18">
        <v>0.434</v>
      </c>
      <c r="T168" s="18">
        <v>0.434</v>
      </c>
      <c r="U168" s="18">
        <v>0.434</v>
      </c>
    </row>
    <row r="169" spans="4:21" x14ac:dyDescent="0.25">
      <c r="D169" s="9" t="s">
        <v>26</v>
      </c>
      <c r="E169" s="9" t="s">
        <v>349</v>
      </c>
      <c r="F169" s="9" t="s">
        <v>379</v>
      </c>
      <c r="G169" s="9">
        <v>500</v>
      </c>
      <c r="H169" s="9" t="s">
        <v>242</v>
      </c>
      <c r="I169" s="9" t="s">
        <v>15</v>
      </c>
      <c r="J169" s="9" t="s">
        <v>65</v>
      </c>
      <c r="K169" s="18">
        <v>40</v>
      </c>
      <c r="L169" s="18">
        <v>40</v>
      </c>
      <c r="M169" s="18">
        <v>40</v>
      </c>
      <c r="N169" s="18">
        <v>40</v>
      </c>
      <c r="O169" s="18">
        <v>40</v>
      </c>
      <c r="P169" s="18">
        <v>40</v>
      </c>
      <c r="Q169" s="18">
        <v>40</v>
      </c>
      <c r="R169" s="18">
        <v>40</v>
      </c>
      <c r="S169" s="18">
        <v>40</v>
      </c>
      <c r="T169" s="18">
        <v>40</v>
      </c>
      <c r="U169" s="18">
        <v>40</v>
      </c>
    </row>
    <row r="170" spans="4:21" x14ac:dyDescent="0.25">
      <c r="D170" s="9" t="s">
        <v>26</v>
      </c>
      <c r="E170" s="9" t="s">
        <v>349</v>
      </c>
      <c r="F170" s="9" t="s">
        <v>379</v>
      </c>
      <c r="G170" s="9">
        <v>500</v>
      </c>
      <c r="H170" s="9" t="s">
        <v>242</v>
      </c>
      <c r="I170" s="9" t="s">
        <v>338</v>
      </c>
      <c r="J170" s="9" t="s">
        <v>339</v>
      </c>
      <c r="K170" s="18">
        <v>1</v>
      </c>
      <c r="L170" s="18">
        <v>1</v>
      </c>
      <c r="M170" s="18">
        <v>1</v>
      </c>
      <c r="N170" s="18">
        <v>1</v>
      </c>
      <c r="O170" s="18">
        <v>1</v>
      </c>
      <c r="P170" s="18">
        <v>1</v>
      </c>
      <c r="Q170" s="18">
        <v>1</v>
      </c>
      <c r="R170" s="18">
        <v>1</v>
      </c>
      <c r="S170" s="18">
        <v>1</v>
      </c>
      <c r="T170" s="18">
        <v>1</v>
      </c>
      <c r="U170" s="18">
        <v>1</v>
      </c>
    </row>
    <row r="171" spans="4:21" x14ac:dyDescent="0.25">
      <c r="D171" s="9" t="s">
        <v>26</v>
      </c>
      <c r="E171" s="9" t="s">
        <v>349</v>
      </c>
      <c r="F171" s="9" t="s">
        <v>379</v>
      </c>
      <c r="G171" s="9">
        <v>500</v>
      </c>
      <c r="H171" s="9" t="s">
        <v>242</v>
      </c>
      <c r="I171" s="9" t="s">
        <v>340</v>
      </c>
      <c r="J171" s="9" t="s">
        <v>339</v>
      </c>
      <c r="K171" s="18">
        <v>3</v>
      </c>
      <c r="L171" s="18">
        <v>3</v>
      </c>
      <c r="M171" s="18">
        <v>3</v>
      </c>
      <c r="N171" s="18">
        <v>3</v>
      </c>
      <c r="O171" s="18">
        <v>3</v>
      </c>
      <c r="P171" s="18">
        <v>3</v>
      </c>
      <c r="Q171" s="18">
        <v>3</v>
      </c>
      <c r="R171" s="18">
        <v>3</v>
      </c>
      <c r="S171" s="18">
        <v>3</v>
      </c>
      <c r="T171" s="18">
        <v>3</v>
      </c>
      <c r="U171" s="18">
        <v>3</v>
      </c>
    </row>
    <row r="172" spans="4:21" x14ac:dyDescent="0.25">
      <c r="D172" s="9" t="s">
        <v>26</v>
      </c>
      <c r="E172" s="9" t="s">
        <v>349</v>
      </c>
      <c r="F172" s="9" t="s">
        <v>379</v>
      </c>
      <c r="G172" s="9">
        <v>500</v>
      </c>
      <c r="H172" s="9" t="s">
        <v>242</v>
      </c>
      <c r="I172" s="9" t="s">
        <v>32</v>
      </c>
      <c r="J172" s="9" t="s">
        <v>57</v>
      </c>
      <c r="K172" s="18">
        <v>2.5000000000000001E-2</v>
      </c>
      <c r="L172" s="18">
        <v>2.5000000000000001E-2</v>
      </c>
      <c r="M172" s="18">
        <v>2.5000000000000001E-2</v>
      </c>
      <c r="N172" s="18">
        <v>2.5000000000000001E-2</v>
      </c>
      <c r="O172" s="18">
        <v>2.5000000000000001E-2</v>
      </c>
      <c r="P172" s="18">
        <v>2.5000000000000001E-2</v>
      </c>
      <c r="Q172" s="18">
        <v>2.5000000000000001E-2</v>
      </c>
      <c r="R172" s="18">
        <v>2.5000000000000001E-2</v>
      </c>
      <c r="S172" s="18">
        <v>2.5000000000000001E-2</v>
      </c>
      <c r="T172" s="18">
        <v>2.5000000000000001E-2</v>
      </c>
      <c r="U172" s="18">
        <v>2.5000000000000001E-2</v>
      </c>
    </row>
    <row r="173" spans="4:21" x14ac:dyDescent="0.25">
      <c r="D173" s="9" t="s">
        <v>26</v>
      </c>
      <c r="E173" s="9" t="s">
        <v>349</v>
      </c>
      <c r="F173" s="9" t="s">
        <v>379</v>
      </c>
      <c r="G173" s="9">
        <v>500</v>
      </c>
      <c r="H173" s="9" t="s">
        <v>242</v>
      </c>
      <c r="I173" s="9" t="s">
        <v>31</v>
      </c>
      <c r="J173" s="9" t="s">
        <v>57</v>
      </c>
      <c r="K173" s="18">
        <v>3.5000000000000003E-2</v>
      </c>
      <c r="L173" s="18">
        <v>3.5000000000000003E-2</v>
      </c>
      <c r="M173" s="18">
        <v>3.5000000000000003E-2</v>
      </c>
      <c r="N173" s="18">
        <v>3.5000000000000003E-2</v>
      </c>
      <c r="O173" s="18">
        <v>3.5000000000000003E-2</v>
      </c>
      <c r="P173" s="18">
        <v>3.5000000000000003E-2</v>
      </c>
      <c r="Q173" s="18">
        <v>3.5000000000000003E-2</v>
      </c>
      <c r="R173" s="18">
        <v>3.5000000000000003E-2</v>
      </c>
      <c r="S173" s="18">
        <v>3.5000000000000003E-2</v>
      </c>
      <c r="T173" s="18">
        <v>3.5000000000000003E-2</v>
      </c>
      <c r="U173" s="18">
        <v>3.5000000000000003E-2</v>
      </c>
    </row>
    <row r="174" spans="4:21" x14ac:dyDescent="0.25">
      <c r="D174" s="9" t="s">
        <v>26</v>
      </c>
      <c r="E174" s="9" t="s">
        <v>349</v>
      </c>
      <c r="F174" s="9" t="s">
        <v>379</v>
      </c>
      <c r="G174" s="9">
        <v>500</v>
      </c>
      <c r="H174" s="9" t="s">
        <v>242</v>
      </c>
      <c r="I174" s="9" t="s">
        <v>341</v>
      </c>
      <c r="J174" s="9" t="s">
        <v>132</v>
      </c>
      <c r="K174" s="18">
        <v>2.5</v>
      </c>
      <c r="L174" s="18">
        <v>2.5</v>
      </c>
      <c r="M174" s="18">
        <v>2.5</v>
      </c>
      <c r="N174" s="18">
        <v>2.5</v>
      </c>
      <c r="O174" s="18">
        <v>2.5</v>
      </c>
      <c r="P174" s="18">
        <v>2.5</v>
      </c>
      <c r="Q174" s="18">
        <v>2.5</v>
      </c>
      <c r="R174" s="18">
        <v>2.5</v>
      </c>
      <c r="S174" s="18">
        <v>2.5</v>
      </c>
      <c r="T174" s="18">
        <v>2.5</v>
      </c>
      <c r="U174" s="18">
        <v>2.5</v>
      </c>
    </row>
    <row r="175" spans="4:21" x14ac:dyDescent="0.25">
      <c r="D175" s="9" t="s">
        <v>26</v>
      </c>
      <c r="E175" s="9" t="s">
        <v>349</v>
      </c>
      <c r="F175" s="9" t="s">
        <v>379</v>
      </c>
      <c r="G175" s="9">
        <v>500</v>
      </c>
      <c r="H175" s="9" t="s">
        <v>242</v>
      </c>
      <c r="I175" s="9" t="s">
        <v>342</v>
      </c>
      <c r="J175" s="9" t="s">
        <v>343</v>
      </c>
      <c r="K175" s="18">
        <v>50</v>
      </c>
      <c r="L175" s="18">
        <v>50</v>
      </c>
      <c r="M175" s="18">
        <v>50</v>
      </c>
      <c r="N175" s="18">
        <v>50</v>
      </c>
      <c r="O175" s="18">
        <v>50</v>
      </c>
      <c r="P175" s="18">
        <v>50</v>
      </c>
      <c r="Q175" s="18">
        <v>50</v>
      </c>
      <c r="R175" s="18">
        <v>50</v>
      </c>
      <c r="S175" s="18">
        <v>50</v>
      </c>
      <c r="T175" s="18">
        <v>50</v>
      </c>
      <c r="U175" s="18">
        <v>50</v>
      </c>
    </row>
    <row r="176" spans="4:21" x14ac:dyDescent="0.25">
      <c r="D176" s="9" t="s">
        <v>26</v>
      </c>
      <c r="E176" s="9" t="s">
        <v>349</v>
      </c>
      <c r="F176" s="9" t="s">
        <v>379</v>
      </c>
      <c r="G176" s="9">
        <v>500</v>
      </c>
      <c r="H176" s="9" t="s">
        <v>243</v>
      </c>
      <c r="I176" s="9" t="s">
        <v>345</v>
      </c>
      <c r="J176" s="9" t="s">
        <v>57</v>
      </c>
      <c r="K176" s="18">
        <v>0.24</v>
      </c>
      <c r="L176" s="18">
        <v>0.24</v>
      </c>
      <c r="M176" s="18">
        <v>0.24</v>
      </c>
      <c r="N176" s="18">
        <v>0.24</v>
      </c>
      <c r="O176" s="18">
        <v>0.24</v>
      </c>
      <c r="P176" s="18">
        <v>0.24</v>
      </c>
      <c r="Q176" s="18">
        <v>0.24</v>
      </c>
      <c r="R176" s="18">
        <v>0.24</v>
      </c>
      <c r="S176" s="18">
        <v>0.24</v>
      </c>
      <c r="T176" s="18">
        <v>0.24</v>
      </c>
      <c r="U176" s="18">
        <v>0.24</v>
      </c>
    </row>
    <row r="177" spans="4:21" x14ac:dyDescent="0.25">
      <c r="D177" s="9" t="s">
        <v>26</v>
      </c>
      <c r="E177" s="9" t="s">
        <v>349</v>
      </c>
      <c r="F177" s="9" t="s">
        <v>379</v>
      </c>
      <c r="G177" s="9">
        <v>500</v>
      </c>
      <c r="H177" s="9" t="s">
        <v>243</v>
      </c>
      <c r="I177" s="9" t="s">
        <v>458</v>
      </c>
      <c r="J177" s="9" t="s">
        <v>57</v>
      </c>
      <c r="K177" s="18">
        <v>0.39100000000000001</v>
      </c>
      <c r="L177" s="18">
        <v>0.39100000000000001</v>
      </c>
      <c r="M177" s="18">
        <v>0.39100000000000001</v>
      </c>
      <c r="N177" s="18">
        <v>0.39100000000000001</v>
      </c>
      <c r="O177" s="18">
        <v>0.39100000000000001</v>
      </c>
      <c r="P177" s="18">
        <v>0.39100000000000001</v>
      </c>
      <c r="Q177" s="18">
        <v>0.39100000000000001</v>
      </c>
      <c r="R177" s="18">
        <v>0.39100000000000001</v>
      </c>
      <c r="S177" s="18">
        <v>0.39100000000000001</v>
      </c>
      <c r="T177" s="18">
        <v>0.39100000000000001</v>
      </c>
      <c r="U177" s="18">
        <v>0.39100000000000001</v>
      </c>
    </row>
    <row r="178" spans="4:21" x14ac:dyDescent="0.25">
      <c r="D178" s="9" t="s">
        <v>26</v>
      </c>
      <c r="E178" s="9" t="s">
        <v>349</v>
      </c>
      <c r="F178" s="9" t="s">
        <v>379</v>
      </c>
      <c r="G178" s="9">
        <v>500</v>
      </c>
      <c r="H178" s="9" t="s">
        <v>243</v>
      </c>
      <c r="I178" s="9" t="s">
        <v>29</v>
      </c>
      <c r="J178" s="9" t="s">
        <v>57</v>
      </c>
      <c r="K178" s="18">
        <v>0.217</v>
      </c>
      <c r="L178" s="18">
        <v>0</v>
      </c>
      <c r="M178" s="18">
        <v>0</v>
      </c>
      <c r="N178" s="18">
        <v>0</v>
      </c>
      <c r="O178" s="18">
        <v>0</v>
      </c>
      <c r="P178" s="18">
        <v>0</v>
      </c>
      <c r="Q178" s="18">
        <v>0</v>
      </c>
      <c r="R178" s="18">
        <v>0</v>
      </c>
      <c r="S178" s="18">
        <v>0</v>
      </c>
      <c r="T178" s="18">
        <v>0</v>
      </c>
      <c r="U178" s="18">
        <v>0</v>
      </c>
    </row>
    <row r="179" spans="4:21" x14ac:dyDescent="0.25">
      <c r="D179" s="9" t="s">
        <v>26</v>
      </c>
      <c r="E179" s="9" t="s">
        <v>349</v>
      </c>
      <c r="F179" s="9" t="s">
        <v>379</v>
      </c>
      <c r="G179" s="9">
        <v>500</v>
      </c>
      <c r="H179" s="9" t="s">
        <v>243</v>
      </c>
      <c r="I179" s="9" t="s">
        <v>16</v>
      </c>
      <c r="J179" s="9" t="s">
        <v>57</v>
      </c>
      <c r="K179" s="18">
        <v>8.0000000000000002E-3</v>
      </c>
      <c r="L179" s="18">
        <v>8.0000000000000002E-3</v>
      </c>
      <c r="M179" s="18">
        <v>8.0000000000000002E-3</v>
      </c>
      <c r="N179" s="18">
        <v>8.0000000000000002E-3</v>
      </c>
      <c r="O179" s="18">
        <v>8.0000000000000002E-3</v>
      </c>
      <c r="P179" s="18">
        <v>8.0000000000000002E-3</v>
      </c>
      <c r="Q179" s="18">
        <v>8.0000000000000002E-3</v>
      </c>
      <c r="R179" s="18">
        <v>8.0000000000000002E-3</v>
      </c>
      <c r="S179" s="18">
        <v>8.0000000000000002E-3</v>
      </c>
      <c r="T179" s="18">
        <v>8.0000000000000002E-3</v>
      </c>
      <c r="U179" s="18">
        <v>8.0000000000000002E-3</v>
      </c>
    </row>
    <row r="180" spans="4:21" x14ac:dyDescent="0.25">
      <c r="D180" s="9" t="s">
        <v>26</v>
      </c>
      <c r="E180" s="9" t="s">
        <v>349</v>
      </c>
      <c r="F180" s="9" t="s">
        <v>379</v>
      </c>
      <c r="G180" s="9">
        <v>500</v>
      </c>
      <c r="H180" s="9" t="s">
        <v>243</v>
      </c>
      <c r="I180" s="9" t="s">
        <v>13</v>
      </c>
      <c r="J180" s="9" t="s">
        <v>61</v>
      </c>
      <c r="K180" s="18">
        <v>0.434</v>
      </c>
      <c r="L180" s="18">
        <v>0.434</v>
      </c>
      <c r="M180" s="18">
        <v>0.434</v>
      </c>
      <c r="N180" s="18">
        <v>0.434</v>
      </c>
      <c r="O180" s="18">
        <v>0.434</v>
      </c>
      <c r="P180" s="18">
        <v>0.434</v>
      </c>
      <c r="Q180" s="18">
        <v>0.434</v>
      </c>
      <c r="R180" s="18">
        <v>0.434</v>
      </c>
      <c r="S180" s="18">
        <v>0.434</v>
      </c>
      <c r="T180" s="18">
        <v>0.434</v>
      </c>
      <c r="U180" s="18">
        <v>0.434</v>
      </c>
    </row>
    <row r="181" spans="4:21" x14ac:dyDescent="0.25">
      <c r="D181" s="9" t="s">
        <v>26</v>
      </c>
      <c r="E181" s="9" t="s">
        <v>349</v>
      </c>
      <c r="F181" s="9" t="s">
        <v>379</v>
      </c>
      <c r="G181" s="9">
        <v>500</v>
      </c>
      <c r="H181" s="9" t="s">
        <v>243</v>
      </c>
      <c r="I181" s="9" t="s">
        <v>15</v>
      </c>
      <c r="J181" s="9" t="s">
        <v>65</v>
      </c>
      <c r="K181" s="18">
        <v>40</v>
      </c>
      <c r="L181" s="18">
        <v>40</v>
      </c>
      <c r="M181" s="18">
        <v>40</v>
      </c>
      <c r="N181" s="18">
        <v>40</v>
      </c>
      <c r="O181" s="18">
        <v>40</v>
      </c>
      <c r="P181" s="18">
        <v>40</v>
      </c>
      <c r="Q181" s="18">
        <v>40</v>
      </c>
      <c r="R181" s="18">
        <v>40</v>
      </c>
      <c r="S181" s="18">
        <v>40</v>
      </c>
      <c r="T181" s="18">
        <v>40</v>
      </c>
      <c r="U181" s="18">
        <v>40</v>
      </c>
    </row>
    <row r="182" spans="4:21" x14ac:dyDescent="0.25">
      <c r="D182" s="9" t="s">
        <v>26</v>
      </c>
      <c r="E182" s="9" t="s">
        <v>349</v>
      </c>
      <c r="F182" s="9" t="s">
        <v>379</v>
      </c>
      <c r="G182" s="9">
        <v>500</v>
      </c>
      <c r="H182" s="9" t="s">
        <v>243</v>
      </c>
      <c r="I182" s="9" t="s">
        <v>338</v>
      </c>
      <c r="J182" s="9" t="s">
        <v>339</v>
      </c>
      <c r="K182" s="18">
        <v>1</v>
      </c>
      <c r="L182" s="18">
        <v>1</v>
      </c>
      <c r="M182" s="18">
        <v>1</v>
      </c>
      <c r="N182" s="18">
        <v>1</v>
      </c>
      <c r="O182" s="18">
        <v>1</v>
      </c>
      <c r="P182" s="18">
        <v>1</v>
      </c>
      <c r="Q182" s="18">
        <v>1</v>
      </c>
      <c r="R182" s="18">
        <v>1</v>
      </c>
      <c r="S182" s="18">
        <v>1</v>
      </c>
      <c r="T182" s="18">
        <v>1</v>
      </c>
      <c r="U182" s="18">
        <v>1</v>
      </c>
    </row>
    <row r="183" spans="4:21" x14ac:dyDescent="0.25">
      <c r="D183" s="9" t="s">
        <v>26</v>
      </c>
      <c r="E183" s="9" t="s">
        <v>349</v>
      </c>
      <c r="F183" s="9" t="s">
        <v>379</v>
      </c>
      <c r="G183" s="9">
        <v>500</v>
      </c>
      <c r="H183" s="9" t="s">
        <v>243</v>
      </c>
      <c r="I183" s="9" t="s">
        <v>340</v>
      </c>
      <c r="J183" s="9" t="s">
        <v>339</v>
      </c>
      <c r="K183" s="18">
        <v>3</v>
      </c>
      <c r="L183" s="18">
        <v>3</v>
      </c>
      <c r="M183" s="18">
        <v>3</v>
      </c>
      <c r="N183" s="18">
        <v>3</v>
      </c>
      <c r="O183" s="18">
        <v>3</v>
      </c>
      <c r="P183" s="18">
        <v>3</v>
      </c>
      <c r="Q183" s="18">
        <v>3</v>
      </c>
      <c r="R183" s="18">
        <v>3</v>
      </c>
      <c r="S183" s="18">
        <v>3</v>
      </c>
      <c r="T183" s="18">
        <v>3</v>
      </c>
      <c r="U183" s="18">
        <v>3</v>
      </c>
    </row>
    <row r="184" spans="4:21" x14ac:dyDescent="0.25">
      <c r="D184" s="9" t="s">
        <v>26</v>
      </c>
      <c r="E184" s="9" t="s">
        <v>349</v>
      </c>
      <c r="F184" s="9" t="s">
        <v>379</v>
      </c>
      <c r="G184" s="9">
        <v>500</v>
      </c>
      <c r="H184" s="9" t="s">
        <v>243</v>
      </c>
      <c r="I184" s="9" t="s">
        <v>32</v>
      </c>
      <c r="J184" s="9" t="s">
        <v>57</v>
      </c>
      <c r="K184" s="18">
        <v>2.5000000000000001E-2</v>
      </c>
      <c r="L184" s="18">
        <v>2.5000000000000001E-2</v>
      </c>
      <c r="M184" s="18">
        <v>2.5000000000000001E-2</v>
      </c>
      <c r="N184" s="18">
        <v>2.5000000000000001E-2</v>
      </c>
      <c r="O184" s="18">
        <v>2.5000000000000001E-2</v>
      </c>
      <c r="P184" s="18">
        <v>2.5000000000000001E-2</v>
      </c>
      <c r="Q184" s="18">
        <v>2.5000000000000001E-2</v>
      </c>
      <c r="R184" s="18">
        <v>2.5000000000000001E-2</v>
      </c>
      <c r="S184" s="18">
        <v>2.5000000000000001E-2</v>
      </c>
      <c r="T184" s="18">
        <v>2.5000000000000001E-2</v>
      </c>
      <c r="U184" s="18">
        <v>2.5000000000000001E-2</v>
      </c>
    </row>
    <row r="185" spans="4:21" x14ac:dyDescent="0.25">
      <c r="D185" s="9" t="s">
        <v>26</v>
      </c>
      <c r="E185" s="9" t="s">
        <v>349</v>
      </c>
      <c r="F185" s="9" t="s">
        <v>379</v>
      </c>
      <c r="G185" s="9">
        <v>500</v>
      </c>
      <c r="H185" s="9" t="s">
        <v>243</v>
      </c>
      <c r="I185" s="9" t="s">
        <v>31</v>
      </c>
      <c r="J185" s="9" t="s">
        <v>57</v>
      </c>
      <c r="K185" s="18">
        <v>3.5000000000000003E-2</v>
      </c>
      <c r="L185" s="18">
        <v>3.5000000000000003E-2</v>
      </c>
      <c r="M185" s="18">
        <v>3.5000000000000003E-2</v>
      </c>
      <c r="N185" s="18">
        <v>3.5000000000000003E-2</v>
      </c>
      <c r="O185" s="18">
        <v>3.5000000000000003E-2</v>
      </c>
      <c r="P185" s="18">
        <v>3.5000000000000003E-2</v>
      </c>
      <c r="Q185" s="18">
        <v>3.5000000000000003E-2</v>
      </c>
      <c r="R185" s="18">
        <v>3.5000000000000003E-2</v>
      </c>
      <c r="S185" s="18">
        <v>3.5000000000000003E-2</v>
      </c>
      <c r="T185" s="18">
        <v>3.5000000000000003E-2</v>
      </c>
      <c r="U185" s="18">
        <v>3.5000000000000003E-2</v>
      </c>
    </row>
    <row r="186" spans="4:21" x14ac:dyDescent="0.25">
      <c r="D186" s="9" t="s">
        <v>26</v>
      </c>
      <c r="E186" s="9" t="s">
        <v>349</v>
      </c>
      <c r="F186" s="9" t="s">
        <v>379</v>
      </c>
      <c r="G186" s="9">
        <v>500</v>
      </c>
      <c r="H186" s="9" t="s">
        <v>243</v>
      </c>
      <c r="I186" s="9" t="s">
        <v>341</v>
      </c>
      <c r="J186" s="9" t="s">
        <v>132</v>
      </c>
      <c r="K186" s="18">
        <v>2.5</v>
      </c>
      <c r="L186" s="18">
        <v>2.5</v>
      </c>
      <c r="M186" s="18">
        <v>2.5</v>
      </c>
      <c r="N186" s="18">
        <v>2.5</v>
      </c>
      <c r="O186" s="18">
        <v>2.5</v>
      </c>
      <c r="P186" s="18">
        <v>2.5</v>
      </c>
      <c r="Q186" s="18">
        <v>2.5</v>
      </c>
      <c r="R186" s="18">
        <v>2.5</v>
      </c>
      <c r="S186" s="18">
        <v>2.5</v>
      </c>
      <c r="T186" s="18">
        <v>2.5</v>
      </c>
      <c r="U186" s="18">
        <v>2.5</v>
      </c>
    </row>
    <row r="187" spans="4:21" x14ac:dyDescent="0.25">
      <c r="D187" s="9" t="s">
        <v>26</v>
      </c>
      <c r="E187" s="9" t="s">
        <v>349</v>
      </c>
      <c r="F187" s="9" t="s">
        <v>379</v>
      </c>
      <c r="G187" s="9">
        <v>500</v>
      </c>
      <c r="H187" s="9" t="s">
        <v>243</v>
      </c>
      <c r="I187" s="9" t="s">
        <v>342</v>
      </c>
      <c r="J187" s="9" t="s">
        <v>343</v>
      </c>
      <c r="K187" s="18">
        <v>50</v>
      </c>
      <c r="L187" s="18">
        <v>50</v>
      </c>
      <c r="M187" s="18">
        <v>50</v>
      </c>
      <c r="N187" s="18">
        <v>50</v>
      </c>
      <c r="O187" s="18">
        <v>50</v>
      </c>
      <c r="P187" s="18">
        <v>50</v>
      </c>
      <c r="Q187" s="18">
        <v>50</v>
      </c>
      <c r="R187" s="18">
        <v>50</v>
      </c>
      <c r="S187" s="18">
        <v>50</v>
      </c>
      <c r="T187" s="18">
        <v>50</v>
      </c>
      <c r="U187" s="18">
        <v>50</v>
      </c>
    </row>
    <row r="188" spans="4:21" x14ac:dyDescent="0.25">
      <c r="D188" s="9" t="s">
        <v>26</v>
      </c>
      <c r="E188" s="9" t="s">
        <v>349</v>
      </c>
      <c r="F188" s="9" t="s">
        <v>379</v>
      </c>
      <c r="G188" s="9">
        <v>175</v>
      </c>
      <c r="H188" s="9" t="s">
        <v>85</v>
      </c>
      <c r="I188" s="9" t="s">
        <v>344</v>
      </c>
      <c r="J188" s="9" t="s">
        <v>57</v>
      </c>
      <c r="K188" s="18">
        <v>0.45</v>
      </c>
      <c r="L188" s="18">
        <v>0.45</v>
      </c>
      <c r="M188" s="18">
        <v>0.45</v>
      </c>
      <c r="N188" s="18">
        <v>0.45</v>
      </c>
      <c r="O188" s="18">
        <v>0.45</v>
      </c>
      <c r="P188" s="18">
        <v>0.45</v>
      </c>
      <c r="Q188" s="18">
        <v>0.45</v>
      </c>
      <c r="R188" s="18">
        <v>0.45</v>
      </c>
      <c r="S188" s="18">
        <v>0.45</v>
      </c>
      <c r="T188" s="18">
        <v>0.45</v>
      </c>
      <c r="U188" s="18">
        <v>0.45</v>
      </c>
    </row>
    <row r="189" spans="4:21" x14ac:dyDescent="0.25">
      <c r="D189" s="9" t="s">
        <v>26</v>
      </c>
      <c r="E189" s="9" t="s">
        <v>349</v>
      </c>
      <c r="F189" s="9" t="s">
        <v>379</v>
      </c>
      <c r="G189" s="9">
        <v>175</v>
      </c>
      <c r="H189" s="9" t="s">
        <v>85</v>
      </c>
      <c r="I189" s="9" t="s">
        <v>458</v>
      </c>
      <c r="J189" s="9" t="s">
        <v>57</v>
      </c>
      <c r="K189" s="18">
        <v>0.51</v>
      </c>
      <c r="L189" s="18">
        <v>0.51</v>
      </c>
      <c r="M189" s="18">
        <v>0.51</v>
      </c>
      <c r="N189" s="18">
        <v>0.51</v>
      </c>
      <c r="O189" s="18">
        <v>0.51</v>
      </c>
      <c r="P189" s="18">
        <v>0.51</v>
      </c>
      <c r="Q189" s="18">
        <v>0.51</v>
      </c>
      <c r="R189" s="18">
        <v>0.51</v>
      </c>
      <c r="S189" s="18">
        <v>0.51</v>
      </c>
      <c r="T189" s="18">
        <v>0.51</v>
      </c>
      <c r="U189" s="18">
        <v>0.51</v>
      </c>
    </row>
    <row r="190" spans="4:21" x14ac:dyDescent="0.25">
      <c r="D190" s="9" t="s">
        <v>26</v>
      </c>
      <c r="E190" s="9" t="s">
        <v>349</v>
      </c>
      <c r="F190" s="9" t="s">
        <v>379</v>
      </c>
      <c r="G190" s="9">
        <v>175</v>
      </c>
      <c r="H190" s="9" t="s">
        <v>85</v>
      </c>
      <c r="I190" s="9" t="s">
        <v>16</v>
      </c>
      <c r="J190" s="9" t="s">
        <v>57</v>
      </c>
      <c r="K190" s="18">
        <v>4.1430000000000002E-2</v>
      </c>
      <c r="L190" s="18">
        <v>4.1430000000000002E-2</v>
      </c>
      <c r="M190" s="18">
        <v>4.1430000000000002E-2</v>
      </c>
      <c r="N190" s="18">
        <v>4.1430000000000002E-2</v>
      </c>
      <c r="O190" s="18">
        <v>4.1430000000000002E-2</v>
      </c>
      <c r="P190" s="18">
        <v>4.1430000000000002E-2</v>
      </c>
      <c r="Q190" s="18">
        <v>4.1430000000000002E-2</v>
      </c>
      <c r="R190" s="18">
        <v>4.1430000000000002E-2</v>
      </c>
      <c r="S190" s="18">
        <v>4.1430000000000002E-2</v>
      </c>
      <c r="T190" s="18">
        <v>4.1430000000000002E-2</v>
      </c>
      <c r="U190" s="18">
        <v>4.1430000000000002E-2</v>
      </c>
    </row>
    <row r="191" spans="4:21" x14ac:dyDescent="0.25">
      <c r="D191" s="9" t="s">
        <v>26</v>
      </c>
      <c r="E191" s="9" t="s">
        <v>349</v>
      </c>
      <c r="F191" s="9" t="s">
        <v>379</v>
      </c>
      <c r="G191" s="9">
        <v>175</v>
      </c>
      <c r="H191" s="9" t="s">
        <v>85</v>
      </c>
      <c r="I191" s="9" t="s">
        <v>13</v>
      </c>
      <c r="J191" s="9" t="s">
        <v>61</v>
      </c>
      <c r="K191" s="18">
        <v>0.26</v>
      </c>
      <c r="L191" s="18">
        <v>0.26</v>
      </c>
      <c r="M191" s="18">
        <v>0.26</v>
      </c>
      <c r="N191" s="18">
        <v>0.26</v>
      </c>
      <c r="O191" s="18">
        <v>0.26</v>
      </c>
      <c r="P191" s="18">
        <v>0.26</v>
      </c>
      <c r="Q191" s="18">
        <v>0.26</v>
      </c>
      <c r="R191" s="18">
        <v>0.26</v>
      </c>
      <c r="S191" s="18">
        <v>0.26</v>
      </c>
      <c r="T191" s="18">
        <v>0.26</v>
      </c>
      <c r="U191" s="18">
        <v>0.26</v>
      </c>
    </row>
    <row r="192" spans="4:21" x14ac:dyDescent="0.25">
      <c r="D192" s="9" t="s">
        <v>26</v>
      </c>
      <c r="E192" s="9" t="s">
        <v>349</v>
      </c>
      <c r="F192" s="9" t="s">
        <v>379</v>
      </c>
      <c r="G192" s="9">
        <v>175</v>
      </c>
      <c r="H192" s="9" t="s">
        <v>85</v>
      </c>
      <c r="I192" s="9" t="s">
        <v>15</v>
      </c>
      <c r="J192" s="9" t="s">
        <v>65</v>
      </c>
      <c r="K192" s="18">
        <v>94</v>
      </c>
      <c r="L192" s="18">
        <v>94</v>
      </c>
      <c r="M192" s="18">
        <v>94</v>
      </c>
      <c r="N192" s="18">
        <v>94</v>
      </c>
      <c r="O192" s="18">
        <v>94</v>
      </c>
      <c r="P192" s="18">
        <v>94</v>
      </c>
      <c r="Q192" s="18">
        <v>94</v>
      </c>
      <c r="R192" s="18">
        <v>94</v>
      </c>
      <c r="S192" s="18">
        <v>94</v>
      </c>
      <c r="T192" s="18">
        <v>94</v>
      </c>
      <c r="U192" s="18">
        <v>94</v>
      </c>
    </row>
    <row r="193" spans="4:21" x14ac:dyDescent="0.25">
      <c r="D193" s="9" t="s">
        <v>26</v>
      </c>
      <c r="E193" s="9" t="s">
        <v>349</v>
      </c>
      <c r="F193" s="9" t="s">
        <v>379</v>
      </c>
      <c r="G193" s="9">
        <v>175</v>
      </c>
      <c r="H193" s="9" t="s">
        <v>85</v>
      </c>
      <c r="I193" s="9" t="s">
        <v>338</v>
      </c>
      <c r="J193" s="9" t="s">
        <v>339</v>
      </c>
      <c r="K193" s="18">
        <v>0</v>
      </c>
      <c r="L193" s="18">
        <v>0</v>
      </c>
      <c r="M193" s="18">
        <v>0</v>
      </c>
      <c r="N193" s="18">
        <v>0</v>
      </c>
      <c r="O193" s="18">
        <v>0</v>
      </c>
      <c r="P193" s="18">
        <v>0</v>
      </c>
      <c r="Q193" s="18">
        <v>0</v>
      </c>
      <c r="R193" s="18">
        <v>0</v>
      </c>
      <c r="S193" s="18">
        <v>0</v>
      </c>
      <c r="T193" s="18">
        <v>0</v>
      </c>
      <c r="U193" s="18">
        <v>0</v>
      </c>
    </row>
    <row r="194" spans="4:21" x14ac:dyDescent="0.25">
      <c r="D194" s="9" t="s">
        <v>26</v>
      </c>
      <c r="E194" s="9" t="s">
        <v>349</v>
      </c>
      <c r="F194" s="9" t="s">
        <v>379</v>
      </c>
      <c r="G194" s="9">
        <v>175</v>
      </c>
      <c r="H194" s="9" t="s">
        <v>85</v>
      </c>
      <c r="I194" s="9" t="s">
        <v>32</v>
      </c>
      <c r="J194" s="9" t="s">
        <v>57</v>
      </c>
      <c r="K194" s="18">
        <v>0.02</v>
      </c>
      <c r="L194" s="18">
        <v>0.02</v>
      </c>
      <c r="M194" s="18">
        <v>0.02</v>
      </c>
      <c r="N194" s="18">
        <v>0.02</v>
      </c>
      <c r="O194" s="18">
        <v>0.02</v>
      </c>
      <c r="P194" s="18">
        <v>0.02</v>
      </c>
      <c r="Q194" s="18">
        <v>0.02</v>
      </c>
      <c r="R194" s="18">
        <v>0.02</v>
      </c>
      <c r="S194" s="18">
        <v>0.02</v>
      </c>
      <c r="T194" s="18">
        <v>0.02</v>
      </c>
      <c r="U194" s="18">
        <v>0.02</v>
      </c>
    </row>
    <row r="195" spans="4:21" x14ac:dyDescent="0.25">
      <c r="D195" s="9" t="s">
        <v>26</v>
      </c>
      <c r="E195" s="9" t="s">
        <v>349</v>
      </c>
      <c r="F195" s="9" t="s">
        <v>379</v>
      </c>
      <c r="G195" s="9">
        <v>175</v>
      </c>
      <c r="H195" s="9" t="s">
        <v>85</v>
      </c>
      <c r="I195" s="9" t="s">
        <v>341</v>
      </c>
      <c r="J195" s="9" t="s">
        <v>132</v>
      </c>
      <c r="K195" s="18">
        <v>2.5</v>
      </c>
      <c r="L195" s="18">
        <v>2.5</v>
      </c>
      <c r="M195" s="18">
        <v>2.5</v>
      </c>
      <c r="N195" s="18">
        <v>2.5</v>
      </c>
      <c r="O195" s="18">
        <v>2.5</v>
      </c>
      <c r="P195" s="18">
        <v>2.5</v>
      </c>
      <c r="Q195" s="18">
        <v>2.5</v>
      </c>
      <c r="R195" s="18">
        <v>2.5</v>
      </c>
      <c r="S195" s="18">
        <v>2.5</v>
      </c>
      <c r="T195" s="18">
        <v>2.5</v>
      </c>
      <c r="U195" s="18">
        <v>2.5</v>
      </c>
    </row>
    <row r="196" spans="4:21" x14ac:dyDescent="0.25">
      <c r="D196" s="9" t="s">
        <v>26</v>
      </c>
      <c r="E196" s="9" t="s">
        <v>349</v>
      </c>
      <c r="F196" s="9" t="s">
        <v>379</v>
      </c>
      <c r="G196" s="9">
        <v>175</v>
      </c>
      <c r="H196" s="9" t="s">
        <v>85</v>
      </c>
      <c r="I196" s="9" t="s">
        <v>342</v>
      </c>
      <c r="J196" s="9" t="s">
        <v>343</v>
      </c>
      <c r="K196" s="18">
        <v>20</v>
      </c>
      <c r="L196" s="18">
        <v>20</v>
      </c>
      <c r="M196" s="18">
        <v>20</v>
      </c>
      <c r="N196" s="18">
        <v>20</v>
      </c>
      <c r="O196" s="18">
        <v>20</v>
      </c>
      <c r="P196" s="18">
        <v>20</v>
      </c>
      <c r="Q196" s="18">
        <v>20</v>
      </c>
      <c r="R196" s="18">
        <v>20</v>
      </c>
      <c r="S196" s="18">
        <v>20</v>
      </c>
      <c r="T196" s="18">
        <v>20</v>
      </c>
      <c r="U196" s="18">
        <v>20</v>
      </c>
    </row>
    <row r="197" spans="4:21" x14ac:dyDescent="0.25">
      <c r="D197" s="9" t="s">
        <v>26</v>
      </c>
      <c r="E197" s="9" t="s">
        <v>349</v>
      </c>
      <c r="F197" s="9" t="s">
        <v>379</v>
      </c>
      <c r="G197" s="9">
        <v>175</v>
      </c>
      <c r="H197" s="9" t="s">
        <v>244</v>
      </c>
      <c r="I197" s="9" t="s">
        <v>344</v>
      </c>
      <c r="J197" s="9" t="s">
        <v>57</v>
      </c>
      <c r="K197" s="18">
        <v>0.71</v>
      </c>
      <c r="L197" s="18">
        <v>0.71</v>
      </c>
      <c r="M197" s="18">
        <v>0.71</v>
      </c>
      <c r="N197" s="18">
        <v>0.71</v>
      </c>
      <c r="O197" s="18">
        <v>0.71</v>
      </c>
      <c r="P197" s="18">
        <v>0.71</v>
      </c>
      <c r="Q197" s="18">
        <v>0.71</v>
      </c>
      <c r="R197" s="18">
        <v>0.71</v>
      </c>
      <c r="S197" s="18">
        <v>0.71</v>
      </c>
      <c r="T197" s="18">
        <v>0.71</v>
      </c>
      <c r="U197" s="18">
        <v>0.71</v>
      </c>
    </row>
    <row r="198" spans="4:21" x14ac:dyDescent="0.25">
      <c r="D198" s="9" t="s">
        <v>26</v>
      </c>
      <c r="E198" s="9" t="s">
        <v>349</v>
      </c>
      <c r="F198" s="9" t="s">
        <v>379</v>
      </c>
      <c r="G198" s="9">
        <v>175</v>
      </c>
      <c r="H198" s="9" t="s">
        <v>244</v>
      </c>
      <c r="I198" s="9" t="s">
        <v>458</v>
      </c>
      <c r="J198" s="9" t="s">
        <v>57</v>
      </c>
      <c r="K198" s="18">
        <v>0.44</v>
      </c>
      <c r="L198" s="18">
        <v>0.44</v>
      </c>
      <c r="M198" s="18">
        <v>0.44</v>
      </c>
      <c r="N198" s="18">
        <v>0.44</v>
      </c>
      <c r="O198" s="18">
        <v>0.44</v>
      </c>
      <c r="P198" s="18">
        <v>0.44</v>
      </c>
      <c r="Q198" s="18">
        <v>0.44</v>
      </c>
      <c r="R198" s="18">
        <v>0.44</v>
      </c>
      <c r="S198" s="18">
        <v>0.44</v>
      </c>
      <c r="T198" s="18">
        <v>0.44</v>
      </c>
      <c r="U198" s="18">
        <v>0.44</v>
      </c>
    </row>
    <row r="199" spans="4:21" x14ac:dyDescent="0.25">
      <c r="D199" s="9" t="s">
        <v>26</v>
      </c>
      <c r="E199" s="9" t="s">
        <v>349</v>
      </c>
      <c r="F199" s="9" t="s">
        <v>379</v>
      </c>
      <c r="G199" s="9">
        <v>175</v>
      </c>
      <c r="H199" s="9" t="s">
        <v>244</v>
      </c>
      <c r="I199" s="9" t="s">
        <v>16</v>
      </c>
      <c r="J199" s="9" t="s">
        <v>57</v>
      </c>
      <c r="K199" s="18">
        <v>7.0000000000000007E-2</v>
      </c>
      <c r="L199" s="18">
        <v>7.0000000000000007E-2</v>
      </c>
      <c r="M199" s="18">
        <v>7.0000000000000007E-2</v>
      </c>
      <c r="N199" s="18">
        <v>7.0000000000000007E-2</v>
      </c>
      <c r="O199" s="18">
        <v>7.0000000000000007E-2</v>
      </c>
      <c r="P199" s="18">
        <v>7.0000000000000007E-2</v>
      </c>
      <c r="Q199" s="18">
        <v>7.0000000000000007E-2</v>
      </c>
      <c r="R199" s="18">
        <v>7.0000000000000007E-2</v>
      </c>
      <c r="S199" s="18">
        <v>7.0000000000000007E-2</v>
      </c>
      <c r="T199" s="18">
        <v>7.0000000000000007E-2</v>
      </c>
      <c r="U199" s="18">
        <v>7.0000000000000007E-2</v>
      </c>
    </row>
    <row r="200" spans="4:21" x14ac:dyDescent="0.25">
      <c r="D200" s="9" t="s">
        <v>26</v>
      </c>
      <c r="E200" s="9" t="s">
        <v>349</v>
      </c>
      <c r="F200" s="9" t="s">
        <v>379</v>
      </c>
      <c r="G200" s="9">
        <v>175</v>
      </c>
      <c r="H200" s="9" t="s">
        <v>244</v>
      </c>
      <c r="I200" s="9" t="s">
        <v>13</v>
      </c>
      <c r="J200" s="9" t="s">
        <v>61</v>
      </c>
      <c r="K200" s="18">
        <v>0.44</v>
      </c>
      <c r="L200" s="18">
        <v>0.44</v>
      </c>
      <c r="M200" s="18">
        <v>0.44</v>
      </c>
      <c r="N200" s="18">
        <v>0.44</v>
      </c>
      <c r="O200" s="18">
        <v>0.44</v>
      </c>
      <c r="P200" s="18">
        <v>0.44</v>
      </c>
      <c r="Q200" s="18">
        <v>0.44</v>
      </c>
      <c r="R200" s="18">
        <v>0.44</v>
      </c>
      <c r="S200" s="18">
        <v>0.44</v>
      </c>
      <c r="T200" s="18">
        <v>0.44</v>
      </c>
      <c r="U200" s="18">
        <v>0.44</v>
      </c>
    </row>
    <row r="201" spans="4:21" x14ac:dyDescent="0.25">
      <c r="D201" s="9" t="s">
        <v>26</v>
      </c>
      <c r="E201" s="9" t="s">
        <v>349</v>
      </c>
      <c r="F201" s="9" t="s">
        <v>379</v>
      </c>
      <c r="G201" s="9">
        <v>175</v>
      </c>
      <c r="H201" s="9" t="s">
        <v>244</v>
      </c>
      <c r="I201" s="9" t="s">
        <v>15</v>
      </c>
      <c r="J201" s="9" t="s">
        <v>65</v>
      </c>
      <c r="K201" s="18">
        <v>94</v>
      </c>
      <c r="L201" s="18">
        <v>94</v>
      </c>
      <c r="M201" s="18">
        <v>94</v>
      </c>
      <c r="N201" s="18">
        <v>94</v>
      </c>
      <c r="O201" s="18">
        <v>94</v>
      </c>
      <c r="P201" s="18">
        <v>94</v>
      </c>
      <c r="Q201" s="18">
        <v>94</v>
      </c>
      <c r="R201" s="18">
        <v>94</v>
      </c>
      <c r="S201" s="18">
        <v>94</v>
      </c>
      <c r="T201" s="18">
        <v>94</v>
      </c>
      <c r="U201" s="18">
        <v>94</v>
      </c>
    </row>
    <row r="202" spans="4:21" x14ac:dyDescent="0.25">
      <c r="D202" s="9" t="s">
        <v>26</v>
      </c>
      <c r="E202" s="9" t="s">
        <v>349</v>
      </c>
      <c r="F202" s="9" t="s">
        <v>379</v>
      </c>
      <c r="G202" s="9">
        <v>175</v>
      </c>
      <c r="H202" s="9" t="s">
        <v>244</v>
      </c>
      <c r="I202" s="9" t="s">
        <v>338</v>
      </c>
      <c r="J202" s="9" t="s">
        <v>339</v>
      </c>
      <c r="K202" s="18">
        <v>0</v>
      </c>
      <c r="L202" s="18">
        <v>0</v>
      </c>
      <c r="M202" s="18">
        <v>0</v>
      </c>
      <c r="N202" s="18">
        <v>0</v>
      </c>
      <c r="O202" s="18">
        <v>0</v>
      </c>
      <c r="P202" s="18">
        <v>0</v>
      </c>
      <c r="Q202" s="18">
        <v>0</v>
      </c>
      <c r="R202" s="18">
        <v>0</v>
      </c>
      <c r="S202" s="18">
        <v>0</v>
      </c>
      <c r="T202" s="18">
        <v>0</v>
      </c>
      <c r="U202" s="18">
        <v>0</v>
      </c>
    </row>
    <row r="203" spans="4:21" x14ac:dyDescent="0.25">
      <c r="D203" s="9" t="s">
        <v>26</v>
      </c>
      <c r="E203" s="9" t="s">
        <v>349</v>
      </c>
      <c r="F203" s="9" t="s">
        <v>379</v>
      </c>
      <c r="G203" s="9">
        <v>175</v>
      </c>
      <c r="H203" s="9" t="s">
        <v>244</v>
      </c>
      <c r="I203" s="9" t="s">
        <v>32</v>
      </c>
      <c r="J203" s="9" t="s">
        <v>57</v>
      </c>
      <c r="K203" s="18">
        <v>0.03</v>
      </c>
      <c r="L203" s="18">
        <v>0.03</v>
      </c>
      <c r="M203" s="18">
        <v>0.03</v>
      </c>
      <c r="N203" s="18">
        <v>0.03</v>
      </c>
      <c r="O203" s="18">
        <v>0.03</v>
      </c>
      <c r="P203" s="18">
        <v>0.03</v>
      </c>
      <c r="Q203" s="18">
        <v>0.03</v>
      </c>
      <c r="R203" s="18">
        <v>0.03</v>
      </c>
      <c r="S203" s="18">
        <v>0.03</v>
      </c>
      <c r="T203" s="18">
        <v>0.03</v>
      </c>
      <c r="U203" s="18">
        <v>0.03</v>
      </c>
    </row>
    <row r="204" spans="4:21" x14ac:dyDescent="0.25">
      <c r="D204" s="9" t="s">
        <v>26</v>
      </c>
      <c r="E204" s="9" t="s">
        <v>349</v>
      </c>
      <c r="F204" s="9" t="s">
        <v>379</v>
      </c>
      <c r="G204" s="9">
        <v>175</v>
      </c>
      <c r="H204" s="9" t="s">
        <v>244</v>
      </c>
      <c r="I204" s="9" t="s">
        <v>341</v>
      </c>
      <c r="J204" s="9" t="s">
        <v>132</v>
      </c>
      <c r="K204" s="18">
        <v>2.5</v>
      </c>
      <c r="L204" s="18">
        <v>2.5</v>
      </c>
      <c r="M204" s="18">
        <v>2.5</v>
      </c>
      <c r="N204" s="18">
        <v>2.5</v>
      </c>
      <c r="O204" s="18">
        <v>2.5</v>
      </c>
      <c r="P204" s="18">
        <v>2.5</v>
      </c>
      <c r="Q204" s="18">
        <v>2.5</v>
      </c>
      <c r="R204" s="18">
        <v>2.5</v>
      </c>
      <c r="S204" s="18">
        <v>2.5</v>
      </c>
      <c r="T204" s="18">
        <v>2.5</v>
      </c>
      <c r="U204" s="18">
        <v>2.5</v>
      </c>
    </row>
    <row r="205" spans="4:21" x14ac:dyDescent="0.25">
      <c r="D205" s="9" t="s">
        <v>26</v>
      </c>
      <c r="E205" s="9" t="s">
        <v>349</v>
      </c>
      <c r="F205" s="9" t="s">
        <v>379</v>
      </c>
      <c r="G205" s="9">
        <v>175</v>
      </c>
      <c r="H205" s="9" t="s">
        <v>244</v>
      </c>
      <c r="I205" s="9" t="s">
        <v>342</v>
      </c>
      <c r="J205" s="9" t="s">
        <v>343</v>
      </c>
      <c r="K205" s="18">
        <v>20</v>
      </c>
      <c r="L205" s="18">
        <v>20</v>
      </c>
      <c r="M205" s="18">
        <v>20</v>
      </c>
      <c r="N205" s="18">
        <v>20</v>
      </c>
      <c r="O205" s="18">
        <v>20</v>
      </c>
      <c r="P205" s="18">
        <v>20</v>
      </c>
      <c r="Q205" s="18">
        <v>20</v>
      </c>
      <c r="R205" s="18">
        <v>20</v>
      </c>
      <c r="S205" s="18">
        <v>20</v>
      </c>
      <c r="T205" s="18">
        <v>20</v>
      </c>
      <c r="U205" s="18">
        <v>20</v>
      </c>
    </row>
    <row r="206" spans="4:21" x14ac:dyDescent="0.25">
      <c r="D206" s="9"/>
      <c r="E206" s="9"/>
      <c r="F206" s="9"/>
      <c r="G206" s="9"/>
      <c r="H206" s="9"/>
      <c r="I206" s="9"/>
      <c r="J206" s="9"/>
      <c r="K206" s="18"/>
      <c r="L206" s="18" t="str">
        <f t="shared" ref="L206:L234" si="0">IF(K206="","",K206)</f>
        <v/>
      </c>
      <c r="M206" s="18" t="str">
        <f t="shared" ref="M206:M234" si="1">IF(L206="","",L206)</f>
        <v/>
      </c>
      <c r="N206" s="18" t="str">
        <f t="shared" ref="N206:N234" si="2">IF(M206="","",M206)</f>
        <v/>
      </c>
      <c r="O206" s="18" t="str">
        <f t="shared" ref="O206:O234" si="3">IF(N206="","",N206)</f>
        <v/>
      </c>
      <c r="P206" s="18" t="str">
        <f t="shared" ref="P206:P234" si="4">IF(O206="","",O206)</f>
        <v/>
      </c>
      <c r="Q206" s="18" t="str">
        <f t="shared" ref="Q206:Q234" si="5">IF(P206="","",P206)</f>
        <v/>
      </c>
      <c r="R206" s="18" t="str">
        <f t="shared" ref="R206:R234" si="6">IF(Q206="","",Q206)</f>
        <v/>
      </c>
      <c r="S206" s="18" t="str">
        <f t="shared" ref="S206:S234" si="7">IF(R206="","",R206)</f>
        <v/>
      </c>
      <c r="T206" s="18" t="str">
        <f t="shared" ref="T206:T234" si="8">IF(S206="","",S206)</f>
        <v/>
      </c>
      <c r="U206" s="18" t="str">
        <f t="shared" ref="U206:U234" si="9">IF(T206="","",T206)</f>
        <v/>
      </c>
    </row>
    <row r="207" spans="4:21" x14ac:dyDescent="0.25">
      <c r="D207" s="9"/>
      <c r="E207" s="9"/>
      <c r="F207" s="9"/>
      <c r="G207" s="9"/>
      <c r="H207" s="9"/>
      <c r="I207" s="9"/>
      <c r="J207" s="9"/>
      <c r="K207" s="18"/>
      <c r="L207" s="18" t="str">
        <f t="shared" si="0"/>
        <v/>
      </c>
      <c r="M207" s="18" t="str">
        <f t="shared" si="1"/>
        <v/>
      </c>
      <c r="N207" s="18" t="str">
        <f t="shared" si="2"/>
        <v/>
      </c>
      <c r="O207" s="18" t="str">
        <f t="shared" si="3"/>
        <v/>
      </c>
      <c r="P207" s="18" t="str">
        <f t="shared" si="4"/>
        <v/>
      </c>
      <c r="Q207" s="18" t="str">
        <f t="shared" si="5"/>
        <v/>
      </c>
      <c r="R207" s="18" t="str">
        <f t="shared" si="6"/>
        <v/>
      </c>
      <c r="S207" s="18" t="str">
        <f t="shared" si="7"/>
        <v/>
      </c>
      <c r="T207" s="18" t="str">
        <f t="shared" si="8"/>
        <v/>
      </c>
      <c r="U207" s="18" t="str">
        <f t="shared" si="9"/>
        <v/>
      </c>
    </row>
    <row r="208" spans="4:21" x14ac:dyDescent="0.25">
      <c r="D208" s="9"/>
      <c r="E208" s="9"/>
      <c r="F208" s="9"/>
      <c r="G208" s="9"/>
      <c r="H208" s="9"/>
      <c r="I208" s="9"/>
      <c r="J208" s="9"/>
      <c r="K208" s="18"/>
      <c r="L208" s="18" t="str">
        <f t="shared" si="0"/>
        <v/>
      </c>
      <c r="M208" s="18" t="str">
        <f t="shared" si="1"/>
        <v/>
      </c>
      <c r="N208" s="18" t="str">
        <f t="shared" si="2"/>
        <v/>
      </c>
      <c r="O208" s="18" t="str">
        <f t="shared" si="3"/>
        <v/>
      </c>
      <c r="P208" s="18" t="str">
        <f t="shared" si="4"/>
        <v/>
      </c>
      <c r="Q208" s="18" t="str">
        <f t="shared" si="5"/>
        <v/>
      </c>
      <c r="R208" s="18" t="str">
        <f t="shared" si="6"/>
        <v/>
      </c>
      <c r="S208" s="18" t="str">
        <f t="shared" si="7"/>
        <v/>
      </c>
      <c r="T208" s="18" t="str">
        <f t="shared" si="8"/>
        <v/>
      </c>
      <c r="U208" s="18" t="str">
        <f t="shared" si="9"/>
        <v/>
      </c>
    </row>
    <row r="209" spans="4:21" x14ac:dyDescent="0.25">
      <c r="D209" s="9"/>
      <c r="E209" s="9"/>
      <c r="F209" s="9"/>
      <c r="G209" s="9"/>
      <c r="H209" s="9"/>
      <c r="I209" s="9"/>
      <c r="J209" s="9"/>
      <c r="K209" s="18"/>
      <c r="L209" s="18" t="str">
        <f t="shared" si="0"/>
        <v/>
      </c>
      <c r="M209" s="18" t="str">
        <f t="shared" si="1"/>
        <v/>
      </c>
      <c r="N209" s="18" t="str">
        <f t="shared" si="2"/>
        <v/>
      </c>
      <c r="O209" s="18" t="str">
        <f t="shared" si="3"/>
        <v/>
      </c>
      <c r="P209" s="18" t="str">
        <f t="shared" si="4"/>
        <v/>
      </c>
      <c r="Q209" s="18" t="str">
        <f t="shared" si="5"/>
        <v/>
      </c>
      <c r="R209" s="18" t="str">
        <f t="shared" si="6"/>
        <v/>
      </c>
      <c r="S209" s="18" t="str">
        <f t="shared" si="7"/>
        <v/>
      </c>
      <c r="T209" s="18" t="str">
        <f t="shared" si="8"/>
        <v/>
      </c>
      <c r="U209" s="18" t="str">
        <f t="shared" si="9"/>
        <v/>
      </c>
    </row>
    <row r="210" spans="4:21" x14ac:dyDescent="0.25">
      <c r="D210" s="9"/>
      <c r="E210" s="9"/>
      <c r="F210" s="9"/>
      <c r="G210" s="9"/>
      <c r="H210" s="9"/>
      <c r="I210" s="9"/>
      <c r="J210" s="9"/>
      <c r="K210" s="18"/>
      <c r="L210" s="18" t="str">
        <f t="shared" si="0"/>
        <v/>
      </c>
      <c r="M210" s="18" t="str">
        <f t="shared" si="1"/>
        <v/>
      </c>
      <c r="N210" s="18" t="str">
        <f t="shared" si="2"/>
        <v/>
      </c>
      <c r="O210" s="18" t="str">
        <f t="shared" si="3"/>
        <v/>
      </c>
      <c r="P210" s="18" t="str">
        <f t="shared" si="4"/>
        <v/>
      </c>
      <c r="Q210" s="18" t="str">
        <f t="shared" si="5"/>
        <v/>
      </c>
      <c r="R210" s="18" t="str">
        <f t="shared" si="6"/>
        <v/>
      </c>
      <c r="S210" s="18" t="str">
        <f t="shared" si="7"/>
        <v/>
      </c>
      <c r="T210" s="18" t="str">
        <f t="shared" si="8"/>
        <v/>
      </c>
      <c r="U210" s="18" t="str">
        <f t="shared" si="9"/>
        <v/>
      </c>
    </row>
    <row r="211" spans="4:21" x14ac:dyDescent="0.25">
      <c r="D211" s="9"/>
      <c r="E211" s="9"/>
      <c r="F211" s="9"/>
      <c r="G211" s="9"/>
      <c r="H211" s="9"/>
      <c r="I211" s="9"/>
      <c r="J211" s="9"/>
      <c r="K211" s="18"/>
      <c r="L211" s="18" t="str">
        <f t="shared" si="0"/>
        <v/>
      </c>
      <c r="M211" s="18" t="str">
        <f t="shared" si="1"/>
        <v/>
      </c>
      <c r="N211" s="18" t="str">
        <f t="shared" si="2"/>
        <v/>
      </c>
      <c r="O211" s="18" t="str">
        <f t="shared" si="3"/>
        <v/>
      </c>
      <c r="P211" s="18" t="str">
        <f t="shared" si="4"/>
        <v/>
      </c>
      <c r="Q211" s="18" t="str">
        <f t="shared" si="5"/>
        <v/>
      </c>
      <c r="R211" s="18" t="str">
        <f t="shared" si="6"/>
        <v/>
      </c>
      <c r="S211" s="18" t="str">
        <f t="shared" si="7"/>
        <v/>
      </c>
      <c r="T211" s="18" t="str">
        <f t="shared" si="8"/>
        <v/>
      </c>
      <c r="U211" s="18" t="str">
        <f t="shared" si="9"/>
        <v/>
      </c>
    </row>
    <row r="212" spans="4:21" x14ac:dyDescent="0.25">
      <c r="D212" s="9"/>
      <c r="E212" s="9"/>
      <c r="F212" s="9"/>
      <c r="G212" s="9"/>
      <c r="H212" s="9"/>
      <c r="I212" s="9"/>
      <c r="J212" s="9"/>
      <c r="K212" s="18"/>
      <c r="L212" s="18" t="str">
        <f t="shared" si="0"/>
        <v/>
      </c>
      <c r="M212" s="18" t="str">
        <f t="shared" si="1"/>
        <v/>
      </c>
      <c r="N212" s="18" t="str">
        <f t="shared" si="2"/>
        <v/>
      </c>
      <c r="O212" s="18" t="str">
        <f t="shared" si="3"/>
        <v/>
      </c>
      <c r="P212" s="18" t="str">
        <f t="shared" si="4"/>
        <v/>
      </c>
      <c r="Q212" s="18" t="str">
        <f t="shared" si="5"/>
        <v/>
      </c>
      <c r="R212" s="18" t="str">
        <f t="shared" si="6"/>
        <v/>
      </c>
      <c r="S212" s="18" t="str">
        <f t="shared" si="7"/>
        <v/>
      </c>
      <c r="T212" s="18" t="str">
        <f t="shared" si="8"/>
        <v/>
      </c>
      <c r="U212" s="18" t="str">
        <f t="shared" si="9"/>
        <v/>
      </c>
    </row>
    <row r="213" spans="4:21" x14ac:dyDescent="0.25">
      <c r="D213" s="9"/>
      <c r="E213" s="9"/>
      <c r="F213" s="9"/>
      <c r="G213" s="9"/>
      <c r="H213" s="9"/>
      <c r="I213" s="9"/>
      <c r="J213" s="9"/>
      <c r="K213" s="18"/>
      <c r="L213" s="18" t="str">
        <f t="shared" si="0"/>
        <v/>
      </c>
      <c r="M213" s="18" t="str">
        <f t="shared" si="1"/>
        <v/>
      </c>
      <c r="N213" s="18" t="str">
        <f t="shared" si="2"/>
        <v/>
      </c>
      <c r="O213" s="18" t="str">
        <f t="shared" si="3"/>
        <v/>
      </c>
      <c r="P213" s="18" t="str">
        <f t="shared" si="4"/>
        <v/>
      </c>
      <c r="Q213" s="18" t="str">
        <f t="shared" si="5"/>
        <v/>
      </c>
      <c r="R213" s="18" t="str">
        <f t="shared" si="6"/>
        <v/>
      </c>
      <c r="S213" s="18" t="str">
        <f t="shared" si="7"/>
        <v/>
      </c>
      <c r="T213" s="18" t="str">
        <f t="shared" si="8"/>
        <v/>
      </c>
      <c r="U213" s="18" t="str">
        <f t="shared" si="9"/>
        <v/>
      </c>
    </row>
    <row r="214" spans="4:21" x14ac:dyDescent="0.25">
      <c r="D214" s="9"/>
      <c r="E214" s="9"/>
      <c r="F214" s="9"/>
      <c r="G214" s="9"/>
      <c r="H214" s="9"/>
      <c r="I214" s="9"/>
      <c r="J214" s="9"/>
      <c r="K214" s="18"/>
      <c r="L214" s="18" t="str">
        <f t="shared" si="0"/>
        <v/>
      </c>
      <c r="M214" s="18" t="str">
        <f t="shared" si="1"/>
        <v/>
      </c>
      <c r="N214" s="18" t="str">
        <f t="shared" si="2"/>
        <v/>
      </c>
      <c r="O214" s="18" t="str">
        <f t="shared" si="3"/>
        <v/>
      </c>
      <c r="P214" s="18" t="str">
        <f t="shared" si="4"/>
        <v/>
      </c>
      <c r="Q214" s="18" t="str">
        <f t="shared" si="5"/>
        <v/>
      </c>
      <c r="R214" s="18" t="str">
        <f t="shared" si="6"/>
        <v/>
      </c>
      <c r="S214" s="18" t="str">
        <f t="shared" si="7"/>
        <v/>
      </c>
      <c r="T214" s="18" t="str">
        <f t="shared" si="8"/>
        <v/>
      </c>
      <c r="U214" s="18" t="str">
        <f t="shared" si="9"/>
        <v/>
      </c>
    </row>
    <row r="215" spans="4:21" x14ac:dyDescent="0.25">
      <c r="D215" s="9"/>
      <c r="E215" s="9"/>
      <c r="F215" s="9"/>
      <c r="G215" s="9"/>
      <c r="H215" s="9"/>
      <c r="I215" s="9"/>
      <c r="J215" s="9"/>
      <c r="K215" s="18"/>
      <c r="L215" s="18" t="str">
        <f t="shared" si="0"/>
        <v/>
      </c>
      <c r="M215" s="18" t="str">
        <f t="shared" si="1"/>
        <v/>
      </c>
      <c r="N215" s="18" t="str">
        <f t="shared" si="2"/>
        <v/>
      </c>
      <c r="O215" s="18" t="str">
        <f t="shared" si="3"/>
        <v/>
      </c>
      <c r="P215" s="18" t="str">
        <f t="shared" si="4"/>
        <v/>
      </c>
      <c r="Q215" s="18" t="str">
        <f t="shared" si="5"/>
        <v/>
      </c>
      <c r="R215" s="18" t="str">
        <f t="shared" si="6"/>
        <v/>
      </c>
      <c r="S215" s="18" t="str">
        <f t="shared" si="7"/>
        <v/>
      </c>
      <c r="T215" s="18" t="str">
        <f t="shared" si="8"/>
        <v/>
      </c>
      <c r="U215" s="18" t="str">
        <f t="shared" si="9"/>
        <v/>
      </c>
    </row>
    <row r="216" spans="4:21" x14ac:dyDescent="0.25">
      <c r="D216" s="9"/>
      <c r="E216" s="9"/>
      <c r="F216" s="9"/>
      <c r="G216" s="9"/>
      <c r="H216" s="9"/>
      <c r="I216" s="9"/>
      <c r="J216" s="9"/>
      <c r="K216" s="18"/>
      <c r="L216" s="18" t="str">
        <f t="shared" si="0"/>
        <v/>
      </c>
      <c r="M216" s="18" t="str">
        <f t="shared" si="1"/>
        <v/>
      </c>
      <c r="N216" s="18" t="str">
        <f t="shared" si="2"/>
        <v/>
      </c>
      <c r="O216" s="18" t="str">
        <f t="shared" si="3"/>
        <v/>
      </c>
      <c r="P216" s="18" t="str">
        <f t="shared" si="4"/>
        <v/>
      </c>
      <c r="Q216" s="18" t="str">
        <f t="shared" si="5"/>
        <v/>
      </c>
      <c r="R216" s="18" t="str">
        <f t="shared" si="6"/>
        <v/>
      </c>
      <c r="S216" s="18" t="str">
        <f t="shared" si="7"/>
        <v/>
      </c>
      <c r="T216" s="18" t="str">
        <f t="shared" si="8"/>
        <v/>
      </c>
      <c r="U216" s="18" t="str">
        <f t="shared" si="9"/>
        <v/>
      </c>
    </row>
    <row r="217" spans="4:21" x14ac:dyDescent="0.25">
      <c r="D217" s="9"/>
      <c r="E217" s="9"/>
      <c r="F217" s="9"/>
      <c r="G217" s="9"/>
      <c r="H217" s="9"/>
      <c r="I217" s="9"/>
      <c r="J217" s="9"/>
      <c r="K217" s="18"/>
      <c r="L217" s="18" t="str">
        <f t="shared" si="0"/>
        <v/>
      </c>
      <c r="M217" s="18" t="str">
        <f t="shared" si="1"/>
        <v/>
      </c>
      <c r="N217" s="18" t="str">
        <f t="shared" si="2"/>
        <v/>
      </c>
      <c r="O217" s="18" t="str">
        <f t="shared" si="3"/>
        <v/>
      </c>
      <c r="P217" s="18" t="str">
        <f t="shared" si="4"/>
        <v/>
      </c>
      <c r="Q217" s="18" t="str">
        <f t="shared" si="5"/>
        <v/>
      </c>
      <c r="R217" s="18" t="str">
        <f t="shared" si="6"/>
        <v/>
      </c>
      <c r="S217" s="18" t="str">
        <f t="shared" si="7"/>
        <v/>
      </c>
      <c r="T217" s="18" t="str">
        <f t="shared" si="8"/>
        <v/>
      </c>
      <c r="U217" s="18" t="str">
        <f t="shared" si="9"/>
        <v/>
      </c>
    </row>
    <row r="218" spans="4:21" x14ac:dyDescent="0.25">
      <c r="D218" s="9"/>
      <c r="E218" s="9"/>
      <c r="F218" s="9"/>
      <c r="G218" s="9"/>
      <c r="H218" s="9"/>
      <c r="I218" s="9"/>
      <c r="J218" s="9"/>
      <c r="K218" s="18"/>
      <c r="L218" s="18" t="str">
        <f t="shared" si="0"/>
        <v/>
      </c>
      <c r="M218" s="18" t="str">
        <f t="shared" si="1"/>
        <v/>
      </c>
      <c r="N218" s="18" t="str">
        <f t="shared" si="2"/>
        <v/>
      </c>
      <c r="O218" s="18" t="str">
        <f t="shared" si="3"/>
        <v/>
      </c>
      <c r="P218" s="18" t="str">
        <f t="shared" si="4"/>
        <v/>
      </c>
      <c r="Q218" s="18" t="str">
        <f t="shared" si="5"/>
        <v/>
      </c>
      <c r="R218" s="18" t="str">
        <f t="shared" si="6"/>
        <v/>
      </c>
      <c r="S218" s="18" t="str">
        <f t="shared" si="7"/>
        <v/>
      </c>
      <c r="T218" s="18" t="str">
        <f t="shared" si="8"/>
        <v/>
      </c>
      <c r="U218" s="18" t="str">
        <f t="shared" si="9"/>
        <v/>
      </c>
    </row>
    <row r="219" spans="4:21" x14ac:dyDescent="0.25">
      <c r="D219" s="9"/>
      <c r="E219" s="9"/>
      <c r="F219" s="9"/>
      <c r="G219" s="9"/>
      <c r="H219" s="9"/>
      <c r="I219" s="9"/>
      <c r="J219" s="9"/>
      <c r="K219" s="18"/>
      <c r="L219" s="18" t="str">
        <f t="shared" si="0"/>
        <v/>
      </c>
      <c r="M219" s="18" t="str">
        <f t="shared" si="1"/>
        <v/>
      </c>
      <c r="N219" s="18" t="str">
        <f t="shared" si="2"/>
        <v/>
      </c>
      <c r="O219" s="18" t="str">
        <f t="shared" si="3"/>
        <v/>
      </c>
      <c r="P219" s="18" t="str">
        <f t="shared" si="4"/>
        <v/>
      </c>
      <c r="Q219" s="18" t="str">
        <f t="shared" si="5"/>
        <v/>
      </c>
      <c r="R219" s="18" t="str">
        <f t="shared" si="6"/>
        <v/>
      </c>
      <c r="S219" s="18" t="str">
        <f t="shared" si="7"/>
        <v/>
      </c>
      <c r="T219" s="18" t="str">
        <f t="shared" si="8"/>
        <v/>
      </c>
      <c r="U219" s="18" t="str">
        <f t="shared" si="9"/>
        <v/>
      </c>
    </row>
    <row r="220" spans="4:21" x14ac:dyDescent="0.25">
      <c r="D220" s="9"/>
      <c r="E220" s="9"/>
      <c r="F220" s="9"/>
      <c r="G220" s="9"/>
      <c r="H220" s="9"/>
      <c r="I220" s="9"/>
      <c r="J220" s="9"/>
      <c r="K220" s="18"/>
      <c r="L220" s="18" t="str">
        <f t="shared" si="0"/>
        <v/>
      </c>
      <c r="M220" s="18" t="str">
        <f t="shared" si="1"/>
        <v/>
      </c>
      <c r="N220" s="18" t="str">
        <f t="shared" si="2"/>
        <v/>
      </c>
      <c r="O220" s="18" t="str">
        <f t="shared" si="3"/>
        <v/>
      </c>
      <c r="P220" s="18" t="str">
        <f t="shared" si="4"/>
        <v/>
      </c>
      <c r="Q220" s="18" t="str">
        <f t="shared" si="5"/>
        <v/>
      </c>
      <c r="R220" s="18" t="str">
        <f t="shared" si="6"/>
        <v/>
      </c>
      <c r="S220" s="18" t="str">
        <f t="shared" si="7"/>
        <v/>
      </c>
      <c r="T220" s="18" t="str">
        <f t="shared" si="8"/>
        <v/>
      </c>
      <c r="U220" s="18" t="str">
        <f t="shared" si="9"/>
        <v/>
      </c>
    </row>
    <row r="221" spans="4:21" x14ac:dyDescent="0.25">
      <c r="D221" s="9"/>
      <c r="E221" s="9"/>
      <c r="F221" s="9"/>
      <c r="G221" s="9"/>
      <c r="H221" s="9"/>
      <c r="I221" s="9"/>
      <c r="J221" s="9"/>
      <c r="K221" s="18"/>
      <c r="L221" s="18" t="str">
        <f t="shared" si="0"/>
        <v/>
      </c>
      <c r="M221" s="18" t="str">
        <f t="shared" si="1"/>
        <v/>
      </c>
      <c r="N221" s="18" t="str">
        <f t="shared" si="2"/>
        <v/>
      </c>
      <c r="O221" s="18" t="str">
        <f t="shared" si="3"/>
        <v/>
      </c>
      <c r="P221" s="18" t="str">
        <f t="shared" si="4"/>
        <v/>
      </c>
      <c r="Q221" s="18" t="str">
        <f t="shared" si="5"/>
        <v/>
      </c>
      <c r="R221" s="18" t="str">
        <f t="shared" si="6"/>
        <v/>
      </c>
      <c r="S221" s="18" t="str">
        <f t="shared" si="7"/>
        <v/>
      </c>
      <c r="T221" s="18" t="str">
        <f t="shared" si="8"/>
        <v/>
      </c>
      <c r="U221" s="18" t="str">
        <f t="shared" si="9"/>
        <v/>
      </c>
    </row>
    <row r="222" spans="4:21" x14ac:dyDescent="0.25">
      <c r="D222" s="9"/>
      <c r="E222" s="9"/>
      <c r="F222" s="9"/>
      <c r="G222" s="9"/>
      <c r="H222" s="9"/>
      <c r="I222" s="9"/>
      <c r="J222" s="9"/>
      <c r="K222" s="18"/>
      <c r="L222" s="18" t="str">
        <f t="shared" si="0"/>
        <v/>
      </c>
      <c r="M222" s="18" t="str">
        <f t="shared" si="1"/>
        <v/>
      </c>
      <c r="N222" s="18" t="str">
        <f t="shared" si="2"/>
        <v/>
      </c>
      <c r="O222" s="18" t="str">
        <f t="shared" si="3"/>
        <v/>
      </c>
      <c r="P222" s="18" t="str">
        <f t="shared" si="4"/>
        <v/>
      </c>
      <c r="Q222" s="18" t="str">
        <f t="shared" si="5"/>
        <v/>
      </c>
      <c r="R222" s="18" t="str">
        <f t="shared" si="6"/>
        <v/>
      </c>
      <c r="S222" s="18" t="str">
        <f t="shared" si="7"/>
        <v/>
      </c>
      <c r="T222" s="18" t="str">
        <f t="shared" si="8"/>
        <v/>
      </c>
      <c r="U222" s="18" t="str">
        <f t="shared" si="9"/>
        <v/>
      </c>
    </row>
    <row r="223" spans="4:21" x14ac:dyDescent="0.25">
      <c r="D223" s="9"/>
      <c r="E223" s="9"/>
      <c r="F223" s="9"/>
      <c r="G223" s="9"/>
      <c r="H223" s="9"/>
      <c r="I223" s="9"/>
      <c r="J223" s="9"/>
      <c r="K223" s="18"/>
      <c r="L223" s="18" t="str">
        <f t="shared" si="0"/>
        <v/>
      </c>
      <c r="M223" s="18" t="str">
        <f t="shared" si="1"/>
        <v/>
      </c>
      <c r="N223" s="18" t="str">
        <f t="shared" si="2"/>
        <v/>
      </c>
      <c r="O223" s="18" t="str">
        <f t="shared" si="3"/>
        <v/>
      </c>
      <c r="P223" s="18" t="str">
        <f t="shared" si="4"/>
        <v/>
      </c>
      <c r="Q223" s="18" t="str">
        <f t="shared" si="5"/>
        <v/>
      </c>
      <c r="R223" s="18" t="str">
        <f t="shared" si="6"/>
        <v/>
      </c>
      <c r="S223" s="18" t="str">
        <f t="shared" si="7"/>
        <v/>
      </c>
      <c r="T223" s="18" t="str">
        <f t="shared" si="8"/>
        <v/>
      </c>
      <c r="U223" s="18" t="str">
        <f t="shared" si="9"/>
        <v/>
      </c>
    </row>
    <row r="224" spans="4:21" x14ac:dyDescent="0.25">
      <c r="D224" s="9"/>
      <c r="E224" s="9"/>
      <c r="F224" s="9"/>
      <c r="G224" s="9"/>
      <c r="H224" s="9"/>
      <c r="I224" s="9"/>
      <c r="J224" s="9"/>
      <c r="K224" s="18"/>
      <c r="L224" s="18" t="str">
        <f t="shared" si="0"/>
        <v/>
      </c>
      <c r="M224" s="18" t="str">
        <f t="shared" si="1"/>
        <v/>
      </c>
      <c r="N224" s="18" t="str">
        <f t="shared" si="2"/>
        <v/>
      </c>
      <c r="O224" s="18" t="str">
        <f t="shared" si="3"/>
        <v/>
      </c>
      <c r="P224" s="18" t="str">
        <f t="shared" si="4"/>
        <v/>
      </c>
      <c r="Q224" s="18" t="str">
        <f t="shared" si="5"/>
        <v/>
      </c>
      <c r="R224" s="18" t="str">
        <f t="shared" si="6"/>
        <v/>
      </c>
      <c r="S224" s="18" t="str">
        <f t="shared" si="7"/>
        <v/>
      </c>
      <c r="T224" s="18" t="str">
        <f t="shared" si="8"/>
        <v/>
      </c>
      <c r="U224" s="18" t="str">
        <f t="shared" si="9"/>
        <v/>
      </c>
    </row>
    <row r="225" spans="4:21" x14ac:dyDescent="0.25">
      <c r="D225" s="9"/>
      <c r="E225" s="9"/>
      <c r="F225" s="9"/>
      <c r="G225" s="9"/>
      <c r="H225" s="9"/>
      <c r="I225" s="9"/>
      <c r="J225" s="9"/>
      <c r="K225" s="18"/>
      <c r="L225" s="18" t="str">
        <f t="shared" si="0"/>
        <v/>
      </c>
      <c r="M225" s="18" t="str">
        <f t="shared" si="1"/>
        <v/>
      </c>
      <c r="N225" s="18" t="str">
        <f t="shared" si="2"/>
        <v/>
      </c>
      <c r="O225" s="18" t="str">
        <f t="shared" si="3"/>
        <v/>
      </c>
      <c r="P225" s="18" t="str">
        <f t="shared" si="4"/>
        <v/>
      </c>
      <c r="Q225" s="18" t="str">
        <f t="shared" si="5"/>
        <v/>
      </c>
      <c r="R225" s="18" t="str">
        <f t="shared" si="6"/>
        <v/>
      </c>
      <c r="S225" s="18" t="str">
        <f t="shared" si="7"/>
        <v/>
      </c>
      <c r="T225" s="18" t="str">
        <f t="shared" si="8"/>
        <v/>
      </c>
      <c r="U225" s="18" t="str">
        <f t="shared" si="9"/>
        <v/>
      </c>
    </row>
    <row r="226" spans="4:21" x14ac:dyDescent="0.25">
      <c r="D226" s="9"/>
      <c r="E226" s="9"/>
      <c r="F226" s="9"/>
      <c r="G226" s="9"/>
      <c r="H226" s="9"/>
      <c r="I226" s="9"/>
      <c r="J226" s="9"/>
      <c r="K226" s="18"/>
      <c r="L226" s="18" t="str">
        <f t="shared" si="0"/>
        <v/>
      </c>
      <c r="M226" s="18" t="str">
        <f t="shared" si="1"/>
        <v/>
      </c>
      <c r="N226" s="18" t="str">
        <f t="shared" si="2"/>
        <v/>
      </c>
      <c r="O226" s="18" t="str">
        <f t="shared" si="3"/>
        <v/>
      </c>
      <c r="P226" s="18" t="str">
        <f t="shared" si="4"/>
        <v/>
      </c>
      <c r="Q226" s="18" t="str">
        <f t="shared" si="5"/>
        <v/>
      </c>
      <c r="R226" s="18" t="str">
        <f t="shared" si="6"/>
        <v/>
      </c>
      <c r="S226" s="18" t="str">
        <f t="shared" si="7"/>
        <v/>
      </c>
      <c r="T226" s="18" t="str">
        <f t="shared" si="8"/>
        <v/>
      </c>
      <c r="U226" s="18" t="str">
        <f t="shared" si="9"/>
        <v/>
      </c>
    </row>
    <row r="227" spans="4:21" x14ac:dyDescent="0.25">
      <c r="D227" s="9"/>
      <c r="E227" s="9"/>
      <c r="F227" s="9"/>
      <c r="G227" s="9"/>
      <c r="H227" s="9"/>
      <c r="I227" s="9"/>
      <c r="J227" s="9"/>
      <c r="K227" s="18"/>
      <c r="L227" s="18" t="str">
        <f t="shared" si="0"/>
        <v/>
      </c>
      <c r="M227" s="18" t="str">
        <f t="shared" si="1"/>
        <v/>
      </c>
      <c r="N227" s="18" t="str">
        <f t="shared" si="2"/>
        <v/>
      </c>
      <c r="O227" s="18" t="str">
        <f t="shared" si="3"/>
        <v/>
      </c>
      <c r="P227" s="18" t="str">
        <f t="shared" si="4"/>
        <v/>
      </c>
      <c r="Q227" s="18" t="str">
        <f t="shared" si="5"/>
        <v/>
      </c>
      <c r="R227" s="18" t="str">
        <f t="shared" si="6"/>
        <v/>
      </c>
      <c r="S227" s="18" t="str">
        <f t="shared" si="7"/>
        <v/>
      </c>
      <c r="T227" s="18" t="str">
        <f t="shared" si="8"/>
        <v/>
      </c>
      <c r="U227" s="18" t="str">
        <f t="shared" si="9"/>
        <v/>
      </c>
    </row>
    <row r="228" spans="4:21" x14ac:dyDescent="0.25">
      <c r="D228" s="9"/>
      <c r="E228" s="9"/>
      <c r="F228" s="9"/>
      <c r="G228" s="9"/>
      <c r="H228" s="9"/>
      <c r="I228" s="9"/>
      <c r="J228" s="9"/>
      <c r="K228" s="18"/>
      <c r="L228" s="18" t="str">
        <f t="shared" si="0"/>
        <v/>
      </c>
      <c r="M228" s="18" t="str">
        <f t="shared" si="1"/>
        <v/>
      </c>
      <c r="N228" s="18" t="str">
        <f t="shared" si="2"/>
        <v/>
      </c>
      <c r="O228" s="18" t="str">
        <f t="shared" si="3"/>
        <v/>
      </c>
      <c r="P228" s="18" t="str">
        <f t="shared" si="4"/>
        <v/>
      </c>
      <c r="Q228" s="18" t="str">
        <f t="shared" si="5"/>
        <v/>
      </c>
      <c r="R228" s="18" t="str">
        <f t="shared" si="6"/>
        <v/>
      </c>
      <c r="S228" s="18" t="str">
        <f t="shared" si="7"/>
        <v/>
      </c>
      <c r="T228" s="18" t="str">
        <f t="shared" si="8"/>
        <v/>
      </c>
      <c r="U228" s="18" t="str">
        <f t="shared" si="9"/>
        <v/>
      </c>
    </row>
    <row r="229" spans="4:21" x14ac:dyDescent="0.25">
      <c r="D229" s="9"/>
      <c r="E229" s="9"/>
      <c r="F229" s="9"/>
      <c r="G229" s="9"/>
      <c r="H229" s="9"/>
      <c r="I229" s="9"/>
      <c r="J229" s="9"/>
      <c r="K229" s="18"/>
      <c r="L229" s="18" t="str">
        <f t="shared" si="0"/>
        <v/>
      </c>
      <c r="M229" s="18" t="str">
        <f t="shared" si="1"/>
        <v/>
      </c>
      <c r="N229" s="18" t="str">
        <f t="shared" si="2"/>
        <v/>
      </c>
      <c r="O229" s="18" t="str">
        <f t="shared" si="3"/>
        <v/>
      </c>
      <c r="P229" s="18" t="str">
        <f t="shared" si="4"/>
        <v/>
      </c>
      <c r="Q229" s="18" t="str">
        <f t="shared" si="5"/>
        <v/>
      </c>
      <c r="R229" s="18" t="str">
        <f t="shared" si="6"/>
        <v/>
      </c>
      <c r="S229" s="18" t="str">
        <f t="shared" si="7"/>
        <v/>
      </c>
      <c r="T229" s="18" t="str">
        <f t="shared" si="8"/>
        <v/>
      </c>
      <c r="U229" s="18" t="str">
        <f t="shared" si="9"/>
        <v/>
      </c>
    </row>
    <row r="230" spans="4:21" x14ac:dyDescent="0.25">
      <c r="D230" s="9"/>
      <c r="E230" s="9"/>
      <c r="F230" s="9"/>
      <c r="G230" s="9"/>
      <c r="H230" s="9"/>
      <c r="I230" s="9"/>
      <c r="J230" s="9"/>
      <c r="K230" s="18"/>
      <c r="L230" s="18" t="str">
        <f t="shared" si="0"/>
        <v/>
      </c>
      <c r="M230" s="18" t="str">
        <f t="shared" si="1"/>
        <v/>
      </c>
      <c r="N230" s="18" t="str">
        <f t="shared" si="2"/>
        <v/>
      </c>
      <c r="O230" s="18" t="str">
        <f t="shared" si="3"/>
        <v/>
      </c>
      <c r="P230" s="18" t="str">
        <f t="shared" si="4"/>
        <v/>
      </c>
      <c r="Q230" s="18" t="str">
        <f t="shared" si="5"/>
        <v/>
      </c>
      <c r="R230" s="18" t="str">
        <f t="shared" si="6"/>
        <v/>
      </c>
      <c r="S230" s="18" t="str">
        <f t="shared" si="7"/>
        <v/>
      </c>
      <c r="T230" s="18" t="str">
        <f t="shared" si="8"/>
        <v/>
      </c>
      <c r="U230" s="18" t="str">
        <f t="shared" si="9"/>
        <v/>
      </c>
    </row>
    <row r="231" spans="4:21" x14ac:dyDescent="0.25">
      <c r="D231" s="9"/>
      <c r="E231" s="9"/>
      <c r="F231" s="9"/>
      <c r="G231" s="9"/>
      <c r="H231" s="9"/>
      <c r="I231" s="9"/>
      <c r="J231" s="9"/>
      <c r="K231" s="18"/>
      <c r="L231" s="18" t="str">
        <f t="shared" si="0"/>
        <v/>
      </c>
      <c r="M231" s="18" t="str">
        <f t="shared" si="1"/>
        <v/>
      </c>
      <c r="N231" s="18" t="str">
        <f t="shared" si="2"/>
        <v/>
      </c>
      <c r="O231" s="18" t="str">
        <f t="shared" si="3"/>
        <v/>
      </c>
      <c r="P231" s="18" t="str">
        <f t="shared" si="4"/>
        <v/>
      </c>
      <c r="Q231" s="18" t="str">
        <f t="shared" si="5"/>
        <v/>
      </c>
      <c r="R231" s="18" t="str">
        <f t="shared" si="6"/>
        <v/>
      </c>
      <c r="S231" s="18" t="str">
        <f t="shared" si="7"/>
        <v/>
      </c>
      <c r="T231" s="18" t="str">
        <f t="shared" si="8"/>
        <v/>
      </c>
      <c r="U231" s="18" t="str">
        <f t="shared" si="9"/>
        <v/>
      </c>
    </row>
    <row r="232" spans="4:21" x14ac:dyDescent="0.25">
      <c r="D232" s="9"/>
      <c r="E232" s="9"/>
      <c r="F232" s="9"/>
      <c r="G232" s="9"/>
      <c r="H232" s="9"/>
      <c r="I232" s="9"/>
      <c r="J232" s="9"/>
      <c r="K232" s="18"/>
      <c r="L232" s="18" t="str">
        <f t="shared" si="0"/>
        <v/>
      </c>
      <c r="M232" s="18" t="str">
        <f t="shared" si="1"/>
        <v/>
      </c>
      <c r="N232" s="18" t="str">
        <f t="shared" si="2"/>
        <v/>
      </c>
      <c r="O232" s="18" t="str">
        <f t="shared" si="3"/>
        <v/>
      </c>
      <c r="P232" s="18" t="str">
        <f t="shared" si="4"/>
        <v/>
      </c>
      <c r="Q232" s="18" t="str">
        <f t="shared" si="5"/>
        <v/>
      </c>
      <c r="R232" s="18" t="str">
        <f t="shared" si="6"/>
        <v/>
      </c>
      <c r="S232" s="18" t="str">
        <f t="shared" si="7"/>
        <v/>
      </c>
      <c r="T232" s="18" t="str">
        <f t="shared" si="8"/>
        <v/>
      </c>
      <c r="U232" s="18" t="str">
        <f t="shared" si="9"/>
        <v/>
      </c>
    </row>
    <row r="233" spans="4:21" x14ac:dyDescent="0.25">
      <c r="D233" s="9"/>
      <c r="E233" s="9"/>
      <c r="F233" s="9"/>
      <c r="G233" s="9"/>
      <c r="H233" s="9"/>
      <c r="I233" s="9"/>
      <c r="J233" s="9"/>
      <c r="K233" s="18"/>
      <c r="L233" s="18" t="str">
        <f t="shared" si="0"/>
        <v/>
      </c>
      <c r="M233" s="18" t="str">
        <f t="shared" si="1"/>
        <v/>
      </c>
      <c r="N233" s="18" t="str">
        <f t="shared" si="2"/>
        <v/>
      </c>
      <c r="O233" s="18" t="str">
        <f t="shared" si="3"/>
        <v/>
      </c>
      <c r="P233" s="18" t="str">
        <f t="shared" si="4"/>
        <v/>
      </c>
      <c r="Q233" s="18" t="str">
        <f t="shared" si="5"/>
        <v/>
      </c>
      <c r="R233" s="18" t="str">
        <f t="shared" si="6"/>
        <v/>
      </c>
      <c r="S233" s="18" t="str">
        <f t="shared" si="7"/>
        <v/>
      </c>
      <c r="T233" s="18" t="str">
        <f t="shared" si="8"/>
        <v/>
      </c>
      <c r="U233" s="18" t="str">
        <f t="shared" si="9"/>
        <v/>
      </c>
    </row>
    <row r="234" spans="4:21" ht="15.75" thickBot="1" x14ac:dyDescent="0.3">
      <c r="D234" s="10"/>
      <c r="E234" s="10"/>
      <c r="F234" s="10"/>
      <c r="G234" s="10"/>
      <c r="H234" s="10"/>
      <c r="I234" s="10"/>
      <c r="J234" s="10"/>
      <c r="K234" s="46"/>
      <c r="L234" s="46" t="str">
        <f t="shared" si="0"/>
        <v/>
      </c>
      <c r="M234" s="46" t="str">
        <f t="shared" si="1"/>
        <v/>
      </c>
      <c r="N234" s="46" t="str">
        <f t="shared" si="2"/>
        <v/>
      </c>
      <c r="O234" s="46" t="str">
        <f t="shared" si="3"/>
        <v/>
      </c>
      <c r="P234" s="46" t="str">
        <f t="shared" si="4"/>
        <v/>
      </c>
      <c r="Q234" s="46" t="str">
        <f t="shared" si="5"/>
        <v/>
      </c>
      <c r="R234" s="46" t="str">
        <f t="shared" si="6"/>
        <v/>
      </c>
      <c r="S234" s="46" t="str">
        <f t="shared" si="7"/>
        <v/>
      </c>
      <c r="T234" s="46" t="str">
        <f t="shared" si="8"/>
        <v/>
      </c>
      <c r="U234" s="46" t="str">
        <f t="shared" si="9"/>
        <v/>
      </c>
    </row>
    <row r="235" spans="4:21" x14ac:dyDescent="0.25">
      <c r="D235" s="5" t="e">
        <v>#N/A</v>
      </c>
      <c r="E235" s="5" t="e">
        <v>#N/A</v>
      </c>
      <c r="F235" s="5" t="e">
        <v>#N/A</v>
      </c>
      <c r="G235" s="5" t="e">
        <v>#N/A</v>
      </c>
      <c r="H235" s="5" t="e">
        <v>#N/A</v>
      </c>
      <c r="I235" s="5" t="e">
        <v>#N/A</v>
      </c>
      <c r="J235" s="5" t="e">
        <v>#N/A</v>
      </c>
      <c r="K235" s="5" t="e">
        <v>#N/A</v>
      </c>
      <c r="L235" s="5" t="e">
        <v>#N/A</v>
      </c>
      <c r="M235" s="5" t="e">
        <v>#N/A</v>
      </c>
      <c r="N235" s="5" t="e">
        <v>#N/A</v>
      </c>
      <c r="O235" s="5" t="e">
        <v>#N/A</v>
      </c>
      <c r="P235" s="5" t="e">
        <v>#N/A</v>
      </c>
      <c r="Q235" s="5" t="e">
        <v>#N/A</v>
      </c>
      <c r="R235" s="5" t="e">
        <v>#N/A</v>
      </c>
      <c r="S235" s="5" t="e">
        <v>#N/A</v>
      </c>
      <c r="T235" s="5" t="e">
        <v>#N/A</v>
      </c>
      <c r="U235" s="5" t="e">
        <v>#N/A</v>
      </c>
    </row>
  </sheetData>
  <autoFilter ref="D4:U235"/>
  <dataValidations count="7">
    <dataValidation type="list" allowBlank="1" showInputMessage="1" showErrorMessage="1" sqref="F5:F234">
      <formula1>GranulProcess</formula1>
    </dataValidation>
    <dataValidation type="list" allowBlank="1" showInputMessage="1" showErrorMessage="1" sqref="J5:J50 X130:X136">
      <formula1>Unit</formula1>
    </dataValidation>
    <dataValidation type="list" allowBlank="1" showInputMessage="1" showErrorMessage="1" sqref="I5:I50">
      <formula1>OPEX</formula1>
    </dataValidation>
    <dataValidation type="list" allowBlank="1" showInputMessage="1" showErrorMessage="1" sqref="D5:D103">
      <formula1>Location</formula1>
    </dataValidation>
    <dataValidation type="list" allowBlank="1" showInputMessage="1" showErrorMessage="1" sqref="H5:H50">
      <formula1>GranulProducts</formula1>
    </dataValidation>
    <dataValidation type="list" allowBlank="1" showInputMessage="1" showErrorMessage="1" sqref="G5:G234">
      <formula1>GranulCapacities</formula1>
    </dataValidation>
    <dataValidation type="list" allowBlank="1" showInputMessage="1" showErrorMessage="1" sqref="E5:E234 D104:D126">
      <formula1>"Morocco,Market"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2">
    <tabColor theme="6"/>
  </sheetPr>
  <dimension ref="B1:U49"/>
  <sheetViews>
    <sheetView zoomScaleNormal="100" workbookViewId="0">
      <selection activeCell="D4" sqref="D4"/>
    </sheetView>
  </sheetViews>
  <sheetFormatPr baseColWidth="10" defaultColWidth="11.5703125" defaultRowHeight="15" x14ac:dyDescent="0.25"/>
  <cols>
    <col min="1" max="3" width="3.85546875" style="5" customWidth="1"/>
    <col min="4" max="5" width="15.85546875" style="5" customWidth="1"/>
    <col min="6" max="6" width="27.42578125" style="5" bestFit="1" customWidth="1"/>
    <col min="7" max="7" width="25.85546875" style="5" customWidth="1"/>
    <col min="8" max="11" width="15.85546875" style="5" customWidth="1"/>
    <col min="12" max="21" width="8.85546875" style="5" customWidth="1"/>
    <col min="22" max="16384" width="11.5703125" style="5"/>
  </cols>
  <sheetData>
    <row r="1" spans="2:21" s="79" customFormat="1" ht="24.95" customHeight="1" x14ac:dyDescent="0.25">
      <c r="B1" s="78" t="s">
        <v>248</v>
      </c>
    </row>
    <row r="3" spans="2:21" ht="15.75" thickBot="1" x14ac:dyDescent="0.3">
      <c r="D3" s="38" t="str">
        <f>JESA_UploadTable(B1,D4:U18,db)</f>
        <v>Granulation capex @09:45:18</v>
      </c>
      <c r="E3" s="38"/>
      <c r="F3" s="38"/>
    </row>
    <row r="4" spans="2:21" ht="30" customHeight="1" thickBot="1" x14ac:dyDescent="0.3">
      <c r="D4" s="80" t="s">
        <v>8</v>
      </c>
      <c r="E4" s="80" t="s">
        <v>348</v>
      </c>
      <c r="F4" s="80" t="s">
        <v>24</v>
      </c>
      <c r="G4" s="80" t="s">
        <v>25</v>
      </c>
      <c r="H4" s="80" t="s">
        <v>268</v>
      </c>
      <c r="I4" s="80" t="s">
        <v>12</v>
      </c>
      <c r="J4" s="80" t="s">
        <v>17</v>
      </c>
      <c r="K4" s="80" t="s">
        <v>145</v>
      </c>
      <c r="L4" s="86" t="s">
        <v>71</v>
      </c>
      <c r="M4" s="86" t="s">
        <v>72</v>
      </c>
      <c r="N4" s="86" t="s">
        <v>73</v>
      </c>
      <c r="O4" s="86" t="s">
        <v>74</v>
      </c>
      <c r="P4" s="86" t="s">
        <v>75</v>
      </c>
      <c r="Q4" s="86" t="s">
        <v>362</v>
      </c>
      <c r="R4" s="86" t="s">
        <v>76</v>
      </c>
      <c r="S4" s="86" t="s">
        <v>77</v>
      </c>
      <c r="T4" s="86" t="s">
        <v>78</v>
      </c>
      <c r="U4" s="86" t="s">
        <v>79</v>
      </c>
    </row>
    <row r="5" spans="2:21" ht="15.75" thickBot="1" x14ac:dyDescent="0.3">
      <c r="D5" s="9" t="s">
        <v>26</v>
      </c>
      <c r="E5" s="9" t="s">
        <v>349</v>
      </c>
      <c r="F5" s="45" t="s">
        <v>363</v>
      </c>
      <c r="G5" s="9" t="s">
        <v>379</v>
      </c>
      <c r="H5" s="15">
        <v>1000</v>
      </c>
      <c r="I5" s="9" t="s">
        <v>22</v>
      </c>
      <c r="J5" s="45" t="s">
        <v>375</v>
      </c>
      <c r="K5" s="39">
        <v>147000000</v>
      </c>
      <c r="L5" s="27"/>
      <c r="M5" s="27"/>
      <c r="N5" s="26">
        <v>0.3</v>
      </c>
      <c r="O5" s="26">
        <v>0.3</v>
      </c>
      <c r="P5" s="26">
        <v>0.3</v>
      </c>
      <c r="Q5" s="26">
        <v>0.1</v>
      </c>
      <c r="R5" s="26"/>
      <c r="S5" s="26"/>
      <c r="T5" s="26"/>
      <c r="U5" s="26"/>
    </row>
    <row r="6" spans="2:21" ht="15.75" thickBot="1" x14ac:dyDescent="0.3">
      <c r="D6" s="9" t="s">
        <v>26</v>
      </c>
      <c r="E6" s="9" t="s">
        <v>349</v>
      </c>
      <c r="F6" s="45" t="s">
        <v>363</v>
      </c>
      <c r="G6" s="9" t="s">
        <v>379</v>
      </c>
      <c r="H6" s="15">
        <v>500</v>
      </c>
      <c r="I6" s="9" t="s">
        <v>22</v>
      </c>
      <c r="J6" s="45" t="s">
        <v>375</v>
      </c>
      <c r="K6" s="39">
        <v>90000000</v>
      </c>
      <c r="L6" s="27"/>
      <c r="M6" s="27"/>
      <c r="N6" s="26">
        <v>0.3</v>
      </c>
      <c r="O6" s="26">
        <v>0.3</v>
      </c>
      <c r="P6" s="26">
        <v>0.3</v>
      </c>
      <c r="Q6" s="26">
        <v>0.1</v>
      </c>
      <c r="R6" s="26"/>
      <c r="S6" s="27"/>
      <c r="T6" s="27"/>
      <c r="U6" s="27"/>
    </row>
    <row r="7" spans="2:21" ht="15.75" thickBot="1" x14ac:dyDescent="0.3">
      <c r="D7" s="9" t="s">
        <v>26</v>
      </c>
      <c r="E7" s="9" t="s">
        <v>349</v>
      </c>
      <c r="F7" s="9" t="s">
        <v>85</v>
      </c>
      <c r="G7" s="9" t="s">
        <v>379</v>
      </c>
      <c r="H7" s="15">
        <v>175</v>
      </c>
      <c r="I7" s="9" t="s">
        <v>22</v>
      </c>
      <c r="J7" s="45" t="s">
        <v>375</v>
      </c>
      <c r="K7" s="39">
        <v>58000000</v>
      </c>
      <c r="L7" s="27"/>
      <c r="M7" s="27"/>
      <c r="N7" s="26">
        <v>0.3</v>
      </c>
      <c r="O7" s="26">
        <v>0.3</v>
      </c>
      <c r="P7" s="26">
        <v>0.3</v>
      </c>
      <c r="Q7" s="26">
        <v>0.1</v>
      </c>
      <c r="R7" s="26"/>
      <c r="S7" s="27"/>
      <c r="T7" s="27"/>
      <c r="U7" s="27"/>
    </row>
    <row r="8" spans="2:21" ht="15.75" thickBot="1" x14ac:dyDescent="0.3">
      <c r="D8" s="9" t="s">
        <v>26</v>
      </c>
      <c r="E8" s="9" t="s">
        <v>349</v>
      </c>
      <c r="F8" s="9" t="s">
        <v>244</v>
      </c>
      <c r="G8" s="9" t="s">
        <v>379</v>
      </c>
      <c r="H8" s="15">
        <v>175</v>
      </c>
      <c r="I8" s="9" t="s">
        <v>22</v>
      </c>
      <c r="J8" s="45" t="s">
        <v>375</v>
      </c>
      <c r="K8" s="39">
        <v>58176539.621052623</v>
      </c>
      <c r="L8" s="27"/>
      <c r="M8" s="27"/>
      <c r="N8" s="26">
        <v>0.3</v>
      </c>
      <c r="O8" s="26">
        <v>0.3</v>
      </c>
      <c r="P8" s="26">
        <v>0.3</v>
      </c>
      <c r="Q8" s="26">
        <v>0.1</v>
      </c>
      <c r="R8" s="26"/>
      <c r="S8" s="27"/>
      <c r="T8" s="27"/>
      <c r="U8" s="27"/>
    </row>
    <row r="9" spans="2:21" x14ac:dyDescent="0.25">
      <c r="D9" s="9"/>
      <c r="E9" s="9"/>
      <c r="F9" s="9"/>
      <c r="G9" s="9"/>
      <c r="H9" s="15"/>
      <c r="I9" s="9"/>
      <c r="J9" s="45"/>
      <c r="K9" s="39"/>
      <c r="L9" s="27"/>
      <c r="M9" s="27"/>
      <c r="N9" s="26"/>
      <c r="O9" s="26"/>
      <c r="P9" s="26"/>
      <c r="Q9" s="26"/>
      <c r="R9" s="26"/>
      <c r="S9" s="27"/>
      <c r="T9" s="27"/>
      <c r="U9" s="27"/>
    </row>
    <row r="10" spans="2:21" x14ac:dyDescent="0.25">
      <c r="D10" s="9"/>
      <c r="E10" s="9"/>
      <c r="F10" s="9"/>
      <c r="G10" s="9"/>
      <c r="H10" s="15"/>
      <c r="I10" s="9"/>
      <c r="J10" s="9"/>
      <c r="K10" s="39"/>
      <c r="L10" s="27"/>
      <c r="M10" s="27"/>
      <c r="N10" s="27"/>
      <c r="O10" s="27"/>
      <c r="P10" s="27"/>
      <c r="Q10" s="27"/>
      <c r="R10" s="27"/>
      <c r="S10" s="27"/>
      <c r="T10" s="27"/>
      <c r="U10" s="27"/>
    </row>
    <row r="11" spans="2:21" x14ac:dyDescent="0.25">
      <c r="D11" s="9"/>
      <c r="E11" s="9"/>
      <c r="F11" s="9"/>
      <c r="G11" s="9"/>
      <c r="H11" s="15"/>
      <c r="I11" s="9"/>
      <c r="J11" s="9"/>
      <c r="K11" s="39"/>
      <c r="L11" s="27"/>
      <c r="M11" s="27"/>
      <c r="N11" s="27"/>
      <c r="O11" s="27"/>
      <c r="P11" s="27"/>
      <c r="Q11" s="27"/>
      <c r="R11" s="27"/>
      <c r="S11" s="27"/>
      <c r="T11" s="27"/>
      <c r="U11" s="27"/>
    </row>
    <row r="12" spans="2:21" x14ac:dyDescent="0.25">
      <c r="D12" s="9"/>
      <c r="E12" s="9"/>
      <c r="F12" s="9"/>
      <c r="G12" s="9"/>
      <c r="H12" s="15"/>
      <c r="I12" s="9"/>
      <c r="J12" s="9"/>
      <c r="K12" s="39"/>
      <c r="L12" s="27"/>
      <c r="M12" s="27"/>
      <c r="N12" s="27"/>
      <c r="O12" s="27"/>
      <c r="P12" s="27"/>
      <c r="Q12" s="27"/>
      <c r="R12" s="27"/>
      <c r="S12" s="27"/>
      <c r="T12" s="27"/>
      <c r="U12" s="27"/>
    </row>
    <row r="13" spans="2:21" x14ac:dyDescent="0.25">
      <c r="D13" s="9"/>
      <c r="E13" s="9"/>
      <c r="F13" s="9"/>
      <c r="G13" s="9"/>
      <c r="H13" s="15"/>
      <c r="I13" s="9"/>
      <c r="J13" s="9"/>
      <c r="K13" s="39"/>
      <c r="L13" s="27"/>
      <c r="M13" s="27"/>
      <c r="N13" s="27"/>
      <c r="O13" s="27"/>
      <c r="P13" s="27"/>
      <c r="Q13" s="27"/>
      <c r="R13" s="27"/>
      <c r="S13" s="27"/>
      <c r="T13" s="27"/>
      <c r="U13" s="27"/>
    </row>
    <row r="14" spans="2:21" x14ac:dyDescent="0.25">
      <c r="D14" s="9"/>
      <c r="E14" s="9"/>
      <c r="F14" s="9"/>
      <c r="G14" s="9"/>
      <c r="H14" s="15"/>
      <c r="I14" s="9"/>
      <c r="J14" s="9"/>
      <c r="K14" s="39"/>
      <c r="L14" s="27"/>
      <c r="M14" s="27"/>
      <c r="N14" s="27"/>
      <c r="O14" s="27"/>
      <c r="P14" s="27"/>
      <c r="Q14" s="27"/>
      <c r="R14" s="27"/>
      <c r="S14" s="27"/>
      <c r="T14" s="27"/>
      <c r="U14" s="27"/>
    </row>
    <row r="15" spans="2:21" x14ac:dyDescent="0.25">
      <c r="D15" s="9"/>
      <c r="E15" s="9"/>
      <c r="F15" s="9"/>
      <c r="G15" s="9"/>
      <c r="H15" s="15"/>
      <c r="I15" s="9"/>
      <c r="J15" s="9"/>
      <c r="K15" s="39"/>
      <c r="L15" s="27"/>
      <c r="M15" s="27"/>
      <c r="N15" s="27"/>
      <c r="O15" s="27"/>
      <c r="P15" s="27"/>
      <c r="Q15" s="27"/>
      <c r="R15" s="27"/>
      <c r="S15" s="27"/>
      <c r="T15" s="27"/>
      <c r="U15" s="27"/>
    </row>
    <row r="16" spans="2:21" x14ac:dyDescent="0.25">
      <c r="D16" s="9"/>
      <c r="E16" s="9"/>
      <c r="F16" s="9"/>
      <c r="G16" s="9"/>
      <c r="H16" s="15"/>
      <c r="I16" s="9"/>
      <c r="J16" s="9"/>
      <c r="K16" s="39"/>
      <c r="L16" s="27"/>
      <c r="M16" s="27"/>
      <c r="N16" s="27"/>
      <c r="O16" s="27"/>
      <c r="P16" s="27"/>
      <c r="Q16" s="27"/>
      <c r="R16" s="27"/>
      <c r="S16" s="27"/>
      <c r="T16" s="27"/>
      <c r="U16" s="27"/>
    </row>
    <row r="17" spans="4:21" x14ac:dyDescent="0.25">
      <c r="D17" s="9"/>
      <c r="E17" s="9"/>
      <c r="F17" s="9"/>
      <c r="G17" s="9"/>
      <c r="H17" s="15"/>
      <c r="I17" s="9"/>
      <c r="J17" s="9"/>
      <c r="K17" s="39"/>
      <c r="L17" s="27"/>
      <c r="M17" s="27"/>
      <c r="N17" s="27"/>
      <c r="O17" s="27"/>
      <c r="P17" s="27"/>
      <c r="Q17" s="27"/>
      <c r="R17" s="27"/>
      <c r="S17" s="27"/>
      <c r="T17" s="27"/>
      <c r="U17" s="27"/>
    </row>
    <row r="18" spans="4:21" x14ac:dyDescent="0.25">
      <c r="D18" s="9"/>
      <c r="E18" s="9"/>
      <c r="F18" s="9"/>
      <c r="G18" s="9"/>
      <c r="H18" s="15"/>
      <c r="I18" s="9"/>
      <c r="J18" s="9"/>
      <c r="K18" s="39"/>
      <c r="L18" s="27"/>
      <c r="M18" s="27"/>
      <c r="N18" s="27"/>
      <c r="O18" s="27"/>
      <c r="P18" s="27"/>
      <c r="Q18" s="27"/>
      <c r="R18" s="27"/>
      <c r="S18" s="27"/>
      <c r="T18" s="27"/>
      <c r="U18" s="27"/>
    </row>
    <row r="19" spans="4:21" x14ac:dyDescent="0.25">
      <c r="D19" s="9"/>
      <c r="E19" s="9"/>
      <c r="F19" s="9"/>
      <c r="G19" s="9"/>
      <c r="H19" s="15"/>
      <c r="I19" s="9"/>
      <c r="J19" s="9"/>
      <c r="K19" s="39"/>
      <c r="L19" s="27"/>
      <c r="M19" s="27"/>
      <c r="N19" s="27"/>
      <c r="O19" s="27"/>
      <c r="P19" s="27"/>
      <c r="Q19" s="27"/>
      <c r="R19" s="27"/>
      <c r="S19" s="27"/>
      <c r="T19" s="27"/>
      <c r="U19" s="27"/>
    </row>
    <row r="20" spans="4:21" x14ac:dyDescent="0.25">
      <c r="D20" s="9"/>
      <c r="E20" s="9"/>
      <c r="F20" s="9"/>
      <c r="G20" s="9"/>
      <c r="H20" s="15"/>
      <c r="I20" s="9"/>
      <c r="J20" s="9"/>
      <c r="K20" s="39"/>
      <c r="L20" s="27"/>
      <c r="M20" s="27"/>
      <c r="N20" s="27"/>
      <c r="O20" s="27"/>
      <c r="P20" s="27"/>
      <c r="Q20" s="27"/>
      <c r="R20" s="27"/>
      <c r="S20" s="27"/>
      <c r="T20" s="27"/>
      <c r="U20" s="27"/>
    </row>
    <row r="21" spans="4:21" x14ac:dyDescent="0.25">
      <c r="D21" s="9"/>
      <c r="E21" s="9"/>
      <c r="F21" s="9"/>
      <c r="G21" s="9"/>
      <c r="H21" s="15"/>
      <c r="I21" s="9"/>
      <c r="J21" s="9"/>
      <c r="K21" s="39"/>
      <c r="L21" s="27"/>
      <c r="M21" s="27"/>
      <c r="N21" s="27"/>
      <c r="O21" s="27"/>
      <c r="P21" s="27"/>
      <c r="Q21" s="27"/>
      <c r="R21" s="27"/>
      <c r="S21" s="27"/>
      <c r="T21" s="27"/>
      <c r="U21" s="27"/>
    </row>
    <row r="22" spans="4:21" x14ac:dyDescent="0.25">
      <c r="D22" s="9"/>
      <c r="E22" s="9"/>
      <c r="F22" s="9"/>
      <c r="G22" s="9"/>
      <c r="H22" s="15"/>
      <c r="I22" s="9"/>
      <c r="J22" s="9"/>
      <c r="K22" s="9"/>
      <c r="L22" s="27"/>
      <c r="M22" s="27"/>
      <c r="N22" s="27"/>
      <c r="O22" s="27"/>
      <c r="P22" s="27"/>
      <c r="Q22" s="27"/>
      <c r="R22" s="27"/>
      <c r="S22" s="27"/>
      <c r="T22" s="27"/>
      <c r="U22" s="27"/>
    </row>
    <row r="23" spans="4:21" x14ac:dyDescent="0.25">
      <c r="D23" s="9"/>
      <c r="E23" s="9"/>
      <c r="F23" s="9"/>
      <c r="G23" s="9"/>
      <c r="H23" s="15"/>
      <c r="I23" s="9"/>
      <c r="J23" s="9"/>
      <c r="K23" s="9"/>
      <c r="L23" s="27"/>
      <c r="M23" s="27"/>
      <c r="N23" s="27"/>
      <c r="O23" s="27"/>
      <c r="P23" s="27"/>
      <c r="Q23" s="27"/>
      <c r="R23" s="27"/>
      <c r="S23" s="27"/>
      <c r="T23" s="27"/>
      <c r="U23" s="27"/>
    </row>
    <row r="24" spans="4:21" x14ac:dyDescent="0.25">
      <c r="D24" s="9"/>
      <c r="E24" s="9"/>
      <c r="F24" s="9"/>
      <c r="G24" s="9"/>
      <c r="H24" s="15"/>
      <c r="I24" s="9"/>
      <c r="J24" s="9"/>
      <c r="K24" s="9"/>
      <c r="L24" s="27"/>
      <c r="M24" s="27"/>
      <c r="N24" s="27"/>
      <c r="O24" s="27"/>
      <c r="P24" s="27"/>
      <c r="Q24" s="27"/>
      <c r="R24" s="27"/>
      <c r="S24" s="27"/>
      <c r="T24" s="27"/>
      <c r="U24" s="27"/>
    </row>
    <row r="25" spans="4:21" x14ac:dyDescent="0.25">
      <c r="D25" s="9"/>
      <c r="E25" s="9"/>
      <c r="F25" s="9"/>
      <c r="G25" s="9"/>
      <c r="H25" s="15"/>
      <c r="I25" s="9"/>
      <c r="J25" s="9"/>
      <c r="K25" s="9"/>
      <c r="L25" s="27"/>
      <c r="M25" s="27"/>
      <c r="N25" s="27"/>
      <c r="O25" s="27"/>
      <c r="P25" s="27"/>
      <c r="Q25" s="27"/>
      <c r="R25" s="27"/>
      <c r="S25" s="27"/>
      <c r="T25" s="27"/>
      <c r="U25" s="27"/>
    </row>
    <row r="26" spans="4:21" x14ac:dyDescent="0.25">
      <c r="D26" s="9"/>
      <c r="E26" s="9"/>
      <c r="F26" s="9"/>
      <c r="G26" s="9"/>
      <c r="H26" s="15"/>
      <c r="I26" s="9"/>
      <c r="J26" s="9"/>
      <c r="K26" s="9"/>
      <c r="L26" s="27"/>
      <c r="M26" s="27"/>
      <c r="N26" s="27"/>
      <c r="O26" s="27"/>
      <c r="P26" s="27"/>
      <c r="Q26" s="27"/>
      <c r="R26" s="27"/>
      <c r="S26" s="27"/>
      <c r="T26" s="27"/>
      <c r="U26" s="27"/>
    </row>
    <row r="27" spans="4:21" x14ac:dyDescent="0.25">
      <c r="D27" s="9"/>
      <c r="E27" s="9"/>
      <c r="F27" s="9"/>
      <c r="G27" s="9"/>
      <c r="H27" s="15"/>
      <c r="I27" s="9"/>
      <c r="J27" s="9"/>
      <c r="K27" s="9"/>
      <c r="L27" s="27"/>
      <c r="M27" s="27"/>
      <c r="N27" s="27"/>
      <c r="O27" s="27"/>
      <c r="P27" s="27"/>
      <c r="Q27" s="27"/>
      <c r="R27" s="27"/>
      <c r="S27" s="27"/>
      <c r="T27" s="27"/>
      <c r="U27" s="27"/>
    </row>
    <row r="28" spans="4:21" x14ac:dyDescent="0.25">
      <c r="D28" s="9"/>
      <c r="E28" s="9"/>
      <c r="F28" s="9"/>
      <c r="G28" s="9"/>
      <c r="H28" s="15"/>
      <c r="I28" s="9"/>
      <c r="J28" s="9"/>
      <c r="K28" s="9"/>
      <c r="L28" s="27"/>
      <c r="M28" s="27"/>
      <c r="N28" s="27"/>
      <c r="O28" s="27"/>
      <c r="P28" s="27"/>
      <c r="Q28" s="27"/>
      <c r="R28" s="27"/>
      <c r="S28" s="27"/>
      <c r="T28" s="27"/>
      <c r="U28" s="27"/>
    </row>
    <row r="29" spans="4:21" x14ac:dyDescent="0.25">
      <c r="D29" s="9"/>
      <c r="E29" s="9"/>
      <c r="F29" s="9"/>
      <c r="G29" s="9"/>
      <c r="H29" s="15"/>
      <c r="I29" s="9"/>
      <c r="J29" s="9"/>
      <c r="K29" s="9"/>
      <c r="L29" s="27"/>
      <c r="M29" s="27"/>
      <c r="N29" s="27"/>
      <c r="O29" s="27"/>
      <c r="P29" s="27"/>
      <c r="Q29" s="27"/>
      <c r="R29" s="27"/>
      <c r="S29" s="27"/>
      <c r="T29" s="27"/>
      <c r="U29" s="27"/>
    </row>
    <row r="30" spans="4:21" x14ac:dyDescent="0.25">
      <c r="D30" s="9"/>
      <c r="E30" s="9"/>
      <c r="F30" s="9"/>
      <c r="G30" s="9"/>
      <c r="H30" s="15"/>
      <c r="I30" s="9"/>
      <c r="J30" s="9"/>
      <c r="K30" s="9"/>
      <c r="L30" s="27"/>
      <c r="M30" s="27"/>
      <c r="N30" s="27"/>
      <c r="O30" s="27"/>
      <c r="P30" s="27"/>
      <c r="Q30" s="27"/>
      <c r="R30" s="27"/>
      <c r="S30" s="27"/>
      <c r="T30" s="27"/>
      <c r="U30" s="27"/>
    </row>
    <row r="31" spans="4:21" x14ac:dyDescent="0.25">
      <c r="D31" s="9"/>
      <c r="E31" s="9"/>
      <c r="F31" s="9"/>
      <c r="G31" s="9"/>
      <c r="H31" s="15"/>
      <c r="I31" s="9"/>
      <c r="J31" s="9"/>
      <c r="K31" s="9"/>
      <c r="L31" s="27"/>
      <c r="M31" s="27"/>
      <c r="N31" s="27"/>
      <c r="O31" s="27"/>
      <c r="P31" s="27"/>
      <c r="Q31" s="27"/>
      <c r="R31" s="27"/>
      <c r="S31" s="27"/>
      <c r="T31" s="27"/>
      <c r="U31" s="27"/>
    </row>
    <row r="32" spans="4:21" x14ac:dyDescent="0.25">
      <c r="D32" s="9"/>
      <c r="E32" s="9"/>
      <c r="F32" s="9"/>
      <c r="G32" s="9"/>
      <c r="H32" s="15"/>
      <c r="I32" s="9"/>
      <c r="J32" s="9"/>
      <c r="K32" s="9"/>
      <c r="L32" s="27"/>
      <c r="M32" s="27"/>
      <c r="N32" s="27"/>
      <c r="O32" s="27"/>
      <c r="P32" s="27"/>
      <c r="Q32" s="27"/>
      <c r="R32" s="27"/>
      <c r="S32" s="27"/>
      <c r="T32" s="27"/>
      <c r="U32" s="27"/>
    </row>
    <row r="33" spans="4:21" x14ac:dyDescent="0.25">
      <c r="D33" s="9"/>
      <c r="E33" s="9"/>
      <c r="F33" s="9"/>
      <c r="G33" s="9"/>
      <c r="H33" s="15"/>
      <c r="I33" s="9"/>
      <c r="J33" s="9"/>
      <c r="K33" s="9"/>
      <c r="L33" s="27"/>
      <c r="M33" s="27"/>
      <c r="N33" s="27"/>
      <c r="O33" s="27"/>
      <c r="P33" s="27"/>
      <c r="Q33" s="27"/>
      <c r="R33" s="27"/>
      <c r="S33" s="27"/>
      <c r="T33" s="27"/>
      <c r="U33" s="27"/>
    </row>
    <row r="34" spans="4:21" x14ac:dyDescent="0.25">
      <c r="D34" s="9"/>
      <c r="E34" s="9"/>
      <c r="F34" s="9"/>
      <c r="G34" s="9"/>
      <c r="H34" s="15"/>
      <c r="I34" s="9"/>
      <c r="J34" s="9"/>
      <c r="K34" s="9"/>
      <c r="L34" s="27"/>
      <c r="M34" s="27"/>
      <c r="N34" s="27"/>
      <c r="O34" s="27"/>
      <c r="P34" s="27"/>
      <c r="Q34" s="27"/>
      <c r="R34" s="27"/>
      <c r="S34" s="27"/>
      <c r="T34" s="27"/>
      <c r="U34" s="27"/>
    </row>
    <row r="35" spans="4:21" x14ac:dyDescent="0.25">
      <c r="D35" s="9"/>
      <c r="E35" s="9"/>
      <c r="F35" s="9"/>
      <c r="G35" s="9"/>
      <c r="H35" s="15"/>
      <c r="I35" s="9"/>
      <c r="J35" s="9"/>
      <c r="K35" s="9"/>
      <c r="L35" s="27"/>
      <c r="M35" s="27"/>
      <c r="N35" s="27"/>
      <c r="O35" s="27"/>
      <c r="P35" s="27"/>
      <c r="Q35" s="27"/>
      <c r="R35" s="27"/>
      <c r="S35" s="27"/>
      <c r="T35" s="27"/>
      <c r="U35" s="27"/>
    </row>
    <row r="36" spans="4:21" x14ac:dyDescent="0.25">
      <c r="D36" s="9"/>
      <c r="E36" s="9"/>
      <c r="F36" s="9"/>
      <c r="G36" s="9"/>
      <c r="H36" s="15"/>
      <c r="I36" s="9"/>
      <c r="J36" s="9"/>
      <c r="K36" s="9"/>
      <c r="L36" s="27"/>
      <c r="M36" s="27"/>
      <c r="N36" s="27"/>
      <c r="O36" s="27"/>
      <c r="P36" s="27"/>
      <c r="Q36" s="27"/>
      <c r="R36" s="27"/>
      <c r="S36" s="27"/>
      <c r="T36" s="27"/>
      <c r="U36" s="27"/>
    </row>
    <row r="37" spans="4:21" x14ac:dyDescent="0.25">
      <c r="D37" s="9"/>
      <c r="E37" s="9"/>
      <c r="F37" s="9"/>
      <c r="G37" s="9"/>
      <c r="H37" s="15"/>
      <c r="I37" s="9"/>
      <c r="J37" s="9"/>
      <c r="K37" s="9"/>
      <c r="L37" s="27"/>
      <c r="M37" s="27"/>
      <c r="N37" s="27"/>
      <c r="O37" s="27"/>
      <c r="P37" s="27"/>
      <c r="Q37" s="27"/>
      <c r="R37" s="27"/>
      <c r="S37" s="27"/>
      <c r="T37" s="27"/>
      <c r="U37" s="27"/>
    </row>
    <row r="38" spans="4:21" x14ac:dyDescent="0.25">
      <c r="D38" s="9"/>
      <c r="E38" s="9"/>
      <c r="F38" s="9"/>
      <c r="G38" s="9"/>
      <c r="H38" s="15"/>
      <c r="I38" s="9"/>
      <c r="J38" s="9"/>
      <c r="K38" s="9"/>
      <c r="L38" s="27"/>
      <c r="M38" s="27"/>
      <c r="N38" s="27"/>
      <c r="O38" s="27"/>
      <c r="P38" s="27"/>
      <c r="Q38" s="27"/>
      <c r="R38" s="27"/>
      <c r="S38" s="27"/>
      <c r="T38" s="27"/>
      <c r="U38" s="27"/>
    </row>
    <row r="39" spans="4:21" x14ac:dyDescent="0.25">
      <c r="D39" s="9"/>
      <c r="E39" s="9"/>
      <c r="F39" s="9"/>
      <c r="G39" s="9"/>
      <c r="H39" s="15"/>
      <c r="I39" s="9"/>
      <c r="J39" s="9"/>
      <c r="K39" s="9"/>
      <c r="L39" s="27"/>
      <c r="M39" s="27"/>
      <c r="N39" s="27"/>
      <c r="O39" s="27"/>
      <c r="P39" s="27"/>
      <c r="Q39" s="27"/>
      <c r="R39" s="27"/>
      <c r="S39" s="27"/>
      <c r="T39" s="27"/>
      <c r="U39" s="27"/>
    </row>
    <row r="40" spans="4:21" x14ac:dyDescent="0.25">
      <c r="D40" s="9"/>
      <c r="E40" s="9"/>
      <c r="F40" s="9"/>
      <c r="G40" s="9"/>
      <c r="H40" s="15"/>
      <c r="I40" s="9"/>
      <c r="J40" s="9"/>
      <c r="K40" s="9"/>
      <c r="L40" s="27"/>
      <c r="M40" s="27"/>
      <c r="N40" s="27"/>
      <c r="O40" s="27"/>
      <c r="P40" s="27"/>
      <c r="Q40" s="27"/>
      <c r="R40" s="27"/>
      <c r="S40" s="27"/>
      <c r="T40" s="27"/>
      <c r="U40" s="27"/>
    </row>
    <row r="41" spans="4:21" x14ac:dyDescent="0.25">
      <c r="D41" s="9"/>
      <c r="E41" s="9"/>
      <c r="F41" s="9"/>
      <c r="G41" s="9"/>
      <c r="H41" s="15"/>
      <c r="I41" s="9"/>
      <c r="J41" s="9"/>
      <c r="K41" s="9"/>
      <c r="L41" s="27"/>
      <c r="M41" s="27"/>
      <c r="N41" s="27"/>
      <c r="O41" s="27"/>
      <c r="P41" s="27"/>
      <c r="Q41" s="27"/>
      <c r="R41" s="27"/>
      <c r="S41" s="27"/>
      <c r="T41" s="27"/>
      <c r="U41" s="27"/>
    </row>
    <row r="42" spans="4:21" x14ac:dyDescent="0.25">
      <c r="D42" s="9"/>
      <c r="E42" s="9"/>
      <c r="F42" s="9"/>
      <c r="G42" s="9"/>
      <c r="H42" s="15"/>
      <c r="I42" s="9"/>
      <c r="J42" s="9"/>
      <c r="K42" s="9"/>
      <c r="L42" s="27"/>
      <c r="M42" s="27"/>
      <c r="N42" s="27"/>
      <c r="O42" s="27"/>
      <c r="P42" s="27"/>
      <c r="Q42" s="27"/>
      <c r="R42" s="27"/>
      <c r="S42" s="27"/>
      <c r="T42" s="27"/>
      <c r="U42" s="27"/>
    </row>
    <row r="43" spans="4:21" x14ac:dyDescent="0.25">
      <c r="D43" s="9"/>
      <c r="E43" s="9"/>
      <c r="F43" s="9"/>
      <c r="G43" s="9"/>
      <c r="H43" s="15"/>
      <c r="I43" s="9"/>
      <c r="J43" s="9"/>
      <c r="K43" s="9"/>
      <c r="L43" s="27"/>
      <c r="M43" s="27"/>
      <c r="N43" s="27"/>
      <c r="O43" s="27"/>
      <c r="P43" s="27"/>
      <c r="Q43" s="27"/>
      <c r="R43" s="27"/>
      <c r="S43" s="27"/>
      <c r="T43" s="27"/>
      <c r="U43" s="27"/>
    </row>
    <row r="44" spans="4:21" x14ac:dyDescent="0.25">
      <c r="D44" s="9"/>
      <c r="E44" s="9"/>
      <c r="F44" s="9"/>
      <c r="G44" s="9"/>
      <c r="H44" s="15"/>
      <c r="I44" s="9"/>
      <c r="J44" s="9"/>
      <c r="K44" s="9"/>
      <c r="L44" s="27"/>
      <c r="M44" s="27"/>
      <c r="N44" s="27"/>
      <c r="O44" s="27"/>
      <c r="P44" s="27"/>
      <c r="Q44" s="27"/>
      <c r="R44" s="27"/>
      <c r="S44" s="27"/>
      <c r="T44" s="27"/>
      <c r="U44" s="27"/>
    </row>
    <row r="45" spans="4:21" x14ac:dyDescent="0.25">
      <c r="D45" s="9"/>
      <c r="E45" s="9"/>
      <c r="F45" s="9"/>
      <c r="G45" s="9"/>
      <c r="H45" s="15"/>
      <c r="I45" s="9"/>
      <c r="J45" s="9"/>
      <c r="K45" s="9"/>
      <c r="L45" s="27"/>
      <c r="M45" s="27"/>
      <c r="N45" s="27"/>
      <c r="O45" s="27"/>
      <c r="P45" s="27"/>
      <c r="Q45" s="27"/>
      <c r="R45" s="27"/>
      <c r="S45" s="27"/>
      <c r="T45" s="27"/>
      <c r="U45" s="27"/>
    </row>
    <row r="46" spans="4:21" x14ac:dyDescent="0.25">
      <c r="D46" s="9"/>
      <c r="E46" s="9"/>
      <c r="F46" s="9"/>
      <c r="G46" s="9"/>
      <c r="H46" s="15"/>
      <c r="I46" s="9"/>
      <c r="J46" s="9"/>
      <c r="K46" s="9"/>
      <c r="L46" s="27"/>
      <c r="M46" s="27"/>
      <c r="N46" s="27"/>
      <c r="O46" s="27"/>
      <c r="P46" s="27"/>
      <c r="Q46" s="27"/>
      <c r="R46" s="27"/>
      <c r="S46" s="27"/>
      <c r="T46" s="27"/>
      <c r="U46" s="27"/>
    </row>
    <row r="47" spans="4:21" x14ac:dyDescent="0.25">
      <c r="D47" s="9"/>
      <c r="E47" s="9"/>
      <c r="F47" s="9"/>
      <c r="G47" s="9"/>
      <c r="H47" s="15"/>
      <c r="I47" s="9"/>
      <c r="J47" s="9"/>
      <c r="K47" s="9"/>
      <c r="L47" s="27"/>
      <c r="M47" s="27"/>
      <c r="N47" s="27"/>
      <c r="O47" s="27"/>
      <c r="P47" s="27"/>
      <c r="Q47" s="27"/>
      <c r="R47" s="27"/>
      <c r="S47" s="27"/>
      <c r="T47" s="27"/>
      <c r="U47" s="27"/>
    </row>
    <row r="48" spans="4:21" ht="15.75" thickBot="1" x14ac:dyDescent="0.3">
      <c r="D48" s="10"/>
      <c r="E48" s="10"/>
      <c r="F48" s="10"/>
      <c r="G48" s="10"/>
      <c r="H48" s="16"/>
      <c r="I48" s="10"/>
      <c r="J48" s="10"/>
      <c r="K48" s="10"/>
      <c r="L48" s="44"/>
      <c r="M48" s="44"/>
      <c r="N48" s="44"/>
      <c r="O48" s="44"/>
      <c r="P48" s="44"/>
      <c r="Q48" s="44"/>
      <c r="R48" s="44"/>
      <c r="S48" s="44"/>
      <c r="T48" s="44"/>
      <c r="U48" s="44"/>
    </row>
    <row r="49" spans="4:21" x14ac:dyDescent="0.25">
      <c r="D49" s="5" t="e">
        <v>#N/A</v>
      </c>
      <c r="G49" s="5" t="e">
        <v>#N/A</v>
      </c>
      <c r="H49" s="5" t="e">
        <v>#N/A</v>
      </c>
      <c r="I49" s="5" t="e">
        <v>#N/A</v>
      </c>
      <c r="J49" s="5" t="e">
        <v>#N/A</v>
      </c>
      <c r="L49" s="5" t="e">
        <v>#N/A</v>
      </c>
      <c r="M49" s="5" t="e">
        <v>#N/A</v>
      </c>
      <c r="N49" s="5" t="e">
        <v>#N/A</v>
      </c>
      <c r="O49" s="5" t="e">
        <v>#N/A</v>
      </c>
      <c r="P49" s="5" t="e">
        <v>#N/A</v>
      </c>
      <c r="Q49" s="5" t="e">
        <v>#N/A</v>
      </c>
      <c r="R49" s="5" t="e">
        <v>#N/A</v>
      </c>
      <c r="S49" s="5" t="e">
        <v>#N/A</v>
      </c>
      <c r="T49" s="5" t="e">
        <v>#N/A</v>
      </c>
      <c r="U49" s="5" t="e">
        <v>#N/A</v>
      </c>
    </row>
  </sheetData>
  <dataValidations count="8">
    <dataValidation type="list" allowBlank="1" showInputMessage="1" showErrorMessage="1" sqref="K22:K48 J5:J48">
      <formula1>Currency</formula1>
    </dataValidation>
    <dataValidation type="list" allowBlank="1" showInputMessage="1" showErrorMessage="1" sqref="H22:H48">
      <formula1>GranulCapacities</formula1>
    </dataValidation>
    <dataValidation type="list" allowBlank="1" showInputMessage="1" showErrorMessage="1" sqref="G5:G48">
      <formula1>GranulProcess</formula1>
    </dataValidation>
    <dataValidation type="list" allowBlank="1" showInputMessage="1" showErrorMessage="1" sqref="I5:I48">
      <formula1>GranulationCapex</formula1>
    </dataValidation>
    <dataValidation type="list" allowBlank="1" showInputMessage="1" showErrorMessage="1" sqref="D5:D48">
      <formula1>Location</formula1>
    </dataValidation>
    <dataValidation type="list" allowBlank="1" showInputMessage="1" showErrorMessage="1" sqref="H5:H21">
      <formula1>GranulationOptionsCapacity</formula1>
    </dataValidation>
    <dataValidation type="list" allowBlank="1" showInputMessage="1" showErrorMessage="1" sqref="E5:E48">
      <formula1>"Morocco,Market"</formula1>
    </dataValidation>
    <dataValidation type="list" allowBlank="1" showInputMessage="1" showErrorMessage="1" sqref="F5:F48">
      <formula1>GranulProducts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4">
    <tabColor rgb="FFFF3300"/>
  </sheetPr>
  <dimension ref="B1:J41"/>
  <sheetViews>
    <sheetView workbookViewId="0">
      <selection activeCell="J4" sqref="J4"/>
    </sheetView>
  </sheetViews>
  <sheetFormatPr baseColWidth="10" defaultColWidth="11.5703125" defaultRowHeight="15" x14ac:dyDescent="0.25"/>
  <cols>
    <col min="1" max="3" width="3.85546875" style="1" customWidth="1"/>
    <col min="4" max="4" width="20.85546875" style="1" customWidth="1"/>
    <col min="5" max="5" width="1.85546875" style="1" customWidth="1"/>
    <col min="6" max="6" width="20.85546875" style="1" customWidth="1"/>
    <col min="7" max="7" width="1.85546875" style="1" customWidth="1"/>
    <col min="8" max="8" width="20.85546875" style="1" customWidth="1"/>
    <col min="9" max="9" width="1.85546875" style="1" customWidth="1"/>
    <col min="10" max="10" width="20.85546875" style="1" customWidth="1"/>
    <col min="11" max="16384" width="11.5703125" style="1"/>
  </cols>
  <sheetData>
    <row r="1" spans="2:10" s="88" customFormat="1" ht="24.95" customHeight="1" x14ac:dyDescent="0.25">
      <c r="B1" s="87" t="s">
        <v>249</v>
      </c>
    </row>
    <row r="3" spans="2:10" ht="15.75" thickBot="1" x14ac:dyDescent="0.3">
      <c r="D3" s="1" t="str">
        <f>JESA_UploadTable(D4,D4:D40,db)</f>
        <v>Logistics/Process @09:45:18</v>
      </c>
      <c r="F3" s="1" t="str">
        <f>JESA_UploadTable(F4,F4:F40,db)</f>
        <v>Logistics/Product @09:45:18</v>
      </c>
      <c r="H3" s="1" t="str">
        <f>JESA_UploadTable(H4,H4:H40,db)</f>
        <v>Logistics/CAPEX @09:45:17</v>
      </c>
      <c r="J3" s="1" t="str">
        <f>JESA_UploadTable(J4,J4:J40,db)</f>
        <v>Logistics/Name @09:45:17</v>
      </c>
    </row>
    <row r="4" spans="2:10" ht="30" customHeight="1" thickBot="1" x14ac:dyDescent="0.3">
      <c r="D4" s="89" t="s">
        <v>250</v>
      </c>
      <c r="F4" s="89" t="s">
        <v>251</v>
      </c>
      <c r="H4" s="89" t="s">
        <v>252</v>
      </c>
      <c r="J4" s="89" t="s">
        <v>253</v>
      </c>
    </row>
    <row r="5" spans="2:10" x14ac:dyDescent="0.25">
      <c r="D5" s="81" t="s">
        <v>254</v>
      </c>
      <c r="F5" s="81" t="s">
        <v>186</v>
      </c>
      <c r="H5" s="81" t="s">
        <v>22</v>
      </c>
      <c r="J5" s="81" t="s">
        <v>255</v>
      </c>
    </row>
    <row r="6" spans="2:10" x14ac:dyDescent="0.25">
      <c r="D6" s="82" t="s">
        <v>256</v>
      </c>
      <c r="F6" s="82" t="s">
        <v>257</v>
      </c>
      <c r="H6" s="82" t="s">
        <v>241</v>
      </c>
      <c r="J6" s="82" t="s">
        <v>258</v>
      </c>
    </row>
    <row r="7" spans="2:10" x14ac:dyDescent="0.25">
      <c r="D7" s="82" t="s">
        <v>466</v>
      </c>
      <c r="F7" s="82" t="s">
        <v>29</v>
      </c>
      <c r="H7" s="82" t="s">
        <v>260</v>
      </c>
      <c r="J7" s="82"/>
    </row>
    <row r="8" spans="2:10" x14ac:dyDescent="0.25">
      <c r="D8" s="82" t="s">
        <v>261</v>
      </c>
      <c r="F8" s="82" t="s">
        <v>262</v>
      </c>
      <c r="H8" s="82" t="s">
        <v>263</v>
      </c>
      <c r="J8" s="82"/>
    </row>
    <row r="9" spans="2:10" x14ac:dyDescent="0.25">
      <c r="D9" s="82"/>
      <c r="F9" s="82" t="s">
        <v>234</v>
      </c>
      <c r="H9" s="82"/>
      <c r="J9" s="82"/>
    </row>
    <row r="10" spans="2:10" x14ac:dyDescent="0.25">
      <c r="D10" s="82"/>
      <c r="F10" s="82"/>
      <c r="H10" s="82"/>
      <c r="J10" s="82"/>
    </row>
    <row r="11" spans="2:10" x14ac:dyDescent="0.25">
      <c r="D11" s="82"/>
      <c r="F11" s="82"/>
      <c r="H11" s="82"/>
      <c r="J11" s="82"/>
    </row>
    <row r="12" spans="2:10" x14ac:dyDescent="0.25">
      <c r="D12" s="82"/>
      <c r="F12" s="82"/>
      <c r="H12" s="82"/>
      <c r="J12" s="82"/>
    </row>
    <row r="13" spans="2:10" x14ac:dyDescent="0.25">
      <c r="D13" s="82"/>
      <c r="F13" s="82"/>
      <c r="H13" s="82"/>
      <c r="J13" s="82"/>
    </row>
    <row r="14" spans="2:10" x14ac:dyDescent="0.25">
      <c r="D14" s="82"/>
      <c r="F14" s="82"/>
      <c r="H14" s="82"/>
      <c r="J14" s="82"/>
    </row>
    <row r="15" spans="2:10" x14ac:dyDescent="0.25">
      <c r="D15" s="82"/>
      <c r="F15" s="82"/>
      <c r="H15" s="82"/>
      <c r="J15" s="82"/>
    </row>
    <row r="16" spans="2:10" x14ac:dyDescent="0.25">
      <c r="D16" s="82"/>
      <c r="F16" s="82"/>
      <c r="H16" s="82"/>
      <c r="J16" s="82"/>
    </row>
    <row r="17" spans="4:10" x14ac:dyDescent="0.25">
      <c r="D17" s="82"/>
      <c r="F17" s="82"/>
      <c r="H17" s="82"/>
      <c r="J17" s="82"/>
    </row>
    <row r="18" spans="4:10" x14ac:dyDescent="0.25">
      <c r="D18" s="82"/>
      <c r="F18" s="82"/>
      <c r="H18" s="82"/>
      <c r="J18" s="82"/>
    </row>
    <row r="19" spans="4:10" x14ac:dyDescent="0.25">
      <c r="D19" s="82"/>
      <c r="F19" s="82"/>
      <c r="H19" s="82"/>
      <c r="J19" s="82"/>
    </row>
    <row r="20" spans="4:10" x14ac:dyDescent="0.25">
      <c r="D20" s="82"/>
      <c r="F20" s="82"/>
      <c r="H20" s="82"/>
      <c r="J20" s="82"/>
    </row>
    <row r="21" spans="4:10" x14ac:dyDescent="0.25">
      <c r="D21" s="82"/>
      <c r="F21" s="82"/>
      <c r="H21" s="82"/>
      <c r="J21" s="82"/>
    </row>
    <row r="22" spans="4:10" x14ac:dyDescent="0.25">
      <c r="D22" s="82"/>
      <c r="F22" s="82"/>
      <c r="H22" s="82"/>
      <c r="J22" s="82"/>
    </row>
    <row r="23" spans="4:10" x14ac:dyDescent="0.25">
      <c r="D23" s="82"/>
      <c r="F23" s="82"/>
      <c r="H23" s="82"/>
      <c r="J23" s="82"/>
    </row>
    <row r="24" spans="4:10" x14ac:dyDescent="0.25">
      <c r="D24" s="82"/>
      <c r="F24" s="82"/>
      <c r="H24" s="82"/>
      <c r="J24" s="82"/>
    </row>
    <row r="25" spans="4:10" x14ac:dyDescent="0.25">
      <c r="D25" s="82"/>
      <c r="F25" s="82"/>
      <c r="H25" s="82"/>
      <c r="J25" s="82"/>
    </row>
    <row r="26" spans="4:10" x14ac:dyDescent="0.25">
      <c r="D26" s="82"/>
      <c r="F26" s="82"/>
      <c r="H26" s="82"/>
      <c r="J26" s="82"/>
    </row>
    <row r="27" spans="4:10" x14ac:dyDescent="0.25">
      <c r="D27" s="82"/>
      <c r="F27" s="82"/>
      <c r="H27" s="82"/>
      <c r="J27" s="82"/>
    </row>
    <row r="28" spans="4:10" x14ac:dyDescent="0.25">
      <c r="D28" s="82"/>
      <c r="F28" s="82"/>
      <c r="H28" s="82"/>
      <c r="J28" s="82"/>
    </row>
    <row r="29" spans="4:10" x14ac:dyDescent="0.25">
      <c r="D29" s="82"/>
      <c r="F29" s="82"/>
      <c r="H29" s="82"/>
      <c r="J29" s="82"/>
    </row>
    <row r="30" spans="4:10" x14ac:dyDescent="0.25">
      <c r="D30" s="82"/>
      <c r="F30" s="82"/>
      <c r="H30" s="82"/>
      <c r="J30" s="82"/>
    </row>
    <row r="31" spans="4:10" x14ac:dyDescent="0.25">
      <c r="D31" s="82"/>
      <c r="F31" s="82"/>
      <c r="H31" s="82"/>
      <c r="J31" s="82"/>
    </row>
    <row r="32" spans="4:10" x14ac:dyDescent="0.25">
      <c r="D32" s="82"/>
      <c r="F32" s="82"/>
      <c r="H32" s="82"/>
      <c r="J32" s="82"/>
    </row>
    <row r="33" spans="4:10" x14ac:dyDescent="0.25">
      <c r="D33" s="82"/>
      <c r="F33" s="82"/>
      <c r="H33" s="82"/>
      <c r="J33" s="82"/>
    </row>
    <row r="34" spans="4:10" x14ac:dyDescent="0.25">
      <c r="D34" s="82"/>
      <c r="F34" s="82"/>
      <c r="H34" s="82"/>
      <c r="J34" s="82"/>
    </row>
    <row r="35" spans="4:10" x14ac:dyDescent="0.25">
      <c r="D35" s="82"/>
      <c r="F35" s="82"/>
      <c r="H35" s="82"/>
      <c r="J35" s="82"/>
    </row>
    <row r="36" spans="4:10" x14ac:dyDescent="0.25">
      <c r="D36" s="82"/>
      <c r="F36" s="82"/>
      <c r="H36" s="82"/>
      <c r="J36" s="82"/>
    </row>
    <row r="37" spans="4:10" x14ac:dyDescent="0.25">
      <c r="D37" s="82"/>
      <c r="F37" s="82"/>
      <c r="H37" s="82"/>
      <c r="J37" s="82"/>
    </row>
    <row r="38" spans="4:10" x14ac:dyDescent="0.25">
      <c r="D38" s="82"/>
      <c r="F38" s="82"/>
      <c r="H38" s="82"/>
      <c r="J38" s="82"/>
    </row>
    <row r="39" spans="4:10" x14ac:dyDescent="0.25">
      <c r="D39" s="82"/>
      <c r="F39" s="82"/>
      <c r="H39" s="82"/>
      <c r="J39" s="82"/>
    </row>
    <row r="40" spans="4:10" ht="15.75" thickBot="1" x14ac:dyDescent="0.3">
      <c r="D40" s="83"/>
      <c r="F40" s="83"/>
      <c r="H40" s="83"/>
      <c r="J40" s="83"/>
    </row>
    <row r="41" spans="4:10" x14ac:dyDescent="0.25">
      <c r="D41" s="1" t="s">
        <v>92</v>
      </c>
      <c r="F41" s="1" t="s">
        <v>92</v>
      </c>
      <c r="H41" s="1" t="s">
        <v>92</v>
      </c>
      <c r="J41" s="1" t="s">
        <v>92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1">
    <tabColor rgb="FFFF3300"/>
  </sheetPr>
  <dimension ref="B1:T82"/>
  <sheetViews>
    <sheetView zoomScaleNormal="100" workbookViewId="0">
      <selection activeCell="D3" sqref="D3"/>
    </sheetView>
  </sheetViews>
  <sheetFormatPr baseColWidth="10" defaultColWidth="11.5703125" defaultRowHeight="15" x14ac:dyDescent="0.25"/>
  <cols>
    <col min="1" max="3" width="3.85546875" style="5" customWidth="1"/>
    <col min="4" max="14" width="15.85546875" style="5" customWidth="1"/>
    <col min="15" max="15" width="12.140625" style="5" bestFit="1" customWidth="1"/>
    <col min="16" max="16" width="80.7109375" style="5" bestFit="1" customWidth="1"/>
    <col min="17" max="17" width="13.5703125" style="5" bestFit="1" customWidth="1"/>
    <col min="18" max="18" width="11.5703125" style="5"/>
    <col min="19" max="19" width="16.42578125" style="5" bestFit="1" customWidth="1"/>
    <col min="20" max="16384" width="11.5703125" style="5"/>
  </cols>
  <sheetData>
    <row r="1" spans="2:20" s="91" customFormat="1" ht="24.95" customHeight="1" x14ac:dyDescent="0.25">
      <c r="B1" s="90" t="s">
        <v>264</v>
      </c>
    </row>
    <row r="3" spans="2:20" ht="15.75" thickBot="1" x14ac:dyDescent="0.3">
      <c r="D3" s="38" t="str">
        <f>JESA_UploadTable("logistics_options",D4:P45,db)</f>
        <v>logistics_options @09:45:18</v>
      </c>
    </row>
    <row r="4" spans="2:20" ht="30" customHeight="1" thickBot="1" x14ac:dyDescent="0.3">
      <c r="D4" s="92" t="s">
        <v>30</v>
      </c>
      <c r="E4" s="92" t="s">
        <v>265</v>
      </c>
      <c r="F4" s="92" t="s">
        <v>266</v>
      </c>
      <c r="G4" s="92" t="s">
        <v>455</v>
      </c>
      <c r="H4" s="92" t="s">
        <v>459</v>
      </c>
      <c r="I4" s="92" t="s">
        <v>267</v>
      </c>
      <c r="J4" s="92" t="s">
        <v>24</v>
      </c>
      <c r="K4" s="92" t="s">
        <v>268</v>
      </c>
      <c r="L4" s="92" t="s">
        <v>17</v>
      </c>
      <c r="M4" s="92" t="s">
        <v>70</v>
      </c>
      <c r="N4" s="92" t="s">
        <v>144</v>
      </c>
      <c r="O4" s="92" t="s">
        <v>148</v>
      </c>
      <c r="P4" s="92" t="s">
        <v>149</v>
      </c>
      <c r="T4" s="5">
        <v>1</v>
      </c>
    </row>
    <row r="5" spans="2:20" x14ac:dyDescent="0.25">
      <c r="D5" s="8" t="s">
        <v>383</v>
      </c>
      <c r="E5" s="8" t="s">
        <v>4</v>
      </c>
      <c r="F5" s="8" t="s">
        <v>9</v>
      </c>
      <c r="G5" s="8" t="s">
        <v>384</v>
      </c>
      <c r="H5" s="8" t="s">
        <v>460</v>
      </c>
      <c r="I5" s="14" t="s">
        <v>256</v>
      </c>
      <c r="J5" s="14" t="s">
        <v>186</v>
      </c>
      <c r="K5" s="14">
        <v>3</v>
      </c>
      <c r="L5" s="13" t="s">
        <v>182</v>
      </c>
      <c r="M5" s="13" t="s">
        <v>146</v>
      </c>
      <c r="N5" s="14">
        <v>2022</v>
      </c>
      <c r="O5" s="14">
        <v>2100</v>
      </c>
      <c r="P5" s="8" t="str">
        <f>IF(E5="","","/Logistics/"&amp;CONCATENATE(D5,"/",E5,"/",F5,"/",G5,"/",H5,"/",I5,"/",J5,"/",K5,"/",M5,"/",N5,"/",O5))</f>
        <v>/Logistics/PipeT2BG1/Tassaout/Benguerir/WP2WP/NA/Pipeline/Rock/3/New/2022/2100</v>
      </c>
      <c r="T5" s="5">
        <v>3</v>
      </c>
    </row>
    <row r="6" spans="2:20" x14ac:dyDescent="0.25">
      <c r="D6" s="9" t="s">
        <v>385</v>
      </c>
      <c r="E6" s="9" t="s">
        <v>4</v>
      </c>
      <c r="F6" s="9" t="s">
        <v>9</v>
      </c>
      <c r="G6" s="9" t="s">
        <v>384</v>
      </c>
      <c r="H6" s="9" t="s">
        <v>460</v>
      </c>
      <c r="I6" s="15" t="s">
        <v>256</v>
      </c>
      <c r="J6" s="15" t="s">
        <v>186</v>
      </c>
      <c r="K6" s="15">
        <v>4</v>
      </c>
      <c r="L6" s="11" t="s">
        <v>182</v>
      </c>
      <c r="M6" s="11" t="s">
        <v>146</v>
      </c>
      <c r="N6" s="15">
        <v>2022</v>
      </c>
      <c r="O6" s="15">
        <v>2100</v>
      </c>
      <c r="P6" s="9" t="str">
        <f t="shared" ref="P6:P69" si="0">IF(E6="","","/Logistics/"&amp;CONCATENATE(D6,"/",E6,"/",F6,"/",G6,"/",H6,"/",I6,"/",J6,"/",K6,"/",M6,"/",N6,"/",O6))</f>
        <v>/Logistics/PipeT2BG2/Tassaout/Benguerir/WP2WP/NA/Pipeline/Rock/4/New/2022/2100</v>
      </c>
      <c r="T6" s="5">
        <v>4</v>
      </c>
    </row>
    <row r="7" spans="2:20" x14ac:dyDescent="0.25">
      <c r="D7" s="9" t="s">
        <v>386</v>
      </c>
      <c r="E7" s="9" t="s">
        <v>4</v>
      </c>
      <c r="F7" s="9" t="s">
        <v>9</v>
      </c>
      <c r="G7" s="9" t="s">
        <v>384</v>
      </c>
      <c r="H7" s="9" t="s">
        <v>460</v>
      </c>
      <c r="I7" s="15" t="s">
        <v>256</v>
      </c>
      <c r="J7" s="15" t="s">
        <v>186</v>
      </c>
      <c r="K7" s="15">
        <v>5</v>
      </c>
      <c r="L7" s="11" t="s">
        <v>182</v>
      </c>
      <c r="M7" s="11" t="s">
        <v>146</v>
      </c>
      <c r="N7" s="15">
        <v>2022</v>
      </c>
      <c r="O7" s="15">
        <v>2100</v>
      </c>
      <c r="P7" s="9" t="str">
        <f t="shared" si="0"/>
        <v>/Logistics/PipeT2BG3/Tassaout/Benguerir/WP2WP/NA/Pipeline/Rock/5/New/2022/2100</v>
      </c>
      <c r="T7" s="5">
        <v>5</v>
      </c>
    </row>
    <row r="8" spans="2:20" x14ac:dyDescent="0.25">
      <c r="D8" s="9" t="s">
        <v>387</v>
      </c>
      <c r="E8" s="9" t="s">
        <v>4</v>
      </c>
      <c r="F8" s="9" t="s">
        <v>9</v>
      </c>
      <c r="G8" s="9" t="s">
        <v>384</v>
      </c>
      <c r="H8" s="9" t="s">
        <v>460</v>
      </c>
      <c r="I8" s="15" t="s">
        <v>256</v>
      </c>
      <c r="J8" s="15" t="s">
        <v>186</v>
      </c>
      <c r="K8" s="15">
        <v>6</v>
      </c>
      <c r="L8" s="11" t="s">
        <v>182</v>
      </c>
      <c r="M8" s="11" t="s">
        <v>146</v>
      </c>
      <c r="N8" s="15">
        <v>2022</v>
      </c>
      <c r="O8" s="15">
        <v>2100</v>
      </c>
      <c r="P8" s="9" t="str">
        <f t="shared" si="0"/>
        <v>/Logistics/PipeT2BG4/Tassaout/Benguerir/WP2WP/NA/Pipeline/Rock/6/New/2022/2100</v>
      </c>
      <c r="T8" s="5">
        <v>6</v>
      </c>
    </row>
    <row r="9" spans="2:20" x14ac:dyDescent="0.25">
      <c r="D9" s="9" t="s">
        <v>388</v>
      </c>
      <c r="E9" s="9" t="s">
        <v>4</v>
      </c>
      <c r="F9" s="9" t="s">
        <v>9</v>
      </c>
      <c r="G9" s="9" t="s">
        <v>384</v>
      </c>
      <c r="H9" s="9" t="s">
        <v>460</v>
      </c>
      <c r="I9" s="15" t="s">
        <v>256</v>
      </c>
      <c r="J9" s="15" t="s">
        <v>186</v>
      </c>
      <c r="K9" s="15">
        <v>7</v>
      </c>
      <c r="L9" s="11" t="s">
        <v>182</v>
      </c>
      <c r="M9" s="11" t="s">
        <v>146</v>
      </c>
      <c r="N9" s="15">
        <v>2022</v>
      </c>
      <c r="O9" s="15">
        <v>2100</v>
      </c>
      <c r="P9" s="9" t="str">
        <f t="shared" si="0"/>
        <v>/Logistics/PipeT2BG5/Tassaout/Benguerir/WP2WP/NA/Pipeline/Rock/7/New/2022/2100</v>
      </c>
      <c r="T9" s="5">
        <v>7</v>
      </c>
    </row>
    <row r="10" spans="2:20" x14ac:dyDescent="0.25">
      <c r="D10" s="9" t="s">
        <v>389</v>
      </c>
      <c r="E10" s="9" t="s">
        <v>4</v>
      </c>
      <c r="F10" s="9" t="s">
        <v>9</v>
      </c>
      <c r="G10" s="9" t="s">
        <v>384</v>
      </c>
      <c r="H10" s="9" t="s">
        <v>460</v>
      </c>
      <c r="I10" s="15" t="s">
        <v>256</v>
      </c>
      <c r="J10" s="15" t="s">
        <v>186</v>
      </c>
      <c r="K10" s="15">
        <v>8</v>
      </c>
      <c r="L10" s="11" t="s">
        <v>182</v>
      </c>
      <c r="M10" s="11" t="s">
        <v>146</v>
      </c>
      <c r="N10" s="15">
        <v>2022</v>
      </c>
      <c r="O10" s="15">
        <v>2100</v>
      </c>
      <c r="P10" s="9" t="str">
        <f t="shared" si="0"/>
        <v>/Logistics/PipeT2BG6/Tassaout/Benguerir/WP2WP/NA/Pipeline/Rock/8/New/2022/2100</v>
      </c>
      <c r="T10" s="5">
        <v>8</v>
      </c>
    </row>
    <row r="11" spans="2:20" x14ac:dyDescent="0.25">
      <c r="D11" s="9" t="s">
        <v>390</v>
      </c>
      <c r="E11" s="9" t="s">
        <v>4</v>
      </c>
      <c r="F11" s="9" t="s">
        <v>9</v>
      </c>
      <c r="G11" s="9" t="s">
        <v>384</v>
      </c>
      <c r="H11" s="9" t="s">
        <v>460</v>
      </c>
      <c r="I11" s="15" t="s">
        <v>256</v>
      </c>
      <c r="J11" s="15" t="s">
        <v>186</v>
      </c>
      <c r="K11" s="15">
        <v>9</v>
      </c>
      <c r="L11" s="11" t="s">
        <v>182</v>
      </c>
      <c r="M11" s="11" t="s">
        <v>146</v>
      </c>
      <c r="N11" s="15">
        <v>2022</v>
      </c>
      <c r="O11" s="15">
        <v>2100</v>
      </c>
      <c r="P11" s="9" t="str">
        <f t="shared" si="0"/>
        <v>/Logistics/PipeT2BG7/Tassaout/Benguerir/WP2WP/NA/Pipeline/Rock/9/New/2022/2100</v>
      </c>
      <c r="T11" s="5">
        <v>9</v>
      </c>
    </row>
    <row r="12" spans="2:20" x14ac:dyDescent="0.25">
      <c r="D12" s="9" t="s">
        <v>391</v>
      </c>
      <c r="E12" s="9" t="s">
        <v>4</v>
      </c>
      <c r="F12" s="9" t="s">
        <v>9</v>
      </c>
      <c r="G12" s="9" t="s">
        <v>384</v>
      </c>
      <c r="H12" s="9" t="s">
        <v>460</v>
      </c>
      <c r="I12" s="15" t="s">
        <v>256</v>
      </c>
      <c r="J12" s="15" t="s">
        <v>186</v>
      </c>
      <c r="K12" s="15">
        <v>10</v>
      </c>
      <c r="L12" s="11" t="s">
        <v>182</v>
      </c>
      <c r="M12" s="11" t="s">
        <v>146</v>
      </c>
      <c r="N12" s="15">
        <v>2022</v>
      </c>
      <c r="O12" s="15">
        <v>2100</v>
      </c>
      <c r="P12" s="9" t="str">
        <f t="shared" si="0"/>
        <v>/Logistics/PipeT2BG8/Tassaout/Benguerir/WP2WP/NA/Pipeline/Rock/10/New/2022/2100</v>
      </c>
      <c r="T12" s="5">
        <v>10</v>
      </c>
    </row>
    <row r="13" spans="2:20" x14ac:dyDescent="0.25">
      <c r="D13" s="9" t="s">
        <v>392</v>
      </c>
      <c r="E13" s="9" t="s">
        <v>10</v>
      </c>
      <c r="F13" s="9" t="s">
        <v>9</v>
      </c>
      <c r="G13" s="9" t="s">
        <v>384</v>
      </c>
      <c r="H13" s="9" t="s">
        <v>460</v>
      </c>
      <c r="I13" s="15" t="s">
        <v>256</v>
      </c>
      <c r="J13" s="15" t="s">
        <v>186</v>
      </c>
      <c r="K13" s="15">
        <v>2</v>
      </c>
      <c r="L13" s="11" t="s">
        <v>182</v>
      </c>
      <c r="M13" s="11" t="s">
        <v>146</v>
      </c>
      <c r="N13" s="15">
        <v>2022</v>
      </c>
      <c r="O13" s="15">
        <v>2100</v>
      </c>
      <c r="P13" s="9" t="str">
        <f t="shared" si="0"/>
        <v>/Logistics/PipeNz2BG1/Nzalat/Benguerir/WP2WP/NA/Pipeline/Rock/2/New/2022/2100</v>
      </c>
      <c r="T13" s="5">
        <v>2</v>
      </c>
    </row>
    <row r="14" spans="2:20" x14ac:dyDescent="0.25">
      <c r="D14" s="9" t="s">
        <v>393</v>
      </c>
      <c r="E14" s="9" t="s">
        <v>10</v>
      </c>
      <c r="F14" s="9" t="s">
        <v>9</v>
      </c>
      <c r="G14" s="9" t="s">
        <v>384</v>
      </c>
      <c r="H14" s="9" t="s">
        <v>460</v>
      </c>
      <c r="I14" s="15" t="s">
        <v>256</v>
      </c>
      <c r="J14" s="15" t="s">
        <v>186</v>
      </c>
      <c r="K14" s="15">
        <v>4</v>
      </c>
      <c r="L14" s="11" t="s">
        <v>182</v>
      </c>
      <c r="M14" s="11" t="s">
        <v>146</v>
      </c>
      <c r="N14" s="15">
        <v>2022</v>
      </c>
      <c r="O14" s="15">
        <v>2100</v>
      </c>
      <c r="P14" s="9" t="str">
        <f t="shared" si="0"/>
        <v>/Logistics/PipeNz2BG2/Nzalat/Benguerir/WP2WP/NA/Pipeline/Rock/4/New/2022/2100</v>
      </c>
      <c r="T14" s="5">
        <v>4</v>
      </c>
    </row>
    <row r="15" spans="2:20" x14ac:dyDescent="0.25">
      <c r="D15" s="9" t="s">
        <v>394</v>
      </c>
      <c r="E15" s="9" t="s">
        <v>10</v>
      </c>
      <c r="F15" s="9" t="s">
        <v>9</v>
      </c>
      <c r="G15" s="9" t="s">
        <v>384</v>
      </c>
      <c r="H15" s="9" t="s">
        <v>460</v>
      </c>
      <c r="I15" s="15" t="s">
        <v>256</v>
      </c>
      <c r="J15" s="15" t="s">
        <v>186</v>
      </c>
      <c r="K15" s="15">
        <v>6</v>
      </c>
      <c r="L15" s="11" t="s">
        <v>182</v>
      </c>
      <c r="M15" s="11" t="s">
        <v>146</v>
      </c>
      <c r="N15" s="15">
        <v>2022</v>
      </c>
      <c r="O15" s="15">
        <v>2100</v>
      </c>
      <c r="P15" s="9" t="str">
        <f t="shared" si="0"/>
        <v>/Logistics/PipeNz2BG3/Nzalat/Benguerir/WP2WP/NA/Pipeline/Rock/6/New/2022/2100</v>
      </c>
      <c r="T15" s="5">
        <v>6</v>
      </c>
    </row>
    <row r="16" spans="2:20" x14ac:dyDescent="0.25">
      <c r="D16" s="9" t="s">
        <v>395</v>
      </c>
      <c r="E16" s="9" t="s">
        <v>90</v>
      </c>
      <c r="F16" s="9" t="s">
        <v>3</v>
      </c>
      <c r="G16" s="9" t="s">
        <v>396</v>
      </c>
      <c r="H16" s="9" t="s">
        <v>460</v>
      </c>
      <c r="I16" s="15" t="s">
        <v>256</v>
      </c>
      <c r="J16" s="15" t="s">
        <v>186</v>
      </c>
      <c r="K16" s="15">
        <v>2</v>
      </c>
      <c r="L16" s="11" t="s">
        <v>182</v>
      </c>
      <c r="M16" s="11" t="s">
        <v>146</v>
      </c>
      <c r="N16" s="15">
        <v>2022</v>
      </c>
      <c r="O16" s="15">
        <v>2100</v>
      </c>
      <c r="P16" s="9" t="str">
        <f t="shared" si="0"/>
        <v>/Logistics/PipeYfia2Mz1/Youssoufia/Mzinda/WP2PAP/NA/Pipeline/Rock/2/New/2022/2100</v>
      </c>
      <c r="T16" s="5">
        <v>2</v>
      </c>
    </row>
    <row r="17" spans="4:20" x14ac:dyDescent="0.25">
      <c r="D17" s="9" t="s">
        <v>397</v>
      </c>
      <c r="E17" s="9" t="s">
        <v>90</v>
      </c>
      <c r="F17" s="9" t="s">
        <v>3</v>
      </c>
      <c r="G17" s="9" t="s">
        <v>396</v>
      </c>
      <c r="H17" s="9" t="s">
        <v>460</v>
      </c>
      <c r="I17" s="15" t="s">
        <v>256</v>
      </c>
      <c r="J17" s="15" t="s">
        <v>186</v>
      </c>
      <c r="K17" s="15">
        <v>3</v>
      </c>
      <c r="L17" s="11" t="s">
        <v>182</v>
      </c>
      <c r="M17" s="11" t="s">
        <v>146</v>
      </c>
      <c r="N17" s="15">
        <v>2022</v>
      </c>
      <c r="O17" s="15">
        <v>2100</v>
      </c>
      <c r="P17" s="9" t="str">
        <f t="shared" si="0"/>
        <v>/Logistics/PipeYfia2Mz2/Youssoufia/Mzinda/WP2PAP/NA/Pipeline/Rock/3/New/2022/2100</v>
      </c>
      <c r="T17" s="5">
        <v>3</v>
      </c>
    </row>
    <row r="18" spans="4:20" x14ac:dyDescent="0.25">
      <c r="D18" s="9" t="s">
        <v>398</v>
      </c>
      <c r="E18" s="9" t="s">
        <v>90</v>
      </c>
      <c r="F18" s="9" t="s">
        <v>3</v>
      </c>
      <c r="G18" s="9" t="s">
        <v>396</v>
      </c>
      <c r="H18" s="9" t="s">
        <v>460</v>
      </c>
      <c r="I18" s="15" t="s">
        <v>256</v>
      </c>
      <c r="J18" s="15" t="s">
        <v>186</v>
      </c>
      <c r="K18" s="15">
        <v>4</v>
      </c>
      <c r="L18" s="11" t="s">
        <v>182</v>
      </c>
      <c r="M18" s="11" t="s">
        <v>146</v>
      </c>
      <c r="N18" s="15">
        <v>2022</v>
      </c>
      <c r="O18" s="15">
        <v>2100</v>
      </c>
      <c r="P18" s="9" t="str">
        <f t="shared" si="0"/>
        <v>/Logistics/PipeYfia2Mz3/Youssoufia/Mzinda/WP2PAP/NA/Pipeline/Rock/4/New/2022/2100</v>
      </c>
      <c r="T18" s="5">
        <v>4</v>
      </c>
    </row>
    <row r="19" spans="4:20" x14ac:dyDescent="0.25">
      <c r="D19" s="9" t="s">
        <v>399</v>
      </c>
      <c r="E19" s="9" t="s">
        <v>90</v>
      </c>
      <c r="F19" s="9" t="s">
        <v>3</v>
      </c>
      <c r="G19" s="9" t="s">
        <v>396</v>
      </c>
      <c r="H19" s="9" t="s">
        <v>460</v>
      </c>
      <c r="I19" s="15" t="s">
        <v>256</v>
      </c>
      <c r="J19" s="15" t="s">
        <v>186</v>
      </c>
      <c r="K19" s="15">
        <v>5</v>
      </c>
      <c r="L19" s="11" t="s">
        <v>182</v>
      </c>
      <c r="M19" s="11" t="s">
        <v>146</v>
      </c>
      <c r="N19" s="15">
        <v>2022</v>
      </c>
      <c r="O19" s="15">
        <v>2100</v>
      </c>
      <c r="P19" s="9" t="str">
        <f t="shared" si="0"/>
        <v>/Logistics/PipeYfia2Mz4/Youssoufia/Mzinda/WP2PAP/NA/Pipeline/Rock/5/New/2022/2100</v>
      </c>
      <c r="T19" s="5">
        <v>5</v>
      </c>
    </row>
    <row r="20" spans="4:20" x14ac:dyDescent="0.25">
      <c r="D20" s="9" t="s">
        <v>400</v>
      </c>
      <c r="E20" s="9" t="s">
        <v>90</v>
      </c>
      <c r="F20" s="9" t="s">
        <v>3</v>
      </c>
      <c r="G20" s="9" t="s">
        <v>396</v>
      </c>
      <c r="H20" s="9" t="s">
        <v>460</v>
      </c>
      <c r="I20" s="15" t="s">
        <v>256</v>
      </c>
      <c r="J20" s="15" t="s">
        <v>186</v>
      </c>
      <c r="K20" s="15">
        <v>6</v>
      </c>
      <c r="L20" s="11" t="s">
        <v>182</v>
      </c>
      <c r="M20" s="11" t="s">
        <v>146</v>
      </c>
      <c r="N20" s="15">
        <v>2022</v>
      </c>
      <c r="O20" s="15">
        <v>2100</v>
      </c>
      <c r="P20" s="9" t="str">
        <f t="shared" si="0"/>
        <v>/Logistics/PipeYfia2Mz5/Youssoufia/Mzinda/WP2PAP/NA/Pipeline/Rock/6/New/2022/2100</v>
      </c>
      <c r="T20" s="5">
        <v>6</v>
      </c>
    </row>
    <row r="21" spans="4:20" x14ac:dyDescent="0.25">
      <c r="D21" s="9" t="s">
        <v>401</v>
      </c>
      <c r="E21" s="9" t="s">
        <v>9</v>
      </c>
      <c r="F21" s="9" t="s">
        <v>90</v>
      </c>
      <c r="G21" s="9" t="s">
        <v>384</v>
      </c>
      <c r="H21" s="9" t="s">
        <v>460</v>
      </c>
      <c r="I21" s="15" t="s">
        <v>256</v>
      </c>
      <c r="J21" s="15" t="s">
        <v>186</v>
      </c>
      <c r="K21" s="15">
        <v>3</v>
      </c>
      <c r="L21" s="11" t="s">
        <v>182</v>
      </c>
      <c r="M21" s="11" t="s">
        <v>146</v>
      </c>
      <c r="N21" s="15">
        <v>2022</v>
      </c>
      <c r="O21" s="15">
        <v>2100</v>
      </c>
      <c r="P21" s="9" t="str">
        <f t="shared" si="0"/>
        <v>/Logistics/PipeBG2Yfia1/Benguerir/Youssoufia/WP2WP/NA/Pipeline/Rock/3/New/2022/2100</v>
      </c>
      <c r="T21" s="5">
        <v>3</v>
      </c>
    </row>
    <row r="22" spans="4:20" x14ac:dyDescent="0.25">
      <c r="D22" s="9" t="s">
        <v>402</v>
      </c>
      <c r="E22" s="9" t="s">
        <v>9</v>
      </c>
      <c r="F22" s="9" t="s">
        <v>90</v>
      </c>
      <c r="G22" s="9" t="s">
        <v>384</v>
      </c>
      <c r="H22" s="9" t="s">
        <v>460</v>
      </c>
      <c r="I22" s="15" t="s">
        <v>256</v>
      </c>
      <c r="J22" s="15" t="s">
        <v>186</v>
      </c>
      <c r="K22" s="15">
        <v>4</v>
      </c>
      <c r="L22" s="11" t="s">
        <v>182</v>
      </c>
      <c r="M22" s="11" t="s">
        <v>146</v>
      </c>
      <c r="N22" s="15">
        <v>2022</v>
      </c>
      <c r="O22" s="15">
        <v>2100</v>
      </c>
      <c r="P22" s="9" t="str">
        <f t="shared" si="0"/>
        <v>/Logistics/PipeBG2Yfia2/Benguerir/Youssoufia/WP2WP/NA/Pipeline/Rock/4/New/2022/2100</v>
      </c>
      <c r="T22" s="5">
        <v>4</v>
      </c>
    </row>
    <row r="23" spans="4:20" x14ac:dyDescent="0.25">
      <c r="D23" s="9" t="s">
        <v>403</v>
      </c>
      <c r="E23" s="9" t="s">
        <v>9</v>
      </c>
      <c r="F23" s="9" t="s">
        <v>90</v>
      </c>
      <c r="G23" s="9" t="s">
        <v>384</v>
      </c>
      <c r="H23" s="9" t="s">
        <v>460</v>
      </c>
      <c r="I23" s="15" t="s">
        <v>256</v>
      </c>
      <c r="J23" s="15" t="s">
        <v>186</v>
      </c>
      <c r="K23" s="15">
        <v>5</v>
      </c>
      <c r="L23" s="11" t="s">
        <v>182</v>
      </c>
      <c r="M23" s="11" t="s">
        <v>146</v>
      </c>
      <c r="N23" s="15">
        <v>2022</v>
      </c>
      <c r="O23" s="15">
        <v>2100</v>
      </c>
      <c r="P23" s="9" t="str">
        <f t="shared" si="0"/>
        <v>/Logistics/PipeBG2Yfia3/Benguerir/Youssoufia/WP2WP/NA/Pipeline/Rock/5/New/2022/2100</v>
      </c>
      <c r="T23" s="5">
        <v>5</v>
      </c>
    </row>
    <row r="24" spans="4:20" x14ac:dyDescent="0.25">
      <c r="D24" s="9" t="s">
        <v>404</v>
      </c>
      <c r="E24" s="9" t="s">
        <v>9</v>
      </c>
      <c r="F24" s="9" t="s">
        <v>90</v>
      </c>
      <c r="G24" s="9" t="s">
        <v>384</v>
      </c>
      <c r="H24" s="9" t="s">
        <v>460</v>
      </c>
      <c r="I24" s="15" t="s">
        <v>256</v>
      </c>
      <c r="J24" s="15" t="s">
        <v>186</v>
      </c>
      <c r="K24" s="15">
        <v>6</v>
      </c>
      <c r="L24" s="11" t="s">
        <v>182</v>
      </c>
      <c r="M24" s="11" t="s">
        <v>146</v>
      </c>
      <c r="N24" s="15">
        <v>2022</v>
      </c>
      <c r="O24" s="15">
        <v>2100</v>
      </c>
      <c r="P24" s="9" t="str">
        <f t="shared" si="0"/>
        <v>/Logistics/PipeBG2Yfia4/Benguerir/Youssoufia/WP2WP/NA/Pipeline/Rock/6/New/2022/2100</v>
      </c>
      <c r="T24" s="5">
        <v>6</v>
      </c>
    </row>
    <row r="25" spans="4:20" x14ac:dyDescent="0.25">
      <c r="D25" s="9" t="s">
        <v>405</v>
      </c>
      <c r="E25" s="9" t="s">
        <v>9</v>
      </c>
      <c r="F25" s="9" t="s">
        <v>90</v>
      </c>
      <c r="G25" s="9" t="s">
        <v>384</v>
      </c>
      <c r="H25" s="9" t="s">
        <v>460</v>
      </c>
      <c r="I25" s="15" t="s">
        <v>256</v>
      </c>
      <c r="J25" s="15" t="s">
        <v>186</v>
      </c>
      <c r="K25" s="15">
        <v>7</v>
      </c>
      <c r="L25" s="11" t="s">
        <v>182</v>
      </c>
      <c r="M25" s="11" t="s">
        <v>146</v>
      </c>
      <c r="N25" s="15">
        <v>2022</v>
      </c>
      <c r="O25" s="15">
        <v>2100</v>
      </c>
      <c r="P25" s="9" t="str">
        <f t="shared" si="0"/>
        <v>/Logistics/PipeBG2Yfia5/Benguerir/Youssoufia/WP2WP/NA/Pipeline/Rock/7/New/2022/2100</v>
      </c>
      <c r="T25" s="5">
        <v>7</v>
      </c>
    </row>
    <row r="26" spans="4:20" x14ac:dyDescent="0.25">
      <c r="D26" s="9" t="s">
        <v>406</v>
      </c>
      <c r="E26" s="9" t="s">
        <v>9</v>
      </c>
      <c r="F26" s="9" t="s">
        <v>90</v>
      </c>
      <c r="G26" s="9" t="s">
        <v>384</v>
      </c>
      <c r="H26" s="9" t="s">
        <v>460</v>
      </c>
      <c r="I26" s="15" t="s">
        <v>256</v>
      </c>
      <c r="J26" s="15" t="s">
        <v>186</v>
      </c>
      <c r="K26" s="15">
        <v>8</v>
      </c>
      <c r="L26" s="11" t="s">
        <v>182</v>
      </c>
      <c r="M26" s="11" t="s">
        <v>146</v>
      </c>
      <c r="N26" s="15">
        <v>2022</v>
      </c>
      <c r="O26" s="15">
        <v>2100</v>
      </c>
      <c r="P26" s="9" t="str">
        <f t="shared" si="0"/>
        <v>/Logistics/PipeBG2Yfia6/Benguerir/Youssoufia/WP2WP/NA/Pipeline/Rock/8/New/2022/2100</v>
      </c>
      <c r="T26" s="5">
        <v>8</v>
      </c>
    </row>
    <row r="27" spans="4:20" x14ac:dyDescent="0.25">
      <c r="D27" s="9" t="s">
        <v>407</v>
      </c>
      <c r="E27" s="9" t="s">
        <v>9</v>
      </c>
      <c r="F27" s="9" t="s">
        <v>90</v>
      </c>
      <c r="G27" s="9" t="s">
        <v>384</v>
      </c>
      <c r="H27" s="9" t="s">
        <v>460</v>
      </c>
      <c r="I27" s="15" t="s">
        <v>256</v>
      </c>
      <c r="J27" s="15" t="s">
        <v>186</v>
      </c>
      <c r="K27" s="15">
        <v>9</v>
      </c>
      <c r="L27" s="11" t="s">
        <v>182</v>
      </c>
      <c r="M27" s="11" t="s">
        <v>146</v>
      </c>
      <c r="N27" s="15">
        <v>2022</v>
      </c>
      <c r="O27" s="15">
        <v>2100</v>
      </c>
      <c r="P27" s="9" t="str">
        <f t="shared" si="0"/>
        <v>/Logistics/PipeBG2Yfia7/Benguerir/Youssoufia/WP2WP/NA/Pipeline/Rock/9/New/2022/2100</v>
      </c>
      <c r="T27" s="5">
        <v>9</v>
      </c>
    </row>
    <row r="28" spans="4:20" x14ac:dyDescent="0.25">
      <c r="D28" s="9" t="s">
        <v>408</v>
      </c>
      <c r="E28" s="9" t="s">
        <v>9</v>
      </c>
      <c r="F28" s="9" t="s">
        <v>3</v>
      </c>
      <c r="G28" s="9" t="s">
        <v>396</v>
      </c>
      <c r="H28" s="9" t="s">
        <v>460</v>
      </c>
      <c r="I28" s="15" t="s">
        <v>256</v>
      </c>
      <c r="J28" s="15" t="s">
        <v>186</v>
      </c>
      <c r="K28" s="15">
        <v>3</v>
      </c>
      <c r="L28" s="11" t="s">
        <v>182</v>
      </c>
      <c r="M28" s="11" t="s">
        <v>146</v>
      </c>
      <c r="N28" s="15">
        <v>2022</v>
      </c>
      <c r="O28" s="15">
        <v>2100</v>
      </c>
      <c r="P28" s="9" t="str">
        <f t="shared" si="0"/>
        <v>/Logistics/PipeBG2Mz1/Benguerir/Mzinda/WP2PAP/NA/Pipeline/Rock/3/New/2022/2100</v>
      </c>
      <c r="T28" s="5">
        <v>3</v>
      </c>
    </row>
    <row r="29" spans="4:20" x14ac:dyDescent="0.25">
      <c r="D29" s="9" t="s">
        <v>409</v>
      </c>
      <c r="E29" s="9" t="s">
        <v>9</v>
      </c>
      <c r="F29" s="9" t="s">
        <v>3</v>
      </c>
      <c r="G29" s="9" t="s">
        <v>396</v>
      </c>
      <c r="H29" s="9" t="s">
        <v>460</v>
      </c>
      <c r="I29" s="15" t="s">
        <v>256</v>
      </c>
      <c r="J29" s="15" t="s">
        <v>186</v>
      </c>
      <c r="K29" s="15">
        <v>4</v>
      </c>
      <c r="L29" s="11" t="s">
        <v>182</v>
      </c>
      <c r="M29" s="11" t="s">
        <v>146</v>
      </c>
      <c r="N29" s="15">
        <v>2022</v>
      </c>
      <c r="O29" s="15">
        <v>2100</v>
      </c>
      <c r="P29" s="9" t="str">
        <f t="shared" si="0"/>
        <v>/Logistics/PipeBG2Mz2/Benguerir/Mzinda/WP2PAP/NA/Pipeline/Rock/4/New/2022/2100</v>
      </c>
      <c r="T29" s="5">
        <v>4</v>
      </c>
    </row>
    <row r="30" spans="4:20" x14ac:dyDescent="0.25">
      <c r="D30" s="9" t="s">
        <v>410</v>
      </c>
      <c r="E30" s="9" t="s">
        <v>9</v>
      </c>
      <c r="F30" s="9" t="s">
        <v>3</v>
      </c>
      <c r="G30" s="9" t="s">
        <v>396</v>
      </c>
      <c r="H30" s="9" t="s">
        <v>460</v>
      </c>
      <c r="I30" s="15" t="s">
        <v>256</v>
      </c>
      <c r="J30" s="15" t="s">
        <v>186</v>
      </c>
      <c r="K30" s="15">
        <v>5</v>
      </c>
      <c r="L30" s="11" t="s">
        <v>182</v>
      </c>
      <c r="M30" s="11" t="s">
        <v>146</v>
      </c>
      <c r="N30" s="15">
        <v>2022</v>
      </c>
      <c r="O30" s="15">
        <v>2100</v>
      </c>
      <c r="P30" s="9" t="str">
        <f t="shared" si="0"/>
        <v>/Logistics/PipeBG2Mz3/Benguerir/Mzinda/WP2PAP/NA/Pipeline/Rock/5/New/2022/2100</v>
      </c>
      <c r="T30" s="5">
        <v>5</v>
      </c>
    </row>
    <row r="31" spans="4:20" x14ac:dyDescent="0.25">
      <c r="D31" s="9" t="s">
        <v>411</v>
      </c>
      <c r="E31" s="9" t="s">
        <v>9</v>
      </c>
      <c r="F31" s="9" t="s">
        <v>3</v>
      </c>
      <c r="G31" s="9" t="s">
        <v>396</v>
      </c>
      <c r="H31" s="9" t="s">
        <v>460</v>
      </c>
      <c r="I31" s="15" t="s">
        <v>256</v>
      </c>
      <c r="J31" s="15" t="s">
        <v>186</v>
      </c>
      <c r="K31" s="15">
        <v>6</v>
      </c>
      <c r="L31" s="11" t="s">
        <v>182</v>
      </c>
      <c r="M31" s="11" t="s">
        <v>146</v>
      </c>
      <c r="N31" s="15">
        <v>2022</v>
      </c>
      <c r="O31" s="15">
        <v>2100</v>
      </c>
      <c r="P31" s="9" t="str">
        <f t="shared" si="0"/>
        <v>/Logistics/PipeBG2Mz4/Benguerir/Mzinda/WP2PAP/NA/Pipeline/Rock/6/New/2022/2100</v>
      </c>
      <c r="T31" s="5">
        <v>6</v>
      </c>
    </row>
    <row r="32" spans="4:20" x14ac:dyDescent="0.25">
      <c r="D32" s="9" t="s">
        <v>412</v>
      </c>
      <c r="E32" s="9" t="s">
        <v>9</v>
      </c>
      <c r="F32" s="9" t="s">
        <v>3</v>
      </c>
      <c r="G32" s="9" t="s">
        <v>396</v>
      </c>
      <c r="H32" s="9" t="s">
        <v>460</v>
      </c>
      <c r="I32" s="15" t="s">
        <v>256</v>
      </c>
      <c r="J32" s="15" t="s">
        <v>186</v>
      </c>
      <c r="K32" s="15">
        <v>7</v>
      </c>
      <c r="L32" s="11" t="s">
        <v>182</v>
      </c>
      <c r="M32" s="11" t="s">
        <v>146</v>
      </c>
      <c r="N32" s="15">
        <v>2022</v>
      </c>
      <c r="O32" s="15">
        <v>2100</v>
      </c>
      <c r="P32" s="9" t="str">
        <f t="shared" si="0"/>
        <v>/Logistics/PipeBG2Mz5/Benguerir/Mzinda/WP2PAP/NA/Pipeline/Rock/7/New/2022/2100</v>
      </c>
      <c r="T32" s="5">
        <v>7</v>
      </c>
    </row>
    <row r="33" spans="4:20" x14ac:dyDescent="0.25">
      <c r="D33" s="9" t="s">
        <v>413</v>
      </c>
      <c r="E33" s="9" t="s">
        <v>9</v>
      </c>
      <c r="F33" s="9" t="s">
        <v>3</v>
      </c>
      <c r="G33" s="9" t="s">
        <v>396</v>
      </c>
      <c r="H33" s="9" t="s">
        <v>460</v>
      </c>
      <c r="I33" s="15" t="s">
        <v>256</v>
      </c>
      <c r="J33" s="15" t="s">
        <v>186</v>
      </c>
      <c r="K33" s="15">
        <v>8</v>
      </c>
      <c r="L33" s="11" t="s">
        <v>182</v>
      </c>
      <c r="M33" s="11" t="s">
        <v>146</v>
      </c>
      <c r="N33" s="15">
        <v>2022</v>
      </c>
      <c r="O33" s="15">
        <v>2100</v>
      </c>
      <c r="P33" s="9" t="str">
        <f t="shared" si="0"/>
        <v>/Logistics/PipeBG2Mz6/Benguerir/Mzinda/WP2PAP/NA/Pipeline/Rock/8/New/2022/2100</v>
      </c>
      <c r="T33" s="5">
        <v>8</v>
      </c>
    </row>
    <row r="34" spans="4:20" x14ac:dyDescent="0.25">
      <c r="D34" s="9" t="s">
        <v>414</v>
      </c>
      <c r="E34" s="9" t="s">
        <v>9</v>
      </c>
      <c r="F34" s="9" t="s">
        <v>3</v>
      </c>
      <c r="G34" s="9" t="s">
        <v>396</v>
      </c>
      <c r="H34" s="9" t="s">
        <v>460</v>
      </c>
      <c r="I34" s="15" t="s">
        <v>256</v>
      </c>
      <c r="J34" s="15" t="s">
        <v>186</v>
      </c>
      <c r="K34" s="15">
        <v>9</v>
      </c>
      <c r="L34" s="11" t="s">
        <v>182</v>
      </c>
      <c r="M34" s="11" t="s">
        <v>146</v>
      </c>
      <c r="N34" s="15">
        <v>2022</v>
      </c>
      <c r="O34" s="15">
        <v>2100</v>
      </c>
      <c r="P34" s="9" t="str">
        <f t="shared" si="0"/>
        <v>/Logistics/PipeBG2Mz7/Benguerir/Mzinda/WP2PAP/NA/Pipeline/Rock/9/New/2022/2100</v>
      </c>
      <c r="T34" s="5">
        <v>9</v>
      </c>
    </row>
    <row r="35" spans="4:20" x14ac:dyDescent="0.25">
      <c r="D35" s="9" t="s">
        <v>415</v>
      </c>
      <c r="E35" s="9" t="s">
        <v>90</v>
      </c>
      <c r="F35" s="9" t="s">
        <v>26</v>
      </c>
      <c r="G35" s="9" t="s">
        <v>396</v>
      </c>
      <c r="H35" s="9" t="s">
        <v>460</v>
      </c>
      <c r="I35" s="15" t="s">
        <v>256</v>
      </c>
      <c r="J35" s="15" t="s">
        <v>186</v>
      </c>
      <c r="K35" s="15">
        <v>2</v>
      </c>
      <c r="L35" s="11" t="s">
        <v>182</v>
      </c>
      <c r="M35" s="11" t="s">
        <v>146</v>
      </c>
      <c r="N35" s="15">
        <v>2022</v>
      </c>
      <c r="O35" s="15">
        <v>2100</v>
      </c>
      <c r="P35" s="9" t="str">
        <f t="shared" si="0"/>
        <v>/Logistics/PipeYfia2Safi1/Youssoufia/Safi/WP2PAP/NA/Pipeline/Rock/2/New/2022/2100</v>
      </c>
      <c r="T35" s="5">
        <v>2</v>
      </c>
    </row>
    <row r="36" spans="4:20" x14ac:dyDescent="0.25">
      <c r="D36" s="9" t="s">
        <v>416</v>
      </c>
      <c r="E36" s="9" t="s">
        <v>90</v>
      </c>
      <c r="F36" s="9" t="s">
        <v>26</v>
      </c>
      <c r="G36" s="9" t="s">
        <v>396</v>
      </c>
      <c r="H36" s="9" t="s">
        <v>460</v>
      </c>
      <c r="I36" s="15" t="s">
        <v>256</v>
      </c>
      <c r="J36" s="15" t="s">
        <v>186</v>
      </c>
      <c r="K36" s="15">
        <v>3</v>
      </c>
      <c r="L36" s="11" t="s">
        <v>182</v>
      </c>
      <c r="M36" s="11" t="s">
        <v>146</v>
      </c>
      <c r="N36" s="15">
        <v>2022</v>
      </c>
      <c r="O36" s="15">
        <v>2100</v>
      </c>
      <c r="P36" s="9" t="str">
        <f t="shared" si="0"/>
        <v>/Logistics/PipeYfia2Safi2/Youssoufia/Safi/WP2PAP/NA/Pipeline/Rock/3/New/2022/2100</v>
      </c>
      <c r="T36" s="5">
        <v>3</v>
      </c>
    </row>
    <row r="37" spans="4:20" x14ac:dyDescent="0.25">
      <c r="D37" s="9" t="s">
        <v>417</v>
      </c>
      <c r="E37" s="9" t="s">
        <v>90</v>
      </c>
      <c r="F37" s="9" t="s">
        <v>26</v>
      </c>
      <c r="G37" s="9" t="s">
        <v>396</v>
      </c>
      <c r="H37" s="9" t="s">
        <v>460</v>
      </c>
      <c r="I37" s="15" t="s">
        <v>256</v>
      </c>
      <c r="J37" s="15" t="s">
        <v>186</v>
      </c>
      <c r="K37" s="15">
        <v>4</v>
      </c>
      <c r="L37" s="11" t="s">
        <v>182</v>
      </c>
      <c r="M37" s="11" t="s">
        <v>146</v>
      </c>
      <c r="N37" s="15">
        <v>2022</v>
      </c>
      <c r="O37" s="15">
        <v>2100</v>
      </c>
      <c r="P37" s="9" t="str">
        <f t="shared" si="0"/>
        <v>/Logistics/PipeYfia2Safi3/Youssoufia/Safi/WP2PAP/NA/Pipeline/Rock/4/New/2022/2100</v>
      </c>
      <c r="T37" s="5">
        <v>4</v>
      </c>
    </row>
    <row r="38" spans="4:20" x14ac:dyDescent="0.25">
      <c r="D38" s="9" t="s">
        <v>418</v>
      </c>
      <c r="E38" s="9" t="s">
        <v>90</v>
      </c>
      <c r="F38" s="9" t="s">
        <v>26</v>
      </c>
      <c r="G38" s="9" t="s">
        <v>396</v>
      </c>
      <c r="H38" s="9" t="s">
        <v>460</v>
      </c>
      <c r="I38" s="15" t="s">
        <v>256</v>
      </c>
      <c r="J38" s="15" t="s">
        <v>186</v>
      </c>
      <c r="K38" s="15">
        <v>5</v>
      </c>
      <c r="L38" s="11" t="s">
        <v>182</v>
      </c>
      <c r="M38" s="11" t="s">
        <v>146</v>
      </c>
      <c r="N38" s="15">
        <v>2022</v>
      </c>
      <c r="O38" s="15">
        <v>2100</v>
      </c>
      <c r="P38" s="9" t="str">
        <f t="shared" si="0"/>
        <v>/Logistics/PipeYfia2Safi4/Youssoufia/Safi/WP2PAP/NA/Pipeline/Rock/5/New/2022/2100</v>
      </c>
      <c r="T38" s="5">
        <v>5</v>
      </c>
    </row>
    <row r="39" spans="4:20" x14ac:dyDescent="0.25">
      <c r="D39" s="9" t="s">
        <v>419</v>
      </c>
      <c r="E39" s="9" t="s">
        <v>90</v>
      </c>
      <c r="F39" s="9" t="s">
        <v>26</v>
      </c>
      <c r="G39" s="9" t="s">
        <v>396</v>
      </c>
      <c r="H39" s="9" t="s">
        <v>460</v>
      </c>
      <c r="I39" s="15" t="s">
        <v>256</v>
      </c>
      <c r="J39" s="15" t="s">
        <v>186</v>
      </c>
      <c r="K39" s="15">
        <v>6</v>
      </c>
      <c r="L39" s="11" t="s">
        <v>182</v>
      </c>
      <c r="M39" s="11" t="s">
        <v>146</v>
      </c>
      <c r="N39" s="15">
        <v>2022</v>
      </c>
      <c r="O39" s="15">
        <v>2100</v>
      </c>
      <c r="P39" s="9" t="str">
        <f t="shared" si="0"/>
        <v>/Logistics/PipeYfia2Safi5/Youssoufia/Safi/WP2PAP/NA/Pipeline/Rock/6/New/2022/2100</v>
      </c>
      <c r="T39" s="5">
        <v>6</v>
      </c>
    </row>
    <row r="40" spans="4:20" x14ac:dyDescent="0.25">
      <c r="D40" s="147" t="s">
        <v>461</v>
      </c>
      <c r="E40" s="147" t="s">
        <v>9</v>
      </c>
      <c r="F40" s="147" t="s">
        <v>90</v>
      </c>
      <c r="G40" s="147" t="s">
        <v>384</v>
      </c>
      <c r="H40" s="147" t="s">
        <v>3</v>
      </c>
      <c r="I40" s="148" t="s">
        <v>254</v>
      </c>
      <c r="J40" s="148" t="s">
        <v>186</v>
      </c>
      <c r="K40" s="148">
        <v>10</v>
      </c>
      <c r="L40" s="149" t="s">
        <v>182</v>
      </c>
      <c r="M40" s="149" t="s">
        <v>465</v>
      </c>
      <c r="N40" s="148">
        <v>2018</v>
      </c>
      <c r="O40" s="148">
        <v>2100</v>
      </c>
      <c r="P40" s="147" t="str">
        <f t="shared" si="0"/>
        <v>/Logistics/TrainBG2Yfia1/Benguerir/Youssoufia/WP2WP/Mzinda/Train/Rock/10/Exist/2018/2100</v>
      </c>
      <c r="T40" s="5">
        <v>3</v>
      </c>
    </row>
    <row r="41" spans="4:20" x14ac:dyDescent="0.25">
      <c r="D41" s="147" t="s">
        <v>461</v>
      </c>
      <c r="E41" s="147" t="s">
        <v>9</v>
      </c>
      <c r="F41" s="147" t="s">
        <v>90</v>
      </c>
      <c r="G41" s="147" t="s">
        <v>384</v>
      </c>
      <c r="H41" s="147" t="s">
        <v>26</v>
      </c>
      <c r="I41" s="148" t="s">
        <v>254</v>
      </c>
      <c r="J41" s="148" t="s">
        <v>186</v>
      </c>
      <c r="K41" s="148">
        <v>15</v>
      </c>
      <c r="L41" s="149" t="s">
        <v>182</v>
      </c>
      <c r="M41" s="149" t="s">
        <v>465</v>
      </c>
      <c r="N41" s="148">
        <v>2018</v>
      </c>
      <c r="O41" s="148">
        <v>2100</v>
      </c>
      <c r="P41" s="147" t="str">
        <f t="shared" si="0"/>
        <v>/Logistics/TrainBG2Yfia1/Benguerir/Youssoufia/WP2WP/Safi/Train/Rock/15/Exist/2018/2100</v>
      </c>
      <c r="T41" s="5">
        <v>4</v>
      </c>
    </row>
    <row r="42" spans="4:20" x14ac:dyDescent="0.25">
      <c r="D42" s="147" t="s">
        <v>462</v>
      </c>
      <c r="E42" s="147" t="s">
        <v>90</v>
      </c>
      <c r="F42" s="147" t="s">
        <v>26</v>
      </c>
      <c r="G42" s="147" t="s">
        <v>396</v>
      </c>
      <c r="H42" s="147" t="s">
        <v>3</v>
      </c>
      <c r="I42" s="148" t="s">
        <v>254</v>
      </c>
      <c r="J42" s="148" t="s">
        <v>186</v>
      </c>
      <c r="K42" s="148">
        <v>10</v>
      </c>
      <c r="L42" s="149" t="s">
        <v>182</v>
      </c>
      <c r="M42" s="149" t="s">
        <v>465</v>
      </c>
      <c r="N42" s="148">
        <v>2018</v>
      </c>
      <c r="O42" s="148">
        <v>2100</v>
      </c>
      <c r="P42" s="147" t="str">
        <f t="shared" si="0"/>
        <v>/Logistics/TrainYfia2Safi1/Youssoufia/Safi/WP2PAP/Mzinda/Train/Rock/10/Exist/2018/2100</v>
      </c>
      <c r="T42" s="5">
        <v>5</v>
      </c>
    </row>
    <row r="43" spans="4:20" x14ac:dyDescent="0.25">
      <c r="D43" s="147" t="s">
        <v>462</v>
      </c>
      <c r="E43" s="147" t="s">
        <v>90</v>
      </c>
      <c r="F43" s="147" t="s">
        <v>26</v>
      </c>
      <c r="G43" s="147" t="s">
        <v>396</v>
      </c>
      <c r="H43" s="147" t="s">
        <v>26</v>
      </c>
      <c r="I43" s="148" t="s">
        <v>254</v>
      </c>
      <c r="J43" s="148" t="s">
        <v>186</v>
      </c>
      <c r="K43" s="148">
        <v>15</v>
      </c>
      <c r="L43" s="149" t="s">
        <v>182</v>
      </c>
      <c r="M43" s="149" t="s">
        <v>465</v>
      </c>
      <c r="N43" s="148">
        <v>2018</v>
      </c>
      <c r="O43" s="148">
        <v>2100</v>
      </c>
      <c r="P43" s="147" t="str">
        <f t="shared" si="0"/>
        <v>/Logistics/TrainYfia2Safi1/Youssoufia/Safi/WP2PAP/Safi/Train/Rock/15/Exist/2018/2100</v>
      </c>
      <c r="T43" s="5">
        <v>6</v>
      </c>
    </row>
    <row r="44" spans="4:20" x14ac:dyDescent="0.25">
      <c r="D44" s="147" t="s">
        <v>463</v>
      </c>
      <c r="E44" s="147" t="s">
        <v>9</v>
      </c>
      <c r="F44" s="147" t="s">
        <v>26</v>
      </c>
      <c r="G44" s="147" t="s">
        <v>464</v>
      </c>
      <c r="H44" s="147" t="s">
        <v>3</v>
      </c>
      <c r="I44" s="148" t="s">
        <v>254</v>
      </c>
      <c r="J44" s="148" t="s">
        <v>186</v>
      </c>
      <c r="K44" s="148">
        <v>10</v>
      </c>
      <c r="L44" s="149" t="s">
        <v>182</v>
      </c>
      <c r="M44" s="149" t="s">
        <v>465</v>
      </c>
      <c r="N44" s="148">
        <v>2018</v>
      </c>
      <c r="O44" s="148">
        <v>2100</v>
      </c>
      <c r="P44" s="147" t="str">
        <f t="shared" si="0"/>
        <v>/Logistics/TrainBG2Safi1/Benguerir/Safi/WP2Port/Mzinda/Train/Rock/10/Exist/2018/2100</v>
      </c>
      <c r="T44" s="5">
        <v>7</v>
      </c>
    </row>
    <row r="45" spans="4:20" x14ac:dyDescent="0.25">
      <c r="D45" s="147" t="s">
        <v>463</v>
      </c>
      <c r="E45" s="147" t="s">
        <v>9</v>
      </c>
      <c r="F45" s="147" t="s">
        <v>26</v>
      </c>
      <c r="G45" s="147" t="s">
        <v>464</v>
      </c>
      <c r="H45" s="147" t="s">
        <v>26</v>
      </c>
      <c r="I45" s="148" t="s">
        <v>254</v>
      </c>
      <c r="J45" s="148" t="s">
        <v>186</v>
      </c>
      <c r="K45" s="148">
        <v>15</v>
      </c>
      <c r="L45" s="149" t="s">
        <v>182</v>
      </c>
      <c r="M45" s="149" t="s">
        <v>465</v>
      </c>
      <c r="N45" s="148">
        <v>2018</v>
      </c>
      <c r="O45" s="148">
        <v>2100</v>
      </c>
      <c r="P45" s="147" t="str">
        <f t="shared" si="0"/>
        <v>/Logistics/TrainBG2Safi1/Benguerir/Safi/WP2Port/Safi/Train/Rock/15/Exist/2018/2100</v>
      </c>
      <c r="T45" s="5">
        <v>8</v>
      </c>
    </row>
    <row r="46" spans="4:20" x14ac:dyDescent="0.25">
      <c r="D46" s="147"/>
      <c r="E46" s="147"/>
      <c r="F46" s="147"/>
      <c r="G46" s="147"/>
      <c r="H46" s="147"/>
      <c r="I46" s="148"/>
      <c r="J46" s="148"/>
      <c r="K46" s="148"/>
      <c r="L46" s="149"/>
      <c r="M46" s="149"/>
      <c r="N46" s="148"/>
      <c r="O46" s="148"/>
      <c r="P46" s="147" t="str">
        <f t="shared" si="0"/>
        <v/>
      </c>
      <c r="T46" s="5">
        <v>9</v>
      </c>
    </row>
    <row r="47" spans="4:20" x14ac:dyDescent="0.25">
      <c r="D47" s="147"/>
      <c r="E47" s="147"/>
      <c r="F47" s="147"/>
      <c r="G47" s="147"/>
      <c r="H47" s="147"/>
      <c r="I47" s="148"/>
      <c r="J47" s="148"/>
      <c r="K47" s="148"/>
      <c r="L47" s="149"/>
      <c r="M47" s="149"/>
      <c r="N47" s="148"/>
      <c r="O47" s="148"/>
      <c r="P47" s="147" t="str">
        <f t="shared" si="0"/>
        <v/>
      </c>
      <c r="T47" s="5">
        <v>10</v>
      </c>
    </row>
    <row r="48" spans="4:20" x14ac:dyDescent="0.25">
      <c r="D48" s="9" t="s">
        <v>420</v>
      </c>
      <c r="E48" s="9" t="s">
        <v>4</v>
      </c>
      <c r="F48" s="9" t="s">
        <v>9</v>
      </c>
      <c r="G48" s="9" t="s">
        <v>384</v>
      </c>
      <c r="H48" s="9" t="s">
        <v>460</v>
      </c>
      <c r="I48" s="15" t="s">
        <v>466</v>
      </c>
      <c r="J48" s="15" t="s">
        <v>186</v>
      </c>
      <c r="K48" s="15">
        <v>2</v>
      </c>
      <c r="L48" s="11" t="s">
        <v>182</v>
      </c>
      <c r="M48" s="11" t="s">
        <v>146</v>
      </c>
      <c r="N48" s="15">
        <v>2022</v>
      </c>
      <c r="O48" s="15">
        <v>2100</v>
      </c>
      <c r="P48" s="9" t="str">
        <f t="shared" si="0"/>
        <v>/Logistics/ConvT2BG1/Tassaout/Benguerir/WP2WP/NA/Conveyor/Rock/2/New/2022/2100</v>
      </c>
      <c r="T48" s="5">
        <v>2</v>
      </c>
    </row>
    <row r="49" spans="4:20" x14ac:dyDescent="0.25">
      <c r="D49" s="9" t="s">
        <v>421</v>
      </c>
      <c r="E49" s="9" t="s">
        <v>4</v>
      </c>
      <c r="F49" s="9" t="s">
        <v>9</v>
      </c>
      <c r="G49" s="9" t="s">
        <v>384</v>
      </c>
      <c r="H49" s="9" t="s">
        <v>460</v>
      </c>
      <c r="I49" s="15" t="s">
        <v>466</v>
      </c>
      <c r="J49" s="15" t="s">
        <v>186</v>
      </c>
      <c r="K49" s="15">
        <v>3</v>
      </c>
      <c r="L49" s="11" t="s">
        <v>182</v>
      </c>
      <c r="M49" s="11" t="s">
        <v>146</v>
      </c>
      <c r="N49" s="15">
        <v>2022</v>
      </c>
      <c r="O49" s="15">
        <v>2100</v>
      </c>
      <c r="P49" s="9" t="str">
        <f t="shared" si="0"/>
        <v>/Logistics/ConvT2BG2/Tassaout/Benguerir/WP2WP/NA/Conveyor/Rock/3/New/2022/2100</v>
      </c>
      <c r="T49" s="5">
        <v>3</v>
      </c>
    </row>
    <row r="50" spans="4:20" x14ac:dyDescent="0.25">
      <c r="D50" s="9" t="s">
        <v>422</v>
      </c>
      <c r="E50" s="9" t="s">
        <v>4</v>
      </c>
      <c r="F50" s="9" t="s">
        <v>9</v>
      </c>
      <c r="G50" s="9" t="s">
        <v>384</v>
      </c>
      <c r="H50" s="9" t="s">
        <v>460</v>
      </c>
      <c r="I50" s="15" t="s">
        <v>466</v>
      </c>
      <c r="J50" s="15" t="s">
        <v>186</v>
      </c>
      <c r="K50" s="15">
        <v>4</v>
      </c>
      <c r="L50" s="11" t="s">
        <v>182</v>
      </c>
      <c r="M50" s="11" t="s">
        <v>146</v>
      </c>
      <c r="N50" s="15">
        <v>2022</v>
      </c>
      <c r="O50" s="15">
        <v>2100</v>
      </c>
      <c r="P50" s="9" t="str">
        <f t="shared" si="0"/>
        <v>/Logistics/ConvT2BG3/Tassaout/Benguerir/WP2WP/NA/Conveyor/Rock/4/New/2022/2100</v>
      </c>
      <c r="T50" s="5">
        <v>4</v>
      </c>
    </row>
    <row r="51" spans="4:20" x14ac:dyDescent="0.25">
      <c r="D51" s="9" t="s">
        <v>423</v>
      </c>
      <c r="E51" s="9" t="s">
        <v>4</v>
      </c>
      <c r="F51" s="9" t="s">
        <v>9</v>
      </c>
      <c r="G51" s="9" t="s">
        <v>384</v>
      </c>
      <c r="H51" s="9" t="s">
        <v>460</v>
      </c>
      <c r="I51" s="15" t="s">
        <v>466</v>
      </c>
      <c r="J51" s="15" t="s">
        <v>186</v>
      </c>
      <c r="K51" s="15">
        <v>2</v>
      </c>
      <c r="L51" s="11" t="s">
        <v>182</v>
      </c>
      <c r="M51" s="11" t="s">
        <v>146</v>
      </c>
      <c r="N51" s="15">
        <v>2022</v>
      </c>
      <c r="O51" s="15">
        <v>2100</v>
      </c>
      <c r="P51" s="9" t="str">
        <f t="shared" si="0"/>
        <v>/Logistics/ConvT2BG4/Tassaout/Benguerir/WP2WP/NA/Conveyor/Rock/2/New/2022/2100</v>
      </c>
      <c r="T51" s="5">
        <v>2</v>
      </c>
    </row>
    <row r="52" spans="4:20" x14ac:dyDescent="0.25">
      <c r="D52" s="9" t="s">
        <v>424</v>
      </c>
      <c r="E52" s="9" t="s">
        <v>4</v>
      </c>
      <c r="F52" s="9" t="s">
        <v>9</v>
      </c>
      <c r="G52" s="9" t="s">
        <v>384</v>
      </c>
      <c r="H52" s="9" t="s">
        <v>460</v>
      </c>
      <c r="I52" s="15" t="s">
        <v>466</v>
      </c>
      <c r="J52" s="15" t="s">
        <v>186</v>
      </c>
      <c r="K52" s="15">
        <v>3</v>
      </c>
      <c r="L52" s="11" t="s">
        <v>182</v>
      </c>
      <c r="M52" s="11" t="s">
        <v>146</v>
      </c>
      <c r="N52" s="15">
        <v>2022</v>
      </c>
      <c r="O52" s="15">
        <v>2100</v>
      </c>
      <c r="P52" s="9" t="str">
        <f t="shared" si="0"/>
        <v>/Logistics/ConvT2BG5/Tassaout/Benguerir/WP2WP/NA/Conveyor/Rock/3/New/2022/2100</v>
      </c>
      <c r="T52" s="5">
        <v>3</v>
      </c>
    </row>
    <row r="53" spans="4:20" x14ac:dyDescent="0.25">
      <c r="D53" s="9" t="s">
        <v>425</v>
      </c>
      <c r="E53" s="9" t="s">
        <v>4</v>
      </c>
      <c r="F53" s="9" t="s">
        <v>9</v>
      </c>
      <c r="G53" s="9" t="s">
        <v>384</v>
      </c>
      <c r="H53" s="9" t="s">
        <v>460</v>
      </c>
      <c r="I53" s="15" t="s">
        <v>466</v>
      </c>
      <c r="J53" s="15" t="s">
        <v>186</v>
      </c>
      <c r="K53" s="15">
        <v>4</v>
      </c>
      <c r="L53" s="11" t="s">
        <v>182</v>
      </c>
      <c r="M53" s="11" t="s">
        <v>146</v>
      </c>
      <c r="N53" s="15">
        <v>2022</v>
      </c>
      <c r="O53" s="15">
        <v>2100</v>
      </c>
      <c r="P53" s="9" t="str">
        <f t="shared" si="0"/>
        <v>/Logistics/ConvT2BG6/Tassaout/Benguerir/WP2WP/NA/Conveyor/Rock/4/New/2022/2100</v>
      </c>
      <c r="T53" s="5">
        <v>4</v>
      </c>
    </row>
    <row r="54" spans="4:20" x14ac:dyDescent="0.25">
      <c r="D54" s="9" t="s">
        <v>426</v>
      </c>
      <c r="E54" s="9" t="s">
        <v>4</v>
      </c>
      <c r="F54" s="9" t="s">
        <v>9</v>
      </c>
      <c r="G54" s="9" t="s">
        <v>384</v>
      </c>
      <c r="H54" s="9" t="s">
        <v>460</v>
      </c>
      <c r="I54" s="15" t="s">
        <v>466</v>
      </c>
      <c r="J54" s="15" t="s">
        <v>186</v>
      </c>
      <c r="K54" s="15">
        <v>5</v>
      </c>
      <c r="L54" s="11" t="s">
        <v>182</v>
      </c>
      <c r="M54" s="11" t="s">
        <v>146</v>
      </c>
      <c r="N54" s="15">
        <v>2022</v>
      </c>
      <c r="O54" s="15">
        <v>2100</v>
      </c>
      <c r="P54" s="9" t="str">
        <f t="shared" si="0"/>
        <v>/Logistics/ConvT2BG7/Tassaout/Benguerir/WP2WP/NA/Conveyor/Rock/5/New/2022/2100</v>
      </c>
      <c r="T54" s="5">
        <v>5</v>
      </c>
    </row>
    <row r="55" spans="4:20" x14ac:dyDescent="0.25">
      <c r="D55" s="9" t="s">
        <v>427</v>
      </c>
      <c r="E55" s="9" t="s">
        <v>4</v>
      </c>
      <c r="F55" s="9" t="s">
        <v>9</v>
      </c>
      <c r="G55" s="9" t="s">
        <v>384</v>
      </c>
      <c r="H55" s="9" t="s">
        <v>460</v>
      </c>
      <c r="I55" s="15" t="s">
        <v>466</v>
      </c>
      <c r="J55" s="15" t="s">
        <v>186</v>
      </c>
      <c r="K55" s="15">
        <v>6</v>
      </c>
      <c r="L55" s="11" t="s">
        <v>182</v>
      </c>
      <c r="M55" s="11" t="s">
        <v>146</v>
      </c>
      <c r="N55" s="15">
        <v>2022</v>
      </c>
      <c r="O55" s="15">
        <v>2100</v>
      </c>
      <c r="P55" s="9" t="str">
        <f t="shared" si="0"/>
        <v>/Logistics/ConvT2BG8/Tassaout/Benguerir/WP2WP/NA/Conveyor/Rock/6/New/2022/2100</v>
      </c>
      <c r="T55" s="5">
        <v>6</v>
      </c>
    </row>
    <row r="56" spans="4:20" x14ac:dyDescent="0.25">
      <c r="D56" s="9" t="s">
        <v>428</v>
      </c>
      <c r="E56" s="9" t="s">
        <v>10</v>
      </c>
      <c r="F56" s="9" t="s">
        <v>9</v>
      </c>
      <c r="G56" s="9" t="s">
        <v>384</v>
      </c>
      <c r="H56" s="9" t="s">
        <v>460</v>
      </c>
      <c r="I56" s="15" t="s">
        <v>466</v>
      </c>
      <c r="J56" s="15" t="s">
        <v>186</v>
      </c>
      <c r="K56" s="15">
        <v>3</v>
      </c>
      <c r="L56" s="11" t="s">
        <v>182</v>
      </c>
      <c r="M56" s="11" t="s">
        <v>146</v>
      </c>
      <c r="N56" s="15">
        <v>2022</v>
      </c>
      <c r="O56" s="15">
        <v>2100</v>
      </c>
      <c r="P56" s="9" t="str">
        <f t="shared" si="0"/>
        <v>/Logistics/ConvNz2BG1/Nzalat/Benguerir/WP2WP/NA/Conveyor/Rock/3/New/2022/2100</v>
      </c>
      <c r="T56" s="5">
        <v>3</v>
      </c>
    </row>
    <row r="57" spans="4:20" x14ac:dyDescent="0.25">
      <c r="D57" s="9" t="s">
        <v>429</v>
      </c>
      <c r="E57" s="9" t="s">
        <v>10</v>
      </c>
      <c r="F57" s="9" t="s">
        <v>9</v>
      </c>
      <c r="G57" s="9" t="s">
        <v>384</v>
      </c>
      <c r="H57" s="9" t="s">
        <v>460</v>
      </c>
      <c r="I57" s="15" t="s">
        <v>466</v>
      </c>
      <c r="J57" s="15" t="s">
        <v>186</v>
      </c>
      <c r="K57" s="15">
        <v>4</v>
      </c>
      <c r="L57" s="11" t="s">
        <v>182</v>
      </c>
      <c r="M57" s="11" t="s">
        <v>146</v>
      </c>
      <c r="N57" s="15">
        <v>2022</v>
      </c>
      <c r="O57" s="15">
        <v>2100</v>
      </c>
      <c r="P57" s="9" t="str">
        <f t="shared" si="0"/>
        <v>/Logistics/ConvNz2BG2/Nzalat/Benguerir/WP2WP/NA/Conveyor/Rock/4/New/2022/2100</v>
      </c>
      <c r="T57" s="5">
        <v>4</v>
      </c>
    </row>
    <row r="58" spans="4:20" x14ac:dyDescent="0.25">
      <c r="D58" s="9" t="s">
        <v>430</v>
      </c>
      <c r="E58" s="9" t="s">
        <v>10</v>
      </c>
      <c r="F58" s="9" t="s">
        <v>9</v>
      </c>
      <c r="G58" s="9" t="s">
        <v>384</v>
      </c>
      <c r="H58" s="9" t="s">
        <v>460</v>
      </c>
      <c r="I58" s="15" t="s">
        <v>466</v>
      </c>
      <c r="J58" s="15" t="s">
        <v>186</v>
      </c>
      <c r="K58" s="15">
        <v>5</v>
      </c>
      <c r="L58" s="11" t="s">
        <v>182</v>
      </c>
      <c r="M58" s="11" t="s">
        <v>146</v>
      </c>
      <c r="N58" s="15">
        <v>2022</v>
      </c>
      <c r="O58" s="15">
        <v>2100</v>
      </c>
      <c r="P58" s="9" t="str">
        <f t="shared" si="0"/>
        <v>/Logistics/ConvNz2BG3/Nzalat/Benguerir/WP2WP/NA/Conveyor/Rock/5/New/2022/2100</v>
      </c>
      <c r="T58" s="5">
        <v>5</v>
      </c>
    </row>
    <row r="59" spans="4:20" x14ac:dyDescent="0.25">
      <c r="D59" s="9" t="s">
        <v>431</v>
      </c>
      <c r="E59" s="9" t="s">
        <v>90</v>
      </c>
      <c r="F59" s="9" t="s">
        <v>3</v>
      </c>
      <c r="G59" s="9" t="s">
        <v>396</v>
      </c>
      <c r="H59" s="9" t="s">
        <v>460</v>
      </c>
      <c r="I59" s="15" t="s">
        <v>466</v>
      </c>
      <c r="J59" s="15" t="s">
        <v>186</v>
      </c>
      <c r="K59" s="15">
        <v>6</v>
      </c>
      <c r="L59" s="11" t="s">
        <v>182</v>
      </c>
      <c r="M59" s="11" t="s">
        <v>146</v>
      </c>
      <c r="N59" s="15">
        <v>2022</v>
      </c>
      <c r="O59" s="15">
        <v>2100</v>
      </c>
      <c r="P59" s="9" t="str">
        <f t="shared" si="0"/>
        <v>/Logistics/ConvYfia2Mz1/Youssoufia/Mzinda/WP2PAP/NA/Conveyor/Rock/6/New/2022/2100</v>
      </c>
      <c r="T59" s="5">
        <v>6</v>
      </c>
    </row>
    <row r="60" spans="4:20" x14ac:dyDescent="0.25">
      <c r="D60" s="9" t="s">
        <v>432</v>
      </c>
      <c r="E60" s="9" t="s">
        <v>90</v>
      </c>
      <c r="F60" s="9" t="s">
        <v>3</v>
      </c>
      <c r="G60" s="9" t="s">
        <v>396</v>
      </c>
      <c r="H60" s="9" t="s">
        <v>460</v>
      </c>
      <c r="I60" s="15" t="s">
        <v>466</v>
      </c>
      <c r="J60" s="15" t="s">
        <v>186</v>
      </c>
      <c r="K60" s="15">
        <v>7</v>
      </c>
      <c r="L60" s="11" t="s">
        <v>182</v>
      </c>
      <c r="M60" s="11" t="s">
        <v>146</v>
      </c>
      <c r="N60" s="15">
        <v>2022</v>
      </c>
      <c r="O60" s="15">
        <v>2100</v>
      </c>
      <c r="P60" s="9" t="str">
        <f t="shared" si="0"/>
        <v>/Logistics/ConvYfia2Mz2/Youssoufia/Mzinda/WP2PAP/NA/Conveyor/Rock/7/New/2022/2100</v>
      </c>
      <c r="T60" s="5">
        <v>7</v>
      </c>
    </row>
    <row r="61" spans="4:20" x14ac:dyDescent="0.25">
      <c r="D61" s="9" t="s">
        <v>433</v>
      </c>
      <c r="E61" s="9" t="s">
        <v>90</v>
      </c>
      <c r="F61" s="9" t="s">
        <v>3</v>
      </c>
      <c r="G61" s="9" t="s">
        <v>396</v>
      </c>
      <c r="H61" s="9" t="s">
        <v>460</v>
      </c>
      <c r="I61" s="15" t="s">
        <v>466</v>
      </c>
      <c r="J61" s="15" t="s">
        <v>186</v>
      </c>
      <c r="K61" s="15">
        <v>8</v>
      </c>
      <c r="L61" s="11" t="s">
        <v>182</v>
      </c>
      <c r="M61" s="11" t="s">
        <v>146</v>
      </c>
      <c r="N61" s="15">
        <v>2022</v>
      </c>
      <c r="O61" s="15">
        <v>2100</v>
      </c>
      <c r="P61" s="9" t="str">
        <f t="shared" si="0"/>
        <v>/Logistics/ConvYfia2Mz3/Youssoufia/Mzinda/WP2PAP/NA/Conveyor/Rock/8/New/2022/2100</v>
      </c>
      <c r="T61" s="5">
        <v>8</v>
      </c>
    </row>
    <row r="62" spans="4:20" x14ac:dyDescent="0.25">
      <c r="D62" s="9" t="s">
        <v>434</v>
      </c>
      <c r="E62" s="9" t="s">
        <v>90</v>
      </c>
      <c r="F62" s="9" t="s">
        <v>3</v>
      </c>
      <c r="G62" s="9" t="s">
        <v>396</v>
      </c>
      <c r="H62" s="9" t="s">
        <v>460</v>
      </c>
      <c r="I62" s="15" t="s">
        <v>466</v>
      </c>
      <c r="J62" s="15" t="s">
        <v>186</v>
      </c>
      <c r="K62" s="15">
        <v>9</v>
      </c>
      <c r="L62" s="11" t="s">
        <v>182</v>
      </c>
      <c r="M62" s="11" t="s">
        <v>146</v>
      </c>
      <c r="N62" s="15">
        <v>2022</v>
      </c>
      <c r="O62" s="15">
        <v>2100</v>
      </c>
      <c r="P62" s="9" t="str">
        <f t="shared" si="0"/>
        <v>/Logistics/ConvYfia2Mz4/Youssoufia/Mzinda/WP2PAP/NA/Conveyor/Rock/9/New/2022/2100</v>
      </c>
      <c r="T62" s="5">
        <v>9</v>
      </c>
    </row>
    <row r="63" spans="4:20" x14ac:dyDescent="0.25">
      <c r="D63" s="9" t="s">
        <v>435</v>
      </c>
      <c r="E63" s="9" t="s">
        <v>90</v>
      </c>
      <c r="F63" s="9" t="s">
        <v>3</v>
      </c>
      <c r="G63" s="9" t="s">
        <v>396</v>
      </c>
      <c r="H63" s="9" t="s">
        <v>460</v>
      </c>
      <c r="I63" s="15" t="s">
        <v>466</v>
      </c>
      <c r="J63" s="15" t="s">
        <v>186</v>
      </c>
      <c r="K63" s="15">
        <v>3</v>
      </c>
      <c r="L63" s="11" t="s">
        <v>182</v>
      </c>
      <c r="M63" s="11" t="s">
        <v>146</v>
      </c>
      <c r="N63" s="15">
        <v>2022</v>
      </c>
      <c r="O63" s="15">
        <v>2100</v>
      </c>
      <c r="P63" s="9" t="str">
        <f t="shared" si="0"/>
        <v>/Logistics/ConvYfia2Mz5/Youssoufia/Mzinda/WP2PAP/NA/Conveyor/Rock/3/New/2022/2100</v>
      </c>
      <c r="T63" s="5">
        <v>3</v>
      </c>
    </row>
    <row r="64" spans="4:20" x14ac:dyDescent="0.25">
      <c r="D64" s="9" t="s">
        <v>436</v>
      </c>
      <c r="E64" s="9" t="s">
        <v>9</v>
      </c>
      <c r="F64" s="9" t="s">
        <v>90</v>
      </c>
      <c r="G64" s="9" t="s">
        <v>384</v>
      </c>
      <c r="H64" s="9" t="s">
        <v>460</v>
      </c>
      <c r="I64" s="15" t="s">
        <v>466</v>
      </c>
      <c r="J64" s="15" t="s">
        <v>186</v>
      </c>
      <c r="K64" s="15">
        <v>4</v>
      </c>
      <c r="L64" s="11" t="s">
        <v>182</v>
      </c>
      <c r="M64" s="11" t="s">
        <v>146</v>
      </c>
      <c r="N64" s="15">
        <v>2022</v>
      </c>
      <c r="O64" s="15">
        <v>2100</v>
      </c>
      <c r="P64" s="9" t="str">
        <f t="shared" si="0"/>
        <v>/Logistics/ConvBG2Yfia1/Benguerir/Youssoufia/WP2WP/NA/Conveyor/Rock/4/New/2022/2100</v>
      </c>
      <c r="T64" s="5">
        <v>4</v>
      </c>
    </row>
    <row r="65" spans="4:20" x14ac:dyDescent="0.25">
      <c r="D65" s="9" t="s">
        <v>437</v>
      </c>
      <c r="E65" s="9" t="s">
        <v>9</v>
      </c>
      <c r="F65" s="9" t="s">
        <v>90</v>
      </c>
      <c r="G65" s="9" t="s">
        <v>384</v>
      </c>
      <c r="H65" s="9" t="s">
        <v>460</v>
      </c>
      <c r="I65" s="15" t="s">
        <v>466</v>
      </c>
      <c r="J65" s="15" t="s">
        <v>186</v>
      </c>
      <c r="K65" s="15">
        <v>5</v>
      </c>
      <c r="L65" s="11" t="s">
        <v>182</v>
      </c>
      <c r="M65" s="11" t="s">
        <v>146</v>
      </c>
      <c r="N65" s="15">
        <v>2022</v>
      </c>
      <c r="O65" s="15">
        <v>2100</v>
      </c>
      <c r="P65" s="9" t="str">
        <f t="shared" si="0"/>
        <v>/Logistics/ConvBG2Yfia2/Benguerir/Youssoufia/WP2WP/NA/Conveyor/Rock/5/New/2022/2100</v>
      </c>
      <c r="T65" s="5">
        <v>5</v>
      </c>
    </row>
    <row r="66" spans="4:20" x14ac:dyDescent="0.25">
      <c r="D66" s="9" t="s">
        <v>438</v>
      </c>
      <c r="E66" s="9" t="s">
        <v>9</v>
      </c>
      <c r="F66" s="9" t="s">
        <v>90</v>
      </c>
      <c r="G66" s="9" t="s">
        <v>384</v>
      </c>
      <c r="H66" s="9" t="s">
        <v>460</v>
      </c>
      <c r="I66" s="15" t="s">
        <v>466</v>
      </c>
      <c r="J66" s="15" t="s">
        <v>186</v>
      </c>
      <c r="K66" s="15">
        <v>6</v>
      </c>
      <c r="L66" s="11" t="s">
        <v>182</v>
      </c>
      <c r="M66" s="11" t="s">
        <v>146</v>
      </c>
      <c r="N66" s="15">
        <v>2022</v>
      </c>
      <c r="O66" s="15">
        <v>2100</v>
      </c>
      <c r="P66" s="9" t="str">
        <f t="shared" si="0"/>
        <v>/Logistics/ConvBG2Yfia3/Benguerir/Youssoufia/WP2WP/NA/Conveyor/Rock/6/New/2022/2100</v>
      </c>
      <c r="T66" s="5">
        <v>6</v>
      </c>
    </row>
    <row r="67" spans="4:20" x14ac:dyDescent="0.25">
      <c r="D67" s="9" t="s">
        <v>439</v>
      </c>
      <c r="E67" s="9" t="s">
        <v>9</v>
      </c>
      <c r="F67" s="9" t="s">
        <v>90</v>
      </c>
      <c r="G67" s="9" t="s">
        <v>384</v>
      </c>
      <c r="H67" s="9" t="s">
        <v>460</v>
      </c>
      <c r="I67" s="15" t="s">
        <v>466</v>
      </c>
      <c r="J67" s="15" t="s">
        <v>186</v>
      </c>
      <c r="K67" s="15">
        <v>7</v>
      </c>
      <c r="L67" s="11" t="s">
        <v>182</v>
      </c>
      <c r="M67" s="11" t="s">
        <v>146</v>
      </c>
      <c r="N67" s="15">
        <v>2022</v>
      </c>
      <c r="O67" s="15">
        <v>2100</v>
      </c>
      <c r="P67" s="9" t="str">
        <f t="shared" si="0"/>
        <v>/Logistics/ConvBG2Yfia4/Benguerir/Youssoufia/WP2WP/NA/Conveyor/Rock/7/New/2022/2100</v>
      </c>
      <c r="T67" s="5">
        <v>7</v>
      </c>
    </row>
    <row r="68" spans="4:20" x14ac:dyDescent="0.25">
      <c r="D68" s="9" t="s">
        <v>440</v>
      </c>
      <c r="E68" s="9" t="s">
        <v>9</v>
      </c>
      <c r="F68" s="9" t="s">
        <v>90</v>
      </c>
      <c r="G68" s="9" t="s">
        <v>384</v>
      </c>
      <c r="H68" s="9" t="s">
        <v>460</v>
      </c>
      <c r="I68" s="15" t="s">
        <v>466</v>
      </c>
      <c r="J68" s="15" t="s">
        <v>186</v>
      </c>
      <c r="K68" s="15">
        <v>8</v>
      </c>
      <c r="L68" s="11" t="s">
        <v>182</v>
      </c>
      <c r="M68" s="11" t="s">
        <v>146</v>
      </c>
      <c r="N68" s="15">
        <v>2022</v>
      </c>
      <c r="O68" s="15">
        <v>2100</v>
      </c>
      <c r="P68" s="9" t="str">
        <f t="shared" si="0"/>
        <v>/Logistics/ConvBG2Yfia5/Benguerir/Youssoufia/WP2WP/NA/Conveyor/Rock/8/New/2022/2100</v>
      </c>
      <c r="T68" s="5">
        <v>8</v>
      </c>
    </row>
    <row r="69" spans="4:20" x14ac:dyDescent="0.25">
      <c r="D69" s="9" t="s">
        <v>441</v>
      </c>
      <c r="E69" s="9" t="s">
        <v>9</v>
      </c>
      <c r="F69" s="9" t="s">
        <v>90</v>
      </c>
      <c r="G69" s="9" t="s">
        <v>384</v>
      </c>
      <c r="H69" s="9" t="s">
        <v>460</v>
      </c>
      <c r="I69" s="15" t="s">
        <v>466</v>
      </c>
      <c r="J69" s="15" t="s">
        <v>186</v>
      </c>
      <c r="K69" s="15">
        <v>9</v>
      </c>
      <c r="L69" s="11" t="s">
        <v>182</v>
      </c>
      <c r="M69" s="11" t="s">
        <v>146</v>
      </c>
      <c r="N69" s="15">
        <v>2022</v>
      </c>
      <c r="O69" s="15">
        <v>2100</v>
      </c>
      <c r="P69" s="9" t="str">
        <f t="shared" si="0"/>
        <v>/Logistics/ConvBG2Yfia6/Benguerir/Youssoufia/WP2WP/NA/Conveyor/Rock/9/New/2022/2100</v>
      </c>
      <c r="T69" s="5">
        <v>9</v>
      </c>
    </row>
    <row r="70" spans="4:20" x14ac:dyDescent="0.25">
      <c r="D70" s="9" t="s">
        <v>442</v>
      </c>
      <c r="E70" s="9" t="s">
        <v>9</v>
      </c>
      <c r="F70" s="9" t="s">
        <v>90</v>
      </c>
      <c r="G70" s="9" t="s">
        <v>384</v>
      </c>
      <c r="H70" s="9" t="s">
        <v>460</v>
      </c>
      <c r="I70" s="15" t="s">
        <v>466</v>
      </c>
      <c r="J70" s="15" t="s">
        <v>186</v>
      </c>
      <c r="K70" s="15">
        <v>2</v>
      </c>
      <c r="L70" s="11" t="s">
        <v>182</v>
      </c>
      <c r="M70" s="11" t="s">
        <v>146</v>
      </c>
      <c r="N70" s="15">
        <v>2022</v>
      </c>
      <c r="O70" s="15">
        <v>2100</v>
      </c>
      <c r="P70" s="9" t="str">
        <f t="shared" ref="P70:P82" si="1">IF(E70="","","/Logistics/"&amp;CONCATENATE(D70,"/",E70,"/",F70,"/",G70,"/",H70,"/",I70,"/",J70,"/",K70,"/",M70,"/",N70,"/",O70))</f>
        <v>/Logistics/ConvBG2Yfia7/Benguerir/Youssoufia/WP2WP/NA/Conveyor/Rock/2/New/2022/2100</v>
      </c>
      <c r="T70" s="5">
        <v>2</v>
      </c>
    </row>
    <row r="71" spans="4:20" x14ac:dyDescent="0.25">
      <c r="D71" s="9" t="s">
        <v>443</v>
      </c>
      <c r="E71" s="9" t="s">
        <v>9</v>
      </c>
      <c r="F71" s="9" t="s">
        <v>3</v>
      </c>
      <c r="G71" s="9" t="s">
        <v>396</v>
      </c>
      <c r="H71" s="9" t="s">
        <v>460</v>
      </c>
      <c r="I71" s="15" t="s">
        <v>466</v>
      </c>
      <c r="J71" s="15" t="s">
        <v>186</v>
      </c>
      <c r="K71" s="15">
        <v>3</v>
      </c>
      <c r="L71" s="11" t="s">
        <v>182</v>
      </c>
      <c r="M71" s="11" t="s">
        <v>146</v>
      </c>
      <c r="N71" s="15">
        <v>2022</v>
      </c>
      <c r="O71" s="15">
        <v>2100</v>
      </c>
      <c r="P71" s="9" t="str">
        <f t="shared" si="1"/>
        <v>/Logistics/ConvBG2Mz1/Benguerir/Mzinda/WP2PAP/NA/Conveyor/Rock/3/New/2022/2100</v>
      </c>
      <c r="T71" s="5">
        <v>3</v>
      </c>
    </row>
    <row r="72" spans="4:20" x14ac:dyDescent="0.25">
      <c r="D72" s="9" t="s">
        <v>444</v>
      </c>
      <c r="E72" s="9" t="s">
        <v>9</v>
      </c>
      <c r="F72" s="9" t="s">
        <v>3</v>
      </c>
      <c r="G72" s="9" t="s">
        <v>396</v>
      </c>
      <c r="H72" s="9" t="s">
        <v>460</v>
      </c>
      <c r="I72" s="15" t="s">
        <v>466</v>
      </c>
      <c r="J72" s="15" t="s">
        <v>186</v>
      </c>
      <c r="K72" s="15">
        <v>4</v>
      </c>
      <c r="L72" s="11" t="s">
        <v>182</v>
      </c>
      <c r="M72" s="11" t="s">
        <v>146</v>
      </c>
      <c r="N72" s="15">
        <v>2022</v>
      </c>
      <c r="O72" s="15">
        <v>2100</v>
      </c>
      <c r="P72" s="9" t="str">
        <f t="shared" si="1"/>
        <v>/Logistics/ConvBG2Mz2/Benguerir/Mzinda/WP2PAP/NA/Conveyor/Rock/4/New/2022/2100</v>
      </c>
      <c r="T72" s="5">
        <v>4</v>
      </c>
    </row>
    <row r="73" spans="4:20" x14ac:dyDescent="0.25">
      <c r="D73" s="9" t="s">
        <v>445</v>
      </c>
      <c r="E73" s="9" t="s">
        <v>9</v>
      </c>
      <c r="F73" s="9" t="s">
        <v>3</v>
      </c>
      <c r="G73" s="9" t="s">
        <v>396</v>
      </c>
      <c r="H73" s="9" t="s">
        <v>460</v>
      </c>
      <c r="I73" s="15" t="s">
        <v>466</v>
      </c>
      <c r="J73" s="15" t="s">
        <v>186</v>
      </c>
      <c r="K73" s="15">
        <v>5</v>
      </c>
      <c r="L73" s="11" t="s">
        <v>182</v>
      </c>
      <c r="M73" s="11" t="s">
        <v>146</v>
      </c>
      <c r="N73" s="15">
        <v>2022</v>
      </c>
      <c r="O73" s="15">
        <v>2100</v>
      </c>
      <c r="P73" s="9" t="str">
        <f t="shared" si="1"/>
        <v>/Logistics/ConvBG2Mz3/Benguerir/Mzinda/WP2PAP/NA/Conveyor/Rock/5/New/2022/2100</v>
      </c>
      <c r="T73" s="5">
        <v>5</v>
      </c>
    </row>
    <row r="74" spans="4:20" ht="15.75" thickBot="1" x14ac:dyDescent="0.3">
      <c r="D74" s="10" t="s">
        <v>446</v>
      </c>
      <c r="E74" s="10" t="s">
        <v>9</v>
      </c>
      <c r="F74" s="10" t="s">
        <v>3</v>
      </c>
      <c r="G74" s="10" t="s">
        <v>396</v>
      </c>
      <c r="H74" s="9" t="s">
        <v>460</v>
      </c>
      <c r="I74" s="16" t="s">
        <v>466</v>
      </c>
      <c r="J74" s="16" t="s">
        <v>186</v>
      </c>
      <c r="K74" s="16">
        <v>6</v>
      </c>
      <c r="L74" s="12" t="s">
        <v>182</v>
      </c>
      <c r="M74" s="12" t="s">
        <v>146</v>
      </c>
      <c r="N74" s="16">
        <v>2022</v>
      </c>
      <c r="O74" s="16">
        <v>2100</v>
      </c>
      <c r="P74" s="10" t="str">
        <f t="shared" si="1"/>
        <v>/Logistics/ConvBG2Mz4/Benguerir/Mzinda/WP2PAP/NA/Conveyor/Rock/6/New/2022/2100</v>
      </c>
      <c r="T74" s="5">
        <v>6</v>
      </c>
    </row>
    <row r="75" spans="4:20" x14ac:dyDescent="0.25">
      <c r="D75" s="5" t="s">
        <v>447</v>
      </c>
      <c r="E75" s="5" t="s">
        <v>9</v>
      </c>
      <c r="F75" s="5" t="s">
        <v>3</v>
      </c>
      <c r="G75" s="5" t="s">
        <v>396</v>
      </c>
      <c r="H75" s="9" t="s">
        <v>460</v>
      </c>
      <c r="I75" s="5" t="s">
        <v>466</v>
      </c>
      <c r="J75" s="5" t="s">
        <v>186</v>
      </c>
      <c r="K75" s="5">
        <v>0</v>
      </c>
      <c r="L75" s="5" t="s">
        <v>182</v>
      </c>
      <c r="M75" s="5" t="s">
        <v>146</v>
      </c>
      <c r="N75" s="5">
        <v>2022</v>
      </c>
      <c r="O75" s="5">
        <v>2100</v>
      </c>
      <c r="P75" s="5" t="str">
        <f t="shared" si="1"/>
        <v>/Logistics/ConvBG2Mz5/Benguerir/Mzinda/WP2PAP/NA/Conveyor/Rock/0/New/2022/2100</v>
      </c>
    </row>
    <row r="76" spans="4:20" x14ac:dyDescent="0.25">
      <c r="D76" s="5" t="s">
        <v>448</v>
      </c>
      <c r="E76" s="5" t="s">
        <v>9</v>
      </c>
      <c r="F76" s="5" t="s">
        <v>3</v>
      </c>
      <c r="G76" s="5" t="s">
        <v>396</v>
      </c>
      <c r="H76" s="9" t="s">
        <v>460</v>
      </c>
      <c r="I76" s="5" t="s">
        <v>466</v>
      </c>
      <c r="J76" s="5" t="s">
        <v>186</v>
      </c>
      <c r="K76" s="5">
        <v>0</v>
      </c>
      <c r="L76" s="5" t="s">
        <v>182</v>
      </c>
      <c r="M76" s="5" t="s">
        <v>146</v>
      </c>
      <c r="N76" s="5">
        <v>2022</v>
      </c>
      <c r="O76" s="5">
        <v>2100</v>
      </c>
      <c r="P76" s="5" t="str">
        <f t="shared" si="1"/>
        <v>/Logistics/ConvBG2Mz6/Benguerir/Mzinda/WP2PAP/NA/Conveyor/Rock/0/New/2022/2100</v>
      </c>
    </row>
    <row r="77" spans="4:20" x14ac:dyDescent="0.25">
      <c r="D77" s="5" t="s">
        <v>449</v>
      </c>
      <c r="E77" s="5" t="s">
        <v>9</v>
      </c>
      <c r="F77" s="5" t="s">
        <v>3</v>
      </c>
      <c r="G77" s="5" t="s">
        <v>396</v>
      </c>
      <c r="H77" s="9" t="s">
        <v>460</v>
      </c>
      <c r="I77" s="5" t="s">
        <v>466</v>
      </c>
      <c r="J77" s="5" t="s">
        <v>186</v>
      </c>
      <c r="K77" s="5">
        <v>0</v>
      </c>
      <c r="L77" s="5" t="s">
        <v>182</v>
      </c>
      <c r="M77" s="5" t="s">
        <v>146</v>
      </c>
      <c r="N77" s="5">
        <v>2022</v>
      </c>
      <c r="O77" s="5">
        <v>2100</v>
      </c>
      <c r="P77" s="5" t="str">
        <f t="shared" si="1"/>
        <v>/Logistics/ConvBG2Mz7/Benguerir/Mzinda/WP2PAP/NA/Conveyor/Rock/0/New/2022/2100</v>
      </c>
    </row>
    <row r="78" spans="4:20" x14ac:dyDescent="0.25">
      <c r="D78" s="5" t="s">
        <v>450</v>
      </c>
      <c r="E78" s="5" t="s">
        <v>90</v>
      </c>
      <c r="F78" s="5" t="s">
        <v>26</v>
      </c>
      <c r="G78" s="5" t="s">
        <v>396</v>
      </c>
      <c r="H78" s="9" t="s">
        <v>460</v>
      </c>
      <c r="I78" s="5" t="s">
        <v>466</v>
      </c>
      <c r="J78" s="5" t="s">
        <v>186</v>
      </c>
      <c r="K78" s="5">
        <v>0</v>
      </c>
      <c r="L78" s="5" t="s">
        <v>182</v>
      </c>
      <c r="M78" s="5" t="s">
        <v>146</v>
      </c>
      <c r="N78" s="5">
        <v>2022</v>
      </c>
      <c r="O78" s="5">
        <v>2100</v>
      </c>
      <c r="P78" s="5" t="str">
        <f t="shared" si="1"/>
        <v>/Logistics/ConvYfia2Safi1/Youssoufia/Safi/WP2PAP/NA/Conveyor/Rock/0/New/2022/2100</v>
      </c>
    </row>
    <row r="79" spans="4:20" x14ac:dyDescent="0.25">
      <c r="D79" s="5" t="s">
        <v>451</v>
      </c>
      <c r="E79" s="5" t="s">
        <v>90</v>
      </c>
      <c r="F79" s="5" t="s">
        <v>26</v>
      </c>
      <c r="G79" s="5" t="s">
        <v>396</v>
      </c>
      <c r="H79" s="9" t="s">
        <v>460</v>
      </c>
      <c r="I79" s="5" t="s">
        <v>466</v>
      </c>
      <c r="J79" s="5" t="s">
        <v>186</v>
      </c>
      <c r="K79" s="5">
        <v>0</v>
      </c>
      <c r="L79" s="5" t="s">
        <v>182</v>
      </c>
      <c r="M79" s="5" t="s">
        <v>146</v>
      </c>
      <c r="N79" s="5">
        <v>2022</v>
      </c>
      <c r="O79" s="5">
        <v>2100</v>
      </c>
      <c r="P79" s="5" t="str">
        <f t="shared" si="1"/>
        <v>/Logistics/ConvYfia2Safi2/Youssoufia/Safi/WP2PAP/NA/Conveyor/Rock/0/New/2022/2100</v>
      </c>
    </row>
    <row r="80" spans="4:20" x14ac:dyDescent="0.25">
      <c r="D80" s="5" t="s">
        <v>452</v>
      </c>
      <c r="E80" s="5" t="s">
        <v>90</v>
      </c>
      <c r="F80" s="5" t="s">
        <v>26</v>
      </c>
      <c r="G80" s="5" t="s">
        <v>396</v>
      </c>
      <c r="H80" s="9" t="s">
        <v>460</v>
      </c>
      <c r="I80" s="5" t="s">
        <v>466</v>
      </c>
      <c r="J80" s="5" t="s">
        <v>186</v>
      </c>
      <c r="K80" s="5">
        <v>0</v>
      </c>
      <c r="L80" s="5" t="s">
        <v>182</v>
      </c>
      <c r="M80" s="5" t="s">
        <v>146</v>
      </c>
      <c r="N80" s="5">
        <v>2022</v>
      </c>
      <c r="O80" s="5">
        <v>2100</v>
      </c>
      <c r="P80" s="5" t="str">
        <f t="shared" si="1"/>
        <v>/Logistics/ConvYfia2Safi3/Youssoufia/Safi/WP2PAP/NA/Conveyor/Rock/0/New/2022/2100</v>
      </c>
    </row>
    <row r="81" spans="4:16" x14ac:dyDescent="0.25">
      <c r="D81" s="5" t="s">
        <v>453</v>
      </c>
      <c r="E81" s="5" t="s">
        <v>90</v>
      </c>
      <c r="F81" s="5" t="s">
        <v>26</v>
      </c>
      <c r="G81" s="5" t="s">
        <v>396</v>
      </c>
      <c r="H81" s="9" t="s">
        <v>460</v>
      </c>
      <c r="I81" s="5" t="s">
        <v>466</v>
      </c>
      <c r="J81" s="5" t="s">
        <v>186</v>
      </c>
      <c r="K81" s="5">
        <v>0</v>
      </c>
      <c r="L81" s="5" t="s">
        <v>182</v>
      </c>
      <c r="M81" s="5" t="s">
        <v>146</v>
      </c>
      <c r="N81" s="5">
        <v>2022</v>
      </c>
      <c r="O81" s="5">
        <v>2100</v>
      </c>
      <c r="P81" s="5" t="str">
        <f t="shared" si="1"/>
        <v>/Logistics/ConvYfia2Safi4/Youssoufia/Safi/WP2PAP/NA/Conveyor/Rock/0/New/2022/2100</v>
      </c>
    </row>
    <row r="82" spans="4:16" ht="15.75" thickBot="1" x14ac:dyDescent="0.3">
      <c r="D82" s="5" t="s">
        <v>454</v>
      </c>
      <c r="E82" s="5" t="s">
        <v>90</v>
      </c>
      <c r="F82" s="5" t="s">
        <v>26</v>
      </c>
      <c r="G82" s="5" t="s">
        <v>396</v>
      </c>
      <c r="H82" s="10" t="s">
        <v>460</v>
      </c>
      <c r="I82" s="5" t="s">
        <v>466</v>
      </c>
      <c r="J82" s="5" t="s">
        <v>186</v>
      </c>
      <c r="K82" s="5">
        <v>0</v>
      </c>
      <c r="L82" s="5" t="s">
        <v>182</v>
      </c>
      <c r="M82" s="5" t="s">
        <v>146</v>
      </c>
      <c r="N82" s="5">
        <v>2022</v>
      </c>
      <c r="O82" s="5">
        <v>2100</v>
      </c>
      <c r="P82" s="5" t="str">
        <f t="shared" si="1"/>
        <v>/Logistics/ConvYfia2Safi5/Youssoufia/Safi/WP2PAP/NA/Conveyor/Rock/0/New/2022/2100</v>
      </c>
    </row>
  </sheetData>
  <dataValidations count="6">
    <dataValidation type="list" allowBlank="1" showInputMessage="1" showErrorMessage="1" sqref="I5:I82">
      <formula1>LogisticsMethod</formula1>
    </dataValidation>
    <dataValidation type="list" allowBlank="1" showInputMessage="1" showErrorMessage="1" sqref="E5:F74">
      <formula1>Location</formula1>
    </dataValidation>
    <dataValidation type="list" allowBlank="1" showInputMessage="1" showErrorMessage="1" sqref="L5:L74">
      <formula1>Unit</formula1>
    </dataValidation>
    <dataValidation type="list" allowBlank="1" showInputMessage="1" showErrorMessage="1" sqref="G5:G74">
      <formula1>"WP2WP,WP2PAP,WP2Granul,WP2Port,PAP2Granul,PAP2Port,Granul2Port"</formula1>
    </dataValidation>
    <dataValidation type="list" allowBlank="1" showInputMessage="1" showErrorMessage="1" sqref="H5:H82">
      <formula1>"Mzinda,Safi,NA"</formula1>
    </dataValidation>
    <dataValidation type="list" allowBlank="1" showInputMessage="1" showErrorMessage="1" sqref="M5:M82">
      <formula1>"Exist,New"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'C:\GitRepos\mine2farm\inputs\[FilledTemplates minimized 291019YW.xlsm]Logistics &gt;&gt;&gt;'!#REF!</xm:f>
          </x14:formula1>
          <xm:sqref>J5:J74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3">
    <tabColor rgb="FFFF3300"/>
  </sheetPr>
  <dimension ref="B1:U82"/>
  <sheetViews>
    <sheetView workbookViewId="0">
      <selection activeCell="L1" sqref="L1:V1048576"/>
    </sheetView>
  </sheetViews>
  <sheetFormatPr baseColWidth="10" defaultColWidth="11.5703125" defaultRowHeight="15" x14ac:dyDescent="0.25"/>
  <cols>
    <col min="1" max="3" width="3.85546875" style="5" customWidth="1"/>
    <col min="4" max="10" width="15.85546875" style="5" customWidth="1"/>
    <col min="11" max="21" width="8.85546875" style="5" customWidth="1"/>
    <col min="22" max="16384" width="11.5703125" style="5"/>
  </cols>
  <sheetData>
    <row r="1" spans="2:21" s="91" customFormat="1" ht="24.95" customHeight="1" x14ac:dyDescent="0.25">
      <c r="B1" s="90" t="s">
        <v>269</v>
      </c>
    </row>
    <row r="3" spans="2:21" ht="15.75" thickBot="1" x14ac:dyDescent="0.3">
      <c r="D3" s="38" t="str">
        <f>JESA_UploadTable(B1, D4:U82,db)</f>
        <v>Logistics opex @09:45:18</v>
      </c>
    </row>
    <row r="4" spans="2:21" ht="30" customHeight="1" thickBot="1" x14ac:dyDescent="0.3">
      <c r="D4" s="92" t="s">
        <v>265</v>
      </c>
      <c r="E4" s="92" t="s">
        <v>266</v>
      </c>
      <c r="F4" s="92" t="s">
        <v>267</v>
      </c>
      <c r="G4" s="92" t="s">
        <v>24</v>
      </c>
      <c r="H4" s="92" t="s">
        <v>268</v>
      </c>
      <c r="I4" s="92" t="s">
        <v>12</v>
      </c>
      <c r="J4" s="92" t="s">
        <v>17</v>
      </c>
      <c r="K4" s="93" t="s">
        <v>37</v>
      </c>
      <c r="L4" s="93" t="s">
        <v>38</v>
      </c>
      <c r="M4" s="93" t="s">
        <v>39</v>
      </c>
      <c r="N4" s="93" t="s">
        <v>40</v>
      </c>
      <c r="O4" s="93" t="s">
        <v>41</v>
      </c>
      <c r="P4" s="93" t="s">
        <v>42</v>
      </c>
      <c r="Q4" s="93" t="s">
        <v>43</v>
      </c>
      <c r="R4" s="93" t="s">
        <v>44</v>
      </c>
      <c r="S4" s="93" t="s">
        <v>45</v>
      </c>
      <c r="T4" s="93" t="s">
        <v>46</v>
      </c>
      <c r="U4" s="93" t="s">
        <v>47</v>
      </c>
    </row>
    <row r="5" spans="2:21" x14ac:dyDescent="0.25">
      <c r="D5" s="8" t="s">
        <v>4</v>
      </c>
      <c r="E5" s="8" t="s">
        <v>9</v>
      </c>
      <c r="F5" s="14" t="s">
        <v>256</v>
      </c>
      <c r="G5" s="14" t="s">
        <v>186</v>
      </c>
      <c r="H5" s="14">
        <v>3</v>
      </c>
      <c r="I5" s="8" t="s">
        <v>22</v>
      </c>
      <c r="J5" s="15" t="s">
        <v>375</v>
      </c>
      <c r="K5" s="17">
        <v>1.1066666666666667</v>
      </c>
      <c r="L5" s="17">
        <f>K5</f>
        <v>1.1066666666666667</v>
      </c>
      <c r="M5" s="17">
        <f t="shared" ref="M5:U5" si="0">L5</f>
        <v>1.1066666666666667</v>
      </c>
      <c r="N5" s="17">
        <f t="shared" si="0"/>
        <v>1.1066666666666667</v>
      </c>
      <c r="O5" s="17">
        <f t="shared" si="0"/>
        <v>1.1066666666666667</v>
      </c>
      <c r="P5" s="17">
        <f t="shared" si="0"/>
        <v>1.1066666666666667</v>
      </c>
      <c r="Q5" s="17">
        <f t="shared" si="0"/>
        <v>1.1066666666666667</v>
      </c>
      <c r="R5" s="17">
        <f t="shared" si="0"/>
        <v>1.1066666666666667</v>
      </c>
      <c r="S5" s="17">
        <f t="shared" si="0"/>
        <v>1.1066666666666667</v>
      </c>
      <c r="T5" s="17">
        <f t="shared" si="0"/>
        <v>1.1066666666666667</v>
      </c>
      <c r="U5" s="17">
        <f t="shared" si="0"/>
        <v>1.1066666666666667</v>
      </c>
    </row>
    <row r="6" spans="2:21" x14ac:dyDescent="0.25">
      <c r="D6" s="9" t="s">
        <v>4</v>
      </c>
      <c r="E6" s="9" t="s">
        <v>9</v>
      </c>
      <c r="F6" s="15" t="s">
        <v>256</v>
      </c>
      <c r="G6" s="15" t="s">
        <v>186</v>
      </c>
      <c r="H6" s="15">
        <v>4</v>
      </c>
      <c r="I6" s="9" t="s">
        <v>22</v>
      </c>
      <c r="J6" s="15" t="s">
        <v>375</v>
      </c>
      <c r="K6" s="18">
        <v>0.79249999999999998</v>
      </c>
      <c r="L6" s="18">
        <f t="shared" ref="L6:U6" si="1">K6</f>
        <v>0.79249999999999998</v>
      </c>
      <c r="M6" s="18">
        <f t="shared" si="1"/>
        <v>0.79249999999999998</v>
      </c>
      <c r="N6" s="18">
        <f t="shared" si="1"/>
        <v>0.79249999999999998</v>
      </c>
      <c r="O6" s="18">
        <f t="shared" si="1"/>
        <v>0.79249999999999998</v>
      </c>
      <c r="P6" s="18">
        <f t="shared" si="1"/>
        <v>0.79249999999999998</v>
      </c>
      <c r="Q6" s="18">
        <f t="shared" si="1"/>
        <v>0.79249999999999998</v>
      </c>
      <c r="R6" s="18">
        <f t="shared" si="1"/>
        <v>0.79249999999999998</v>
      </c>
      <c r="S6" s="18">
        <f t="shared" si="1"/>
        <v>0.79249999999999998</v>
      </c>
      <c r="T6" s="18">
        <f t="shared" si="1"/>
        <v>0.79249999999999998</v>
      </c>
      <c r="U6" s="18">
        <f t="shared" si="1"/>
        <v>0.79249999999999998</v>
      </c>
    </row>
    <row r="7" spans="2:21" x14ac:dyDescent="0.25">
      <c r="D7" s="9" t="s">
        <v>4</v>
      </c>
      <c r="E7" s="9" t="s">
        <v>9</v>
      </c>
      <c r="F7" s="15" t="s">
        <v>256</v>
      </c>
      <c r="G7" s="15" t="s">
        <v>186</v>
      </c>
      <c r="H7" s="15">
        <v>5</v>
      </c>
      <c r="I7" s="9" t="s">
        <v>22</v>
      </c>
      <c r="J7" s="15" t="s">
        <v>375</v>
      </c>
      <c r="K7" s="18">
        <v>0.67800000000000005</v>
      </c>
      <c r="L7" s="18">
        <f t="shared" ref="L7:U7" si="2">K7</f>
        <v>0.67800000000000005</v>
      </c>
      <c r="M7" s="18">
        <f t="shared" si="2"/>
        <v>0.67800000000000005</v>
      </c>
      <c r="N7" s="18">
        <f t="shared" si="2"/>
        <v>0.67800000000000005</v>
      </c>
      <c r="O7" s="18">
        <f t="shared" si="2"/>
        <v>0.67800000000000005</v>
      </c>
      <c r="P7" s="18">
        <f t="shared" si="2"/>
        <v>0.67800000000000005</v>
      </c>
      <c r="Q7" s="18">
        <f t="shared" si="2"/>
        <v>0.67800000000000005</v>
      </c>
      <c r="R7" s="18">
        <f t="shared" si="2"/>
        <v>0.67800000000000005</v>
      </c>
      <c r="S7" s="18">
        <f t="shared" si="2"/>
        <v>0.67800000000000005</v>
      </c>
      <c r="T7" s="18">
        <f t="shared" si="2"/>
        <v>0.67800000000000005</v>
      </c>
      <c r="U7" s="18">
        <f t="shared" si="2"/>
        <v>0.67800000000000005</v>
      </c>
    </row>
    <row r="8" spans="2:21" x14ac:dyDescent="0.25">
      <c r="D8" s="9" t="s">
        <v>4</v>
      </c>
      <c r="E8" s="9" t="s">
        <v>9</v>
      </c>
      <c r="F8" s="15" t="s">
        <v>256</v>
      </c>
      <c r="G8" s="15" t="s">
        <v>186</v>
      </c>
      <c r="H8" s="15">
        <v>6</v>
      </c>
      <c r="I8" s="9" t="s">
        <v>22</v>
      </c>
      <c r="J8" s="15" t="s">
        <v>375</v>
      </c>
      <c r="K8" s="18">
        <v>0.76833333333333342</v>
      </c>
      <c r="L8" s="18">
        <f t="shared" ref="L8:U8" si="3">K8</f>
        <v>0.76833333333333342</v>
      </c>
      <c r="M8" s="18">
        <f t="shared" si="3"/>
        <v>0.76833333333333342</v>
      </c>
      <c r="N8" s="18">
        <f t="shared" si="3"/>
        <v>0.76833333333333342</v>
      </c>
      <c r="O8" s="18">
        <f t="shared" si="3"/>
        <v>0.76833333333333342</v>
      </c>
      <c r="P8" s="18">
        <f t="shared" si="3"/>
        <v>0.76833333333333342</v>
      </c>
      <c r="Q8" s="18">
        <f t="shared" si="3"/>
        <v>0.76833333333333342</v>
      </c>
      <c r="R8" s="18">
        <f t="shared" si="3"/>
        <v>0.76833333333333342</v>
      </c>
      <c r="S8" s="18">
        <f t="shared" si="3"/>
        <v>0.76833333333333342</v>
      </c>
      <c r="T8" s="18">
        <f t="shared" si="3"/>
        <v>0.76833333333333342</v>
      </c>
      <c r="U8" s="18">
        <f t="shared" si="3"/>
        <v>0.76833333333333342</v>
      </c>
    </row>
    <row r="9" spans="2:21" x14ac:dyDescent="0.25">
      <c r="D9" s="9" t="s">
        <v>4</v>
      </c>
      <c r="E9" s="9" t="s">
        <v>9</v>
      </c>
      <c r="F9" s="15" t="s">
        <v>256</v>
      </c>
      <c r="G9" s="15" t="s">
        <v>186</v>
      </c>
      <c r="H9" s="15">
        <v>7</v>
      </c>
      <c r="I9" s="9" t="s">
        <v>22</v>
      </c>
      <c r="J9" s="15" t="s">
        <v>375</v>
      </c>
      <c r="K9" s="18">
        <v>0.6</v>
      </c>
      <c r="L9" s="18">
        <f t="shared" ref="L9:U9" si="4">K9</f>
        <v>0.6</v>
      </c>
      <c r="M9" s="18">
        <f t="shared" si="4"/>
        <v>0.6</v>
      </c>
      <c r="N9" s="18">
        <f t="shared" si="4"/>
        <v>0.6</v>
      </c>
      <c r="O9" s="18">
        <f t="shared" si="4"/>
        <v>0.6</v>
      </c>
      <c r="P9" s="18">
        <f t="shared" si="4"/>
        <v>0.6</v>
      </c>
      <c r="Q9" s="18">
        <f t="shared" si="4"/>
        <v>0.6</v>
      </c>
      <c r="R9" s="18">
        <f t="shared" si="4"/>
        <v>0.6</v>
      </c>
      <c r="S9" s="18">
        <f t="shared" si="4"/>
        <v>0.6</v>
      </c>
      <c r="T9" s="18">
        <f t="shared" si="4"/>
        <v>0.6</v>
      </c>
      <c r="U9" s="18">
        <f t="shared" si="4"/>
        <v>0.6</v>
      </c>
    </row>
    <row r="10" spans="2:21" x14ac:dyDescent="0.25">
      <c r="D10" s="9" t="s">
        <v>4</v>
      </c>
      <c r="E10" s="9" t="s">
        <v>9</v>
      </c>
      <c r="F10" s="15" t="s">
        <v>256</v>
      </c>
      <c r="G10" s="15" t="s">
        <v>186</v>
      </c>
      <c r="H10" s="15">
        <v>8</v>
      </c>
      <c r="I10" s="9" t="s">
        <v>22</v>
      </c>
      <c r="J10" s="15" t="s">
        <v>375</v>
      </c>
      <c r="K10" s="18">
        <v>0.54374999999999996</v>
      </c>
      <c r="L10" s="18">
        <f t="shared" ref="L10:U10" si="5">K10</f>
        <v>0.54374999999999996</v>
      </c>
      <c r="M10" s="18">
        <f t="shared" si="5"/>
        <v>0.54374999999999996</v>
      </c>
      <c r="N10" s="18">
        <f t="shared" si="5"/>
        <v>0.54374999999999996</v>
      </c>
      <c r="O10" s="18">
        <f t="shared" si="5"/>
        <v>0.54374999999999996</v>
      </c>
      <c r="P10" s="18">
        <f t="shared" si="5"/>
        <v>0.54374999999999996</v>
      </c>
      <c r="Q10" s="18">
        <f t="shared" si="5"/>
        <v>0.54374999999999996</v>
      </c>
      <c r="R10" s="18">
        <f t="shared" si="5"/>
        <v>0.54374999999999996</v>
      </c>
      <c r="S10" s="18">
        <f t="shared" si="5"/>
        <v>0.54374999999999996</v>
      </c>
      <c r="T10" s="18">
        <f t="shared" si="5"/>
        <v>0.54374999999999996</v>
      </c>
      <c r="U10" s="18">
        <f t="shared" si="5"/>
        <v>0.54374999999999996</v>
      </c>
    </row>
    <row r="11" spans="2:21" x14ac:dyDescent="0.25">
      <c r="D11" s="9" t="s">
        <v>4</v>
      </c>
      <c r="E11" s="9" t="s">
        <v>9</v>
      </c>
      <c r="F11" s="15" t="s">
        <v>256</v>
      </c>
      <c r="G11" s="15" t="s">
        <v>186</v>
      </c>
      <c r="H11" s="15">
        <v>9</v>
      </c>
      <c r="I11" s="9" t="s">
        <v>22</v>
      </c>
      <c r="J11" s="15" t="s">
        <v>375</v>
      </c>
      <c r="K11" s="18">
        <v>0.52666666666666673</v>
      </c>
      <c r="L11" s="18">
        <f t="shared" ref="L11:U11" si="6">K11</f>
        <v>0.52666666666666673</v>
      </c>
      <c r="M11" s="18">
        <f t="shared" si="6"/>
        <v>0.52666666666666673</v>
      </c>
      <c r="N11" s="18">
        <f t="shared" si="6"/>
        <v>0.52666666666666673</v>
      </c>
      <c r="O11" s="18">
        <f t="shared" si="6"/>
        <v>0.52666666666666673</v>
      </c>
      <c r="P11" s="18">
        <f t="shared" si="6"/>
        <v>0.52666666666666673</v>
      </c>
      <c r="Q11" s="18">
        <f t="shared" si="6"/>
        <v>0.52666666666666673</v>
      </c>
      <c r="R11" s="18">
        <f t="shared" si="6"/>
        <v>0.52666666666666673</v>
      </c>
      <c r="S11" s="18">
        <f t="shared" si="6"/>
        <v>0.52666666666666673</v>
      </c>
      <c r="T11" s="18">
        <f t="shared" si="6"/>
        <v>0.52666666666666673</v>
      </c>
      <c r="U11" s="18">
        <f t="shared" si="6"/>
        <v>0.52666666666666673</v>
      </c>
    </row>
    <row r="12" spans="2:21" x14ac:dyDescent="0.25">
      <c r="D12" s="9" t="s">
        <v>4</v>
      </c>
      <c r="E12" s="9" t="s">
        <v>9</v>
      </c>
      <c r="F12" s="15" t="s">
        <v>256</v>
      </c>
      <c r="G12" s="15" t="s">
        <v>186</v>
      </c>
      <c r="H12" s="15">
        <v>10</v>
      </c>
      <c r="I12" s="9" t="s">
        <v>22</v>
      </c>
      <c r="J12" s="15" t="s">
        <v>375</v>
      </c>
      <c r="K12" s="18">
        <v>0.437</v>
      </c>
      <c r="L12" s="18">
        <f t="shared" ref="L12:U12" si="7">K12</f>
        <v>0.437</v>
      </c>
      <c r="M12" s="18">
        <f t="shared" si="7"/>
        <v>0.437</v>
      </c>
      <c r="N12" s="18">
        <f t="shared" si="7"/>
        <v>0.437</v>
      </c>
      <c r="O12" s="18">
        <f t="shared" si="7"/>
        <v>0.437</v>
      </c>
      <c r="P12" s="18">
        <f t="shared" si="7"/>
        <v>0.437</v>
      </c>
      <c r="Q12" s="18">
        <f t="shared" si="7"/>
        <v>0.437</v>
      </c>
      <c r="R12" s="18">
        <f t="shared" si="7"/>
        <v>0.437</v>
      </c>
      <c r="S12" s="18">
        <f t="shared" si="7"/>
        <v>0.437</v>
      </c>
      <c r="T12" s="18">
        <f t="shared" si="7"/>
        <v>0.437</v>
      </c>
      <c r="U12" s="18">
        <f t="shared" si="7"/>
        <v>0.437</v>
      </c>
    </row>
    <row r="13" spans="2:21" x14ac:dyDescent="0.25">
      <c r="D13" s="9" t="s">
        <v>10</v>
      </c>
      <c r="E13" s="9" t="s">
        <v>9</v>
      </c>
      <c r="F13" s="15" t="s">
        <v>256</v>
      </c>
      <c r="G13" s="15" t="s">
        <v>186</v>
      </c>
      <c r="H13" s="15">
        <v>2</v>
      </c>
      <c r="I13" s="9" t="s">
        <v>22</v>
      </c>
      <c r="J13" s="15" t="s">
        <v>375</v>
      </c>
      <c r="K13" s="18">
        <v>1.25</v>
      </c>
      <c r="L13" s="18">
        <f t="shared" ref="L13:U13" si="8">K13</f>
        <v>1.25</v>
      </c>
      <c r="M13" s="18">
        <f t="shared" si="8"/>
        <v>1.25</v>
      </c>
      <c r="N13" s="18">
        <f t="shared" si="8"/>
        <v>1.25</v>
      </c>
      <c r="O13" s="18">
        <f t="shared" si="8"/>
        <v>1.25</v>
      </c>
      <c r="P13" s="18">
        <f t="shared" si="8"/>
        <v>1.25</v>
      </c>
      <c r="Q13" s="18">
        <f t="shared" si="8"/>
        <v>1.25</v>
      </c>
      <c r="R13" s="18">
        <f t="shared" si="8"/>
        <v>1.25</v>
      </c>
      <c r="S13" s="18">
        <f t="shared" si="8"/>
        <v>1.25</v>
      </c>
      <c r="T13" s="18">
        <f t="shared" si="8"/>
        <v>1.25</v>
      </c>
      <c r="U13" s="18">
        <f t="shared" si="8"/>
        <v>1.25</v>
      </c>
    </row>
    <row r="14" spans="2:21" x14ac:dyDescent="0.25">
      <c r="D14" s="9" t="s">
        <v>10</v>
      </c>
      <c r="E14" s="9" t="s">
        <v>9</v>
      </c>
      <c r="F14" s="15" t="s">
        <v>256</v>
      </c>
      <c r="G14" s="15" t="s">
        <v>186</v>
      </c>
      <c r="H14" s="15">
        <v>4</v>
      </c>
      <c r="I14" s="9" t="s">
        <v>22</v>
      </c>
      <c r="J14" s="15" t="s">
        <v>375</v>
      </c>
      <c r="K14" s="18">
        <v>0.63249999999999995</v>
      </c>
      <c r="L14" s="18">
        <f t="shared" ref="L14:U14" si="9">K14</f>
        <v>0.63249999999999995</v>
      </c>
      <c r="M14" s="18">
        <f t="shared" si="9"/>
        <v>0.63249999999999995</v>
      </c>
      <c r="N14" s="18">
        <f t="shared" si="9"/>
        <v>0.63249999999999995</v>
      </c>
      <c r="O14" s="18">
        <f t="shared" si="9"/>
        <v>0.63249999999999995</v>
      </c>
      <c r="P14" s="18">
        <f t="shared" si="9"/>
        <v>0.63249999999999995</v>
      </c>
      <c r="Q14" s="18">
        <f t="shared" si="9"/>
        <v>0.63249999999999995</v>
      </c>
      <c r="R14" s="18">
        <f t="shared" si="9"/>
        <v>0.63249999999999995</v>
      </c>
      <c r="S14" s="18">
        <f t="shared" si="9"/>
        <v>0.63249999999999995</v>
      </c>
      <c r="T14" s="18">
        <f t="shared" si="9"/>
        <v>0.63249999999999995</v>
      </c>
      <c r="U14" s="18">
        <f t="shared" si="9"/>
        <v>0.63249999999999995</v>
      </c>
    </row>
    <row r="15" spans="2:21" x14ac:dyDescent="0.25">
      <c r="D15" s="9" t="s">
        <v>10</v>
      </c>
      <c r="E15" s="9" t="s">
        <v>9</v>
      </c>
      <c r="F15" s="15" t="s">
        <v>256</v>
      </c>
      <c r="G15" s="15" t="s">
        <v>186</v>
      </c>
      <c r="H15" s="15">
        <v>6</v>
      </c>
      <c r="I15" s="9" t="s">
        <v>22</v>
      </c>
      <c r="J15" s="15" t="s">
        <v>375</v>
      </c>
      <c r="K15" s="18">
        <v>0.60166666666666668</v>
      </c>
      <c r="L15" s="18">
        <f t="shared" ref="L15:U15" si="10">K15</f>
        <v>0.60166666666666668</v>
      </c>
      <c r="M15" s="18">
        <f t="shared" si="10"/>
        <v>0.60166666666666668</v>
      </c>
      <c r="N15" s="18">
        <f t="shared" si="10"/>
        <v>0.60166666666666668</v>
      </c>
      <c r="O15" s="18">
        <f t="shared" si="10"/>
        <v>0.60166666666666668</v>
      </c>
      <c r="P15" s="18">
        <f t="shared" si="10"/>
        <v>0.60166666666666668</v>
      </c>
      <c r="Q15" s="18">
        <f t="shared" si="10"/>
        <v>0.60166666666666668</v>
      </c>
      <c r="R15" s="18">
        <f t="shared" si="10"/>
        <v>0.60166666666666668</v>
      </c>
      <c r="S15" s="18">
        <f t="shared" si="10"/>
        <v>0.60166666666666668</v>
      </c>
      <c r="T15" s="18">
        <f t="shared" si="10"/>
        <v>0.60166666666666668</v>
      </c>
      <c r="U15" s="18">
        <f t="shared" si="10"/>
        <v>0.60166666666666668</v>
      </c>
    </row>
    <row r="16" spans="2:21" x14ac:dyDescent="0.25">
      <c r="D16" s="9" t="s">
        <v>90</v>
      </c>
      <c r="E16" s="9" t="s">
        <v>3</v>
      </c>
      <c r="F16" s="15" t="s">
        <v>256</v>
      </c>
      <c r="G16" s="15" t="s">
        <v>186</v>
      </c>
      <c r="H16" s="15">
        <v>2</v>
      </c>
      <c r="I16" s="9" t="s">
        <v>22</v>
      </c>
      <c r="J16" s="15" t="s">
        <v>375</v>
      </c>
      <c r="K16" s="18">
        <v>1.115</v>
      </c>
      <c r="L16" s="18">
        <f t="shared" ref="L16:U16" si="11">K16</f>
        <v>1.115</v>
      </c>
      <c r="M16" s="18">
        <f t="shared" si="11"/>
        <v>1.115</v>
      </c>
      <c r="N16" s="18">
        <f t="shared" si="11"/>
        <v>1.115</v>
      </c>
      <c r="O16" s="18">
        <f t="shared" si="11"/>
        <v>1.115</v>
      </c>
      <c r="P16" s="18">
        <f t="shared" si="11"/>
        <v>1.115</v>
      </c>
      <c r="Q16" s="18">
        <f t="shared" si="11"/>
        <v>1.115</v>
      </c>
      <c r="R16" s="18">
        <f t="shared" si="11"/>
        <v>1.115</v>
      </c>
      <c r="S16" s="18">
        <f t="shared" si="11"/>
        <v>1.115</v>
      </c>
      <c r="T16" s="18">
        <f t="shared" si="11"/>
        <v>1.115</v>
      </c>
      <c r="U16" s="18">
        <f t="shared" si="11"/>
        <v>1.115</v>
      </c>
    </row>
    <row r="17" spans="4:21" x14ac:dyDescent="0.25">
      <c r="D17" s="9" t="s">
        <v>90</v>
      </c>
      <c r="E17" s="9" t="s">
        <v>3</v>
      </c>
      <c r="F17" s="15" t="s">
        <v>256</v>
      </c>
      <c r="G17" s="15" t="s">
        <v>186</v>
      </c>
      <c r="H17" s="15">
        <v>3</v>
      </c>
      <c r="I17" s="9" t="s">
        <v>22</v>
      </c>
      <c r="J17" s="15" t="s">
        <v>375</v>
      </c>
      <c r="K17" s="18">
        <v>0.79333333333333333</v>
      </c>
      <c r="L17" s="18">
        <f t="shared" ref="L17:U17" si="12">K17</f>
        <v>0.79333333333333333</v>
      </c>
      <c r="M17" s="18">
        <f t="shared" si="12"/>
        <v>0.79333333333333333</v>
      </c>
      <c r="N17" s="18">
        <f t="shared" si="12"/>
        <v>0.79333333333333333</v>
      </c>
      <c r="O17" s="18">
        <f t="shared" si="12"/>
        <v>0.79333333333333333</v>
      </c>
      <c r="P17" s="18">
        <f t="shared" si="12"/>
        <v>0.79333333333333333</v>
      </c>
      <c r="Q17" s="18">
        <f t="shared" si="12"/>
        <v>0.79333333333333333</v>
      </c>
      <c r="R17" s="18">
        <f t="shared" si="12"/>
        <v>0.79333333333333333</v>
      </c>
      <c r="S17" s="18">
        <f t="shared" si="12"/>
        <v>0.79333333333333333</v>
      </c>
      <c r="T17" s="18">
        <f t="shared" si="12"/>
        <v>0.79333333333333333</v>
      </c>
      <c r="U17" s="18">
        <f t="shared" si="12"/>
        <v>0.79333333333333333</v>
      </c>
    </row>
    <row r="18" spans="4:21" x14ac:dyDescent="0.25">
      <c r="D18" s="9" t="s">
        <v>90</v>
      </c>
      <c r="E18" s="9" t="s">
        <v>3</v>
      </c>
      <c r="F18" s="15" t="s">
        <v>256</v>
      </c>
      <c r="G18" s="15" t="s">
        <v>186</v>
      </c>
      <c r="H18" s="15">
        <v>4</v>
      </c>
      <c r="I18" s="9" t="s">
        <v>22</v>
      </c>
      <c r="J18" s="15" t="s">
        <v>375</v>
      </c>
      <c r="K18" s="18">
        <v>0.57499999999999996</v>
      </c>
      <c r="L18" s="18">
        <f t="shared" ref="L18:U18" si="13">K18</f>
        <v>0.57499999999999996</v>
      </c>
      <c r="M18" s="18">
        <f t="shared" si="13"/>
        <v>0.57499999999999996</v>
      </c>
      <c r="N18" s="18">
        <f t="shared" si="13"/>
        <v>0.57499999999999996</v>
      </c>
      <c r="O18" s="18">
        <f t="shared" si="13"/>
        <v>0.57499999999999996</v>
      </c>
      <c r="P18" s="18">
        <f t="shared" si="13"/>
        <v>0.57499999999999996</v>
      </c>
      <c r="Q18" s="18">
        <f t="shared" si="13"/>
        <v>0.57499999999999996</v>
      </c>
      <c r="R18" s="18">
        <f t="shared" si="13"/>
        <v>0.57499999999999996</v>
      </c>
      <c r="S18" s="18">
        <f t="shared" si="13"/>
        <v>0.57499999999999996</v>
      </c>
      <c r="T18" s="18">
        <f t="shared" si="13"/>
        <v>0.57499999999999996</v>
      </c>
      <c r="U18" s="18">
        <f t="shared" si="13"/>
        <v>0.57499999999999996</v>
      </c>
    </row>
    <row r="19" spans="4:21" x14ac:dyDescent="0.25">
      <c r="D19" s="9" t="s">
        <v>90</v>
      </c>
      <c r="E19" s="9" t="s">
        <v>3</v>
      </c>
      <c r="F19" s="15" t="s">
        <v>256</v>
      </c>
      <c r="G19" s="15" t="s">
        <v>186</v>
      </c>
      <c r="H19" s="15">
        <v>5</v>
      </c>
      <c r="I19" s="9" t="s">
        <v>22</v>
      </c>
      <c r="J19" s="15" t="s">
        <v>375</v>
      </c>
      <c r="K19" s="18">
        <v>0.51</v>
      </c>
      <c r="L19" s="18">
        <f t="shared" ref="L19:U19" si="14">K19</f>
        <v>0.51</v>
      </c>
      <c r="M19" s="18">
        <f t="shared" si="14"/>
        <v>0.51</v>
      </c>
      <c r="N19" s="18">
        <f t="shared" si="14"/>
        <v>0.51</v>
      </c>
      <c r="O19" s="18">
        <f t="shared" si="14"/>
        <v>0.51</v>
      </c>
      <c r="P19" s="18">
        <f t="shared" si="14"/>
        <v>0.51</v>
      </c>
      <c r="Q19" s="18">
        <f t="shared" si="14"/>
        <v>0.51</v>
      </c>
      <c r="R19" s="18">
        <f t="shared" si="14"/>
        <v>0.51</v>
      </c>
      <c r="S19" s="18">
        <f t="shared" si="14"/>
        <v>0.51</v>
      </c>
      <c r="T19" s="18">
        <f t="shared" si="14"/>
        <v>0.51</v>
      </c>
      <c r="U19" s="18">
        <f t="shared" si="14"/>
        <v>0.51</v>
      </c>
    </row>
    <row r="20" spans="4:21" x14ac:dyDescent="0.25">
      <c r="D20" s="9" t="s">
        <v>90</v>
      </c>
      <c r="E20" s="9" t="s">
        <v>3</v>
      </c>
      <c r="F20" s="15" t="s">
        <v>256</v>
      </c>
      <c r="G20" s="15" t="s">
        <v>186</v>
      </c>
      <c r="H20" s="15">
        <v>6</v>
      </c>
      <c r="I20" s="9" t="s">
        <v>22</v>
      </c>
      <c r="J20" s="15" t="s">
        <v>375</v>
      </c>
      <c r="K20" s="18">
        <v>0.54500000000000004</v>
      </c>
      <c r="L20" s="18">
        <f t="shared" ref="L20:U20" si="15">K20</f>
        <v>0.54500000000000004</v>
      </c>
      <c r="M20" s="18">
        <f t="shared" si="15"/>
        <v>0.54500000000000004</v>
      </c>
      <c r="N20" s="18">
        <f t="shared" si="15"/>
        <v>0.54500000000000004</v>
      </c>
      <c r="O20" s="18">
        <f t="shared" si="15"/>
        <v>0.54500000000000004</v>
      </c>
      <c r="P20" s="18">
        <f t="shared" si="15"/>
        <v>0.54500000000000004</v>
      </c>
      <c r="Q20" s="18">
        <f t="shared" si="15"/>
        <v>0.54500000000000004</v>
      </c>
      <c r="R20" s="18">
        <f t="shared" si="15"/>
        <v>0.54500000000000004</v>
      </c>
      <c r="S20" s="18">
        <f t="shared" si="15"/>
        <v>0.54500000000000004</v>
      </c>
      <c r="T20" s="18">
        <f t="shared" si="15"/>
        <v>0.54500000000000004</v>
      </c>
      <c r="U20" s="18">
        <f t="shared" si="15"/>
        <v>0.54500000000000004</v>
      </c>
    </row>
    <row r="21" spans="4:21" x14ac:dyDescent="0.25">
      <c r="D21" s="9" t="s">
        <v>9</v>
      </c>
      <c r="E21" s="9" t="s">
        <v>90</v>
      </c>
      <c r="F21" s="15" t="s">
        <v>256</v>
      </c>
      <c r="G21" s="15" t="s">
        <v>186</v>
      </c>
      <c r="H21" s="15">
        <v>3</v>
      </c>
      <c r="I21" s="9" t="s">
        <v>22</v>
      </c>
      <c r="J21" s="15" t="s">
        <v>375</v>
      </c>
      <c r="K21" s="18">
        <v>1.4033333333333333</v>
      </c>
      <c r="L21" s="18">
        <f t="shared" ref="L21:U21" si="16">K21</f>
        <v>1.4033333333333333</v>
      </c>
      <c r="M21" s="18">
        <f t="shared" si="16"/>
        <v>1.4033333333333333</v>
      </c>
      <c r="N21" s="18">
        <f t="shared" si="16"/>
        <v>1.4033333333333333</v>
      </c>
      <c r="O21" s="18">
        <f t="shared" si="16"/>
        <v>1.4033333333333333</v>
      </c>
      <c r="P21" s="18">
        <f t="shared" si="16"/>
        <v>1.4033333333333333</v>
      </c>
      <c r="Q21" s="18">
        <f t="shared" si="16"/>
        <v>1.4033333333333333</v>
      </c>
      <c r="R21" s="18">
        <f t="shared" si="16"/>
        <v>1.4033333333333333</v>
      </c>
      <c r="S21" s="18">
        <f t="shared" si="16"/>
        <v>1.4033333333333333</v>
      </c>
      <c r="T21" s="18">
        <f t="shared" si="16"/>
        <v>1.4033333333333333</v>
      </c>
      <c r="U21" s="18">
        <f t="shared" si="16"/>
        <v>1.4033333333333333</v>
      </c>
    </row>
    <row r="22" spans="4:21" x14ac:dyDescent="0.25">
      <c r="D22" s="9" t="s">
        <v>9</v>
      </c>
      <c r="E22" s="9" t="s">
        <v>90</v>
      </c>
      <c r="F22" s="15" t="s">
        <v>256</v>
      </c>
      <c r="G22" s="15" t="s">
        <v>186</v>
      </c>
      <c r="H22" s="15">
        <v>4</v>
      </c>
      <c r="I22" s="9" t="s">
        <v>22</v>
      </c>
      <c r="J22" s="15" t="s">
        <v>375</v>
      </c>
      <c r="K22" s="18">
        <v>0.98250000000000004</v>
      </c>
      <c r="L22" s="18">
        <f t="shared" ref="L22:U22" si="17">K22</f>
        <v>0.98250000000000004</v>
      </c>
      <c r="M22" s="18">
        <f t="shared" si="17"/>
        <v>0.98250000000000004</v>
      </c>
      <c r="N22" s="18">
        <f t="shared" si="17"/>
        <v>0.98250000000000004</v>
      </c>
      <c r="O22" s="18">
        <f t="shared" si="17"/>
        <v>0.98250000000000004</v>
      </c>
      <c r="P22" s="18">
        <f t="shared" si="17"/>
        <v>0.98250000000000004</v>
      </c>
      <c r="Q22" s="18">
        <f t="shared" si="17"/>
        <v>0.98250000000000004</v>
      </c>
      <c r="R22" s="18">
        <f t="shared" si="17"/>
        <v>0.98250000000000004</v>
      </c>
      <c r="S22" s="18">
        <f t="shared" si="17"/>
        <v>0.98250000000000004</v>
      </c>
      <c r="T22" s="18">
        <f t="shared" si="17"/>
        <v>0.98250000000000004</v>
      </c>
      <c r="U22" s="18">
        <f t="shared" si="17"/>
        <v>0.98250000000000004</v>
      </c>
    </row>
    <row r="23" spans="4:21" x14ac:dyDescent="0.25">
      <c r="D23" s="9" t="s">
        <v>9</v>
      </c>
      <c r="E23" s="9" t="s">
        <v>90</v>
      </c>
      <c r="F23" s="15" t="s">
        <v>256</v>
      </c>
      <c r="G23" s="15" t="s">
        <v>186</v>
      </c>
      <c r="H23" s="15">
        <v>5</v>
      </c>
      <c r="I23" s="9" t="s">
        <v>22</v>
      </c>
      <c r="J23" s="15" t="s">
        <v>375</v>
      </c>
      <c r="K23" s="18">
        <v>0.76600000000000001</v>
      </c>
      <c r="L23" s="18">
        <f t="shared" ref="L23:U23" si="18">K23</f>
        <v>0.76600000000000001</v>
      </c>
      <c r="M23" s="18">
        <f t="shared" si="18"/>
        <v>0.76600000000000001</v>
      </c>
      <c r="N23" s="18">
        <f t="shared" si="18"/>
        <v>0.76600000000000001</v>
      </c>
      <c r="O23" s="18">
        <f t="shared" si="18"/>
        <v>0.76600000000000001</v>
      </c>
      <c r="P23" s="18">
        <f t="shared" si="18"/>
        <v>0.76600000000000001</v>
      </c>
      <c r="Q23" s="18">
        <f t="shared" si="18"/>
        <v>0.76600000000000001</v>
      </c>
      <c r="R23" s="18">
        <f t="shared" si="18"/>
        <v>0.76600000000000001</v>
      </c>
      <c r="S23" s="18">
        <f t="shared" si="18"/>
        <v>0.76600000000000001</v>
      </c>
      <c r="T23" s="18">
        <f t="shared" si="18"/>
        <v>0.76600000000000001</v>
      </c>
      <c r="U23" s="18">
        <f t="shared" si="18"/>
        <v>0.76600000000000001</v>
      </c>
    </row>
    <row r="24" spans="4:21" x14ac:dyDescent="0.25">
      <c r="D24" s="9" t="s">
        <v>9</v>
      </c>
      <c r="E24" s="9" t="s">
        <v>90</v>
      </c>
      <c r="F24" s="15" t="s">
        <v>256</v>
      </c>
      <c r="G24" s="15" t="s">
        <v>186</v>
      </c>
      <c r="H24" s="15">
        <v>6</v>
      </c>
      <c r="I24" s="9" t="s">
        <v>22</v>
      </c>
      <c r="J24" s="15" t="s">
        <v>375</v>
      </c>
      <c r="K24" s="18">
        <v>0.94166666666666676</v>
      </c>
      <c r="L24" s="18">
        <f t="shared" ref="L24:U24" si="19">K24</f>
        <v>0.94166666666666676</v>
      </c>
      <c r="M24" s="18">
        <f t="shared" si="19"/>
        <v>0.94166666666666676</v>
      </c>
      <c r="N24" s="18">
        <f t="shared" si="19"/>
        <v>0.94166666666666676</v>
      </c>
      <c r="O24" s="18">
        <f t="shared" si="19"/>
        <v>0.94166666666666676</v>
      </c>
      <c r="P24" s="18">
        <f t="shared" si="19"/>
        <v>0.94166666666666676</v>
      </c>
      <c r="Q24" s="18">
        <f t="shared" si="19"/>
        <v>0.94166666666666676</v>
      </c>
      <c r="R24" s="18">
        <f t="shared" si="19"/>
        <v>0.94166666666666676</v>
      </c>
      <c r="S24" s="18">
        <f t="shared" si="19"/>
        <v>0.94166666666666676</v>
      </c>
      <c r="T24" s="18">
        <f t="shared" si="19"/>
        <v>0.94166666666666676</v>
      </c>
      <c r="U24" s="18">
        <f t="shared" si="19"/>
        <v>0.94166666666666676</v>
      </c>
    </row>
    <row r="25" spans="4:21" x14ac:dyDescent="0.25">
      <c r="D25" s="9" t="s">
        <v>9</v>
      </c>
      <c r="E25" s="9" t="s">
        <v>90</v>
      </c>
      <c r="F25" s="15" t="s">
        <v>256</v>
      </c>
      <c r="G25" s="15" t="s">
        <v>186</v>
      </c>
      <c r="H25" s="15">
        <v>7</v>
      </c>
      <c r="I25" s="9" t="s">
        <v>22</v>
      </c>
      <c r="J25" s="15" t="s">
        <v>375</v>
      </c>
      <c r="K25" s="18">
        <v>0.67142857142857149</v>
      </c>
      <c r="L25" s="18">
        <f t="shared" ref="L25:U25" si="20">K25</f>
        <v>0.67142857142857149</v>
      </c>
      <c r="M25" s="18">
        <f t="shared" si="20"/>
        <v>0.67142857142857149</v>
      </c>
      <c r="N25" s="18">
        <f t="shared" si="20"/>
        <v>0.67142857142857149</v>
      </c>
      <c r="O25" s="18">
        <f t="shared" si="20"/>
        <v>0.67142857142857149</v>
      </c>
      <c r="P25" s="18">
        <f t="shared" si="20"/>
        <v>0.67142857142857149</v>
      </c>
      <c r="Q25" s="18">
        <f t="shared" si="20"/>
        <v>0.67142857142857149</v>
      </c>
      <c r="R25" s="18">
        <f t="shared" si="20"/>
        <v>0.67142857142857149</v>
      </c>
      <c r="S25" s="18">
        <f t="shared" si="20"/>
        <v>0.67142857142857149</v>
      </c>
      <c r="T25" s="18">
        <f t="shared" si="20"/>
        <v>0.67142857142857149</v>
      </c>
      <c r="U25" s="18">
        <f t="shared" si="20"/>
        <v>0.67142857142857149</v>
      </c>
    </row>
    <row r="26" spans="4:21" x14ac:dyDescent="0.25">
      <c r="D26" s="9" t="s">
        <v>9</v>
      </c>
      <c r="E26" s="9" t="s">
        <v>90</v>
      </c>
      <c r="F26" s="15" t="s">
        <v>256</v>
      </c>
      <c r="G26" s="15" t="s">
        <v>186</v>
      </c>
      <c r="H26" s="15">
        <v>8</v>
      </c>
      <c r="I26" s="9" t="s">
        <v>22</v>
      </c>
      <c r="J26" s="15" t="s">
        <v>375</v>
      </c>
      <c r="K26" s="18">
        <v>0.78</v>
      </c>
      <c r="L26" s="18">
        <f t="shared" ref="L26:U26" si="21">K26</f>
        <v>0.78</v>
      </c>
      <c r="M26" s="18">
        <f t="shared" si="21"/>
        <v>0.78</v>
      </c>
      <c r="N26" s="18">
        <f t="shared" si="21"/>
        <v>0.78</v>
      </c>
      <c r="O26" s="18">
        <f t="shared" si="21"/>
        <v>0.78</v>
      </c>
      <c r="P26" s="18">
        <f t="shared" si="21"/>
        <v>0.78</v>
      </c>
      <c r="Q26" s="18">
        <f t="shared" si="21"/>
        <v>0.78</v>
      </c>
      <c r="R26" s="18">
        <f t="shared" si="21"/>
        <v>0.78</v>
      </c>
      <c r="S26" s="18">
        <f t="shared" si="21"/>
        <v>0.78</v>
      </c>
      <c r="T26" s="18">
        <f t="shared" si="21"/>
        <v>0.78</v>
      </c>
      <c r="U26" s="18">
        <f t="shared" si="21"/>
        <v>0.78</v>
      </c>
    </row>
    <row r="27" spans="4:21" x14ac:dyDescent="0.25">
      <c r="D27" s="9" t="s">
        <v>9</v>
      </c>
      <c r="E27" s="9" t="s">
        <v>90</v>
      </c>
      <c r="F27" s="15" t="s">
        <v>256</v>
      </c>
      <c r="G27" s="15" t="s">
        <v>186</v>
      </c>
      <c r="H27" s="15">
        <v>9</v>
      </c>
      <c r="I27" s="9" t="s">
        <v>22</v>
      </c>
      <c r="J27" s="15" t="s">
        <v>375</v>
      </c>
      <c r="K27" s="18">
        <v>0.57666666666666666</v>
      </c>
      <c r="L27" s="18">
        <f t="shared" ref="L27:U27" si="22">K27</f>
        <v>0.57666666666666666</v>
      </c>
      <c r="M27" s="18">
        <f t="shared" si="22"/>
        <v>0.57666666666666666</v>
      </c>
      <c r="N27" s="18">
        <f t="shared" si="22"/>
        <v>0.57666666666666666</v>
      </c>
      <c r="O27" s="18">
        <f t="shared" si="22"/>
        <v>0.57666666666666666</v>
      </c>
      <c r="P27" s="18">
        <f t="shared" si="22"/>
        <v>0.57666666666666666</v>
      </c>
      <c r="Q27" s="18">
        <f t="shared" si="22"/>
        <v>0.57666666666666666</v>
      </c>
      <c r="R27" s="18">
        <f t="shared" si="22"/>
        <v>0.57666666666666666</v>
      </c>
      <c r="S27" s="18">
        <f t="shared" si="22"/>
        <v>0.57666666666666666</v>
      </c>
      <c r="T27" s="18">
        <f t="shared" si="22"/>
        <v>0.57666666666666666</v>
      </c>
      <c r="U27" s="18">
        <f t="shared" si="22"/>
        <v>0.57666666666666666</v>
      </c>
    </row>
    <row r="28" spans="4:21" x14ac:dyDescent="0.25">
      <c r="D28" s="9" t="s">
        <v>9</v>
      </c>
      <c r="E28" s="9" t="s">
        <v>3</v>
      </c>
      <c r="F28" s="15" t="s">
        <v>256</v>
      </c>
      <c r="G28" s="15" t="s">
        <v>186</v>
      </c>
      <c r="H28" s="15">
        <v>3</v>
      </c>
      <c r="I28" s="9" t="s">
        <v>22</v>
      </c>
      <c r="J28" s="15" t="s">
        <v>375</v>
      </c>
      <c r="K28" s="18">
        <v>1.4033333333333333</v>
      </c>
      <c r="L28" s="18">
        <f t="shared" ref="L28:U28" si="23">K28</f>
        <v>1.4033333333333333</v>
      </c>
      <c r="M28" s="18">
        <f t="shared" si="23"/>
        <v>1.4033333333333333</v>
      </c>
      <c r="N28" s="18">
        <f t="shared" si="23"/>
        <v>1.4033333333333333</v>
      </c>
      <c r="O28" s="18">
        <f t="shared" si="23"/>
        <v>1.4033333333333333</v>
      </c>
      <c r="P28" s="18">
        <f t="shared" si="23"/>
        <v>1.4033333333333333</v>
      </c>
      <c r="Q28" s="18">
        <f t="shared" si="23"/>
        <v>1.4033333333333333</v>
      </c>
      <c r="R28" s="18">
        <f t="shared" si="23"/>
        <v>1.4033333333333333</v>
      </c>
      <c r="S28" s="18">
        <f t="shared" si="23"/>
        <v>1.4033333333333333</v>
      </c>
      <c r="T28" s="18">
        <f t="shared" si="23"/>
        <v>1.4033333333333333</v>
      </c>
      <c r="U28" s="18">
        <f t="shared" si="23"/>
        <v>1.4033333333333333</v>
      </c>
    </row>
    <row r="29" spans="4:21" x14ac:dyDescent="0.25">
      <c r="D29" s="9" t="s">
        <v>9</v>
      </c>
      <c r="E29" s="9" t="s">
        <v>3</v>
      </c>
      <c r="F29" s="15" t="s">
        <v>256</v>
      </c>
      <c r="G29" s="15" t="s">
        <v>186</v>
      </c>
      <c r="H29" s="15">
        <v>4</v>
      </c>
      <c r="I29" s="9" t="s">
        <v>22</v>
      </c>
      <c r="J29" s="15" t="s">
        <v>375</v>
      </c>
      <c r="K29" s="18">
        <v>0.98250000000000004</v>
      </c>
      <c r="L29" s="18">
        <f t="shared" ref="L29:U29" si="24">K29</f>
        <v>0.98250000000000004</v>
      </c>
      <c r="M29" s="18">
        <f t="shared" si="24"/>
        <v>0.98250000000000004</v>
      </c>
      <c r="N29" s="18">
        <f t="shared" si="24"/>
        <v>0.98250000000000004</v>
      </c>
      <c r="O29" s="18">
        <f t="shared" si="24"/>
        <v>0.98250000000000004</v>
      </c>
      <c r="P29" s="18">
        <f t="shared" si="24"/>
        <v>0.98250000000000004</v>
      </c>
      <c r="Q29" s="18">
        <f t="shared" si="24"/>
        <v>0.98250000000000004</v>
      </c>
      <c r="R29" s="18">
        <f t="shared" si="24"/>
        <v>0.98250000000000004</v>
      </c>
      <c r="S29" s="18">
        <f t="shared" si="24"/>
        <v>0.98250000000000004</v>
      </c>
      <c r="T29" s="18">
        <f t="shared" si="24"/>
        <v>0.98250000000000004</v>
      </c>
      <c r="U29" s="18">
        <f t="shared" si="24"/>
        <v>0.98250000000000004</v>
      </c>
    </row>
    <row r="30" spans="4:21" x14ac:dyDescent="0.25">
      <c r="D30" s="9" t="s">
        <v>9</v>
      </c>
      <c r="E30" s="9" t="s">
        <v>3</v>
      </c>
      <c r="F30" s="15" t="s">
        <v>256</v>
      </c>
      <c r="G30" s="15" t="s">
        <v>186</v>
      </c>
      <c r="H30" s="15">
        <v>5</v>
      </c>
      <c r="I30" s="9" t="s">
        <v>22</v>
      </c>
      <c r="J30" s="15" t="s">
        <v>375</v>
      </c>
      <c r="K30" s="18">
        <v>0.76600000000000001</v>
      </c>
      <c r="L30" s="18">
        <f t="shared" ref="L30:U30" si="25">K30</f>
        <v>0.76600000000000001</v>
      </c>
      <c r="M30" s="18">
        <f t="shared" si="25"/>
        <v>0.76600000000000001</v>
      </c>
      <c r="N30" s="18">
        <f t="shared" si="25"/>
        <v>0.76600000000000001</v>
      </c>
      <c r="O30" s="18">
        <f t="shared" si="25"/>
        <v>0.76600000000000001</v>
      </c>
      <c r="P30" s="18">
        <f t="shared" si="25"/>
        <v>0.76600000000000001</v>
      </c>
      <c r="Q30" s="18">
        <f t="shared" si="25"/>
        <v>0.76600000000000001</v>
      </c>
      <c r="R30" s="18">
        <f t="shared" si="25"/>
        <v>0.76600000000000001</v>
      </c>
      <c r="S30" s="18">
        <f t="shared" si="25"/>
        <v>0.76600000000000001</v>
      </c>
      <c r="T30" s="18">
        <f t="shared" si="25"/>
        <v>0.76600000000000001</v>
      </c>
      <c r="U30" s="18">
        <f t="shared" si="25"/>
        <v>0.76600000000000001</v>
      </c>
    </row>
    <row r="31" spans="4:21" x14ac:dyDescent="0.25">
      <c r="D31" s="9" t="s">
        <v>9</v>
      </c>
      <c r="E31" s="9" t="s">
        <v>3</v>
      </c>
      <c r="F31" s="15" t="s">
        <v>256</v>
      </c>
      <c r="G31" s="15" t="s">
        <v>186</v>
      </c>
      <c r="H31" s="15">
        <v>6</v>
      </c>
      <c r="I31" s="9" t="s">
        <v>22</v>
      </c>
      <c r="J31" s="15" t="s">
        <v>375</v>
      </c>
      <c r="K31" s="18">
        <v>0.94166666666666676</v>
      </c>
      <c r="L31" s="18">
        <f t="shared" ref="L31:U31" si="26">K31</f>
        <v>0.94166666666666676</v>
      </c>
      <c r="M31" s="18">
        <f t="shared" si="26"/>
        <v>0.94166666666666676</v>
      </c>
      <c r="N31" s="18">
        <f t="shared" si="26"/>
        <v>0.94166666666666676</v>
      </c>
      <c r="O31" s="18">
        <f t="shared" si="26"/>
        <v>0.94166666666666676</v>
      </c>
      <c r="P31" s="18">
        <f t="shared" si="26"/>
        <v>0.94166666666666676</v>
      </c>
      <c r="Q31" s="18">
        <f t="shared" si="26"/>
        <v>0.94166666666666676</v>
      </c>
      <c r="R31" s="18">
        <f t="shared" si="26"/>
        <v>0.94166666666666676</v>
      </c>
      <c r="S31" s="18">
        <f t="shared" si="26"/>
        <v>0.94166666666666676</v>
      </c>
      <c r="T31" s="18">
        <f t="shared" si="26"/>
        <v>0.94166666666666676</v>
      </c>
      <c r="U31" s="18">
        <f t="shared" si="26"/>
        <v>0.94166666666666676</v>
      </c>
    </row>
    <row r="32" spans="4:21" x14ac:dyDescent="0.25">
      <c r="D32" s="9" t="s">
        <v>9</v>
      </c>
      <c r="E32" s="9" t="s">
        <v>3</v>
      </c>
      <c r="F32" s="15" t="s">
        <v>256</v>
      </c>
      <c r="G32" s="15" t="s">
        <v>186</v>
      </c>
      <c r="H32" s="15">
        <v>7</v>
      </c>
      <c r="I32" s="9" t="s">
        <v>22</v>
      </c>
      <c r="J32" s="15" t="s">
        <v>375</v>
      </c>
      <c r="K32" s="18">
        <v>0.67142857142857149</v>
      </c>
      <c r="L32" s="18">
        <f t="shared" ref="L32:U32" si="27">K32</f>
        <v>0.67142857142857149</v>
      </c>
      <c r="M32" s="18">
        <f t="shared" si="27"/>
        <v>0.67142857142857149</v>
      </c>
      <c r="N32" s="18">
        <f t="shared" si="27"/>
        <v>0.67142857142857149</v>
      </c>
      <c r="O32" s="18">
        <f t="shared" si="27"/>
        <v>0.67142857142857149</v>
      </c>
      <c r="P32" s="18">
        <f t="shared" si="27"/>
        <v>0.67142857142857149</v>
      </c>
      <c r="Q32" s="18">
        <f t="shared" si="27"/>
        <v>0.67142857142857149</v>
      </c>
      <c r="R32" s="18">
        <f t="shared" si="27"/>
        <v>0.67142857142857149</v>
      </c>
      <c r="S32" s="18">
        <f t="shared" si="27"/>
        <v>0.67142857142857149</v>
      </c>
      <c r="T32" s="18">
        <f t="shared" si="27"/>
        <v>0.67142857142857149</v>
      </c>
      <c r="U32" s="18">
        <f t="shared" si="27"/>
        <v>0.67142857142857149</v>
      </c>
    </row>
    <row r="33" spans="4:21" x14ac:dyDescent="0.25">
      <c r="D33" s="9" t="s">
        <v>9</v>
      </c>
      <c r="E33" s="9" t="s">
        <v>3</v>
      </c>
      <c r="F33" s="15" t="s">
        <v>256</v>
      </c>
      <c r="G33" s="15" t="s">
        <v>186</v>
      </c>
      <c r="H33" s="15">
        <v>8</v>
      </c>
      <c r="I33" s="9" t="s">
        <v>22</v>
      </c>
      <c r="J33" s="15" t="s">
        <v>375</v>
      </c>
      <c r="K33" s="18">
        <v>0.78</v>
      </c>
      <c r="L33" s="18">
        <f t="shared" ref="L33:U33" si="28">K33</f>
        <v>0.78</v>
      </c>
      <c r="M33" s="18">
        <f t="shared" si="28"/>
        <v>0.78</v>
      </c>
      <c r="N33" s="18">
        <f t="shared" si="28"/>
        <v>0.78</v>
      </c>
      <c r="O33" s="18">
        <f t="shared" si="28"/>
        <v>0.78</v>
      </c>
      <c r="P33" s="18">
        <f t="shared" si="28"/>
        <v>0.78</v>
      </c>
      <c r="Q33" s="18">
        <f t="shared" si="28"/>
        <v>0.78</v>
      </c>
      <c r="R33" s="18">
        <f t="shared" si="28"/>
        <v>0.78</v>
      </c>
      <c r="S33" s="18">
        <f t="shared" si="28"/>
        <v>0.78</v>
      </c>
      <c r="T33" s="18">
        <f t="shared" si="28"/>
        <v>0.78</v>
      </c>
      <c r="U33" s="18">
        <f t="shared" si="28"/>
        <v>0.78</v>
      </c>
    </row>
    <row r="34" spans="4:21" x14ac:dyDescent="0.25">
      <c r="D34" s="9" t="s">
        <v>9</v>
      </c>
      <c r="E34" s="9" t="s">
        <v>3</v>
      </c>
      <c r="F34" s="15" t="s">
        <v>256</v>
      </c>
      <c r="G34" s="15" t="s">
        <v>186</v>
      </c>
      <c r="H34" s="15">
        <v>9</v>
      </c>
      <c r="I34" s="9" t="s">
        <v>22</v>
      </c>
      <c r="J34" s="15" t="s">
        <v>375</v>
      </c>
      <c r="K34" s="18">
        <v>0.57666666666666666</v>
      </c>
      <c r="L34" s="18">
        <f t="shared" ref="L34:U34" si="29">K34</f>
        <v>0.57666666666666666</v>
      </c>
      <c r="M34" s="18">
        <f t="shared" si="29"/>
        <v>0.57666666666666666</v>
      </c>
      <c r="N34" s="18">
        <f t="shared" si="29"/>
        <v>0.57666666666666666</v>
      </c>
      <c r="O34" s="18">
        <f t="shared" si="29"/>
        <v>0.57666666666666666</v>
      </c>
      <c r="P34" s="18">
        <f t="shared" si="29"/>
        <v>0.57666666666666666</v>
      </c>
      <c r="Q34" s="18">
        <f t="shared" si="29"/>
        <v>0.57666666666666666</v>
      </c>
      <c r="R34" s="18">
        <f t="shared" si="29"/>
        <v>0.57666666666666666</v>
      </c>
      <c r="S34" s="18">
        <f t="shared" si="29"/>
        <v>0.57666666666666666</v>
      </c>
      <c r="T34" s="18">
        <f t="shared" si="29"/>
        <v>0.57666666666666666</v>
      </c>
      <c r="U34" s="18">
        <f t="shared" si="29"/>
        <v>0.57666666666666666</v>
      </c>
    </row>
    <row r="35" spans="4:21" x14ac:dyDescent="0.25">
      <c r="D35" s="9" t="s">
        <v>90</v>
      </c>
      <c r="E35" s="9" t="s">
        <v>26</v>
      </c>
      <c r="F35" s="15" t="s">
        <v>256</v>
      </c>
      <c r="G35" s="15" t="s">
        <v>186</v>
      </c>
      <c r="H35" s="15">
        <v>2</v>
      </c>
      <c r="I35" s="9" t="s">
        <v>22</v>
      </c>
      <c r="J35" s="15" t="s">
        <v>375</v>
      </c>
      <c r="K35" s="18">
        <v>2.5649999999999999</v>
      </c>
      <c r="L35" s="18">
        <f t="shared" ref="L35:U35" si="30">K35</f>
        <v>2.5649999999999999</v>
      </c>
      <c r="M35" s="18">
        <f t="shared" si="30"/>
        <v>2.5649999999999999</v>
      </c>
      <c r="N35" s="18">
        <f t="shared" si="30"/>
        <v>2.5649999999999999</v>
      </c>
      <c r="O35" s="18">
        <f t="shared" si="30"/>
        <v>2.5649999999999999</v>
      </c>
      <c r="P35" s="18">
        <f t="shared" si="30"/>
        <v>2.5649999999999999</v>
      </c>
      <c r="Q35" s="18">
        <f t="shared" si="30"/>
        <v>2.5649999999999999</v>
      </c>
      <c r="R35" s="18">
        <f t="shared" si="30"/>
        <v>2.5649999999999999</v>
      </c>
      <c r="S35" s="18">
        <f t="shared" si="30"/>
        <v>2.5649999999999999</v>
      </c>
      <c r="T35" s="18">
        <f t="shared" si="30"/>
        <v>2.5649999999999999</v>
      </c>
      <c r="U35" s="18">
        <f t="shared" si="30"/>
        <v>2.5649999999999999</v>
      </c>
    </row>
    <row r="36" spans="4:21" x14ac:dyDescent="0.25">
      <c r="D36" s="9" t="s">
        <v>90</v>
      </c>
      <c r="E36" s="9" t="s">
        <v>26</v>
      </c>
      <c r="F36" s="15" t="s">
        <v>256</v>
      </c>
      <c r="G36" s="15" t="s">
        <v>186</v>
      </c>
      <c r="H36" s="15">
        <v>3</v>
      </c>
      <c r="I36" s="9" t="s">
        <v>22</v>
      </c>
      <c r="J36" s="15" t="s">
        <v>375</v>
      </c>
      <c r="K36" s="18">
        <v>1.72</v>
      </c>
      <c r="L36" s="18">
        <f t="shared" ref="L36:U36" si="31">K36</f>
        <v>1.72</v>
      </c>
      <c r="M36" s="18">
        <f t="shared" si="31"/>
        <v>1.72</v>
      </c>
      <c r="N36" s="18">
        <f t="shared" si="31"/>
        <v>1.72</v>
      </c>
      <c r="O36" s="18">
        <f t="shared" si="31"/>
        <v>1.72</v>
      </c>
      <c r="P36" s="18">
        <f t="shared" si="31"/>
        <v>1.72</v>
      </c>
      <c r="Q36" s="18">
        <f t="shared" si="31"/>
        <v>1.72</v>
      </c>
      <c r="R36" s="18">
        <f t="shared" si="31"/>
        <v>1.72</v>
      </c>
      <c r="S36" s="18">
        <f t="shared" si="31"/>
        <v>1.72</v>
      </c>
      <c r="T36" s="18">
        <f t="shared" si="31"/>
        <v>1.72</v>
      </c>
      <c r="U36" s="18">
        <f t="shared" si="31"/>
        <v>1.72</v>
      </c>
    </row>
    <row r="37" spans="4:21" x14ac:dyDescent="0.25">
      <c r="D37" s="9" t="s">
        <v>90</v>
      </c>
      <c r="E37" s="9" t="s">
        <v>26</v>
      </c>
      <c r="F37" s="15" t="s">
        <v>256</v>
      </c>
      <c r="G37" s="15" t="s">
        <v>186</v>
      </c>
      <c r="H37" s="15">
        <v>4</v>
      </c>
      <c r="I37" s="9" t="s">
        <v>22</v>
      </c>
      <c r="J37" s="15" t="s">
        <v>375</v>
      </c>
      <c r="K37" s="18">
        <v>1.1499999999999999</v>
      </c>
      <c r="L37" s="18">
        <f t="shared" ref="L37:U37" si="32">K37</f>
        <v>1.1499999999999999</v>
      </c>
      <c r="M37" s="18">
        <f t="shared" si="32"/>
        <v>1.1499999999999999</v>
      </c>
      <c r="N37" s="18">
        <f t="shared" si="32"/>
        <v>1.1499999999999999</v>
      </c>
      <c r="O37" s="18">
        <f t="shared" si="32"/>
        <v>1.1499999999999999</v>
      </c>
      <c r="P37" s="18">
        <f t="shared" si="32"/>
        <v>1.1499999999999999</v>
      </c>
      <c r="Q37" s="18">
        <f t="shared" si="32"/>
        <v>1.1499999999999999</v>
      </c>
      <c r="R37" s="18">
        <f t="shared" si="32"/>
        <v>1.1499999999999999</v>
      </c>
      <c r="S37" s="18">
        <f t="shared" si="32"/>
        <v>1.1499999999999999</v>
      </c>
      <c r="T37" s="18">
        <f t="shared" si="32"/>
        <v>1.1499999999999999</v>
      </c>
      <c r="U37" s="18">
        <f t="shared" si="32"/>
        <v>1.1499999999999999</v>
      </c>
    </row>
    <row r="38" spans="4:21" x14ac:dyDescent="0.25">
      <c r="D38" s="9" t="s">
        <v>90</v>
      </c>
      <c r="E38" s="9" t="s">
        <v>26</v>
      </c>
      <c r="F38" s="15" t="s">
        <v>256</v>
      </c>
      <c r="G38" s="15" t="s">
        <v>186</v>
      </c>
      <c r="H38" s="15">
        <v>5</v>
      </c>
      <c r="I38" s="9" t="s">
        <v>22</v>
      </c>
      <c r="J38" s="15" t="s">
        <v>375</v>
      </c>
      <c r="K38" s="18">
        <v>0.86</v>
      </c>
      <c r="L38" s="18">
        <f t="shared" ref="L38:U38" si="33">K38</f>
        <v>0.86</v>
      </c>
      <c r="M38" s="18">
        <f t="shared" si="33"/>
        <v>0.86</v>
      </c>
      <c r="N38" s="18">
        <f t="shared" si="33"/>
        <v>0.86</v>
      </c>
      <c r="O38" s="18">
        <f t="shared" si="33"/>
        <v>0.86</v>
      </c>
      <c r="P38" s="18">
        <f t="shared" si="33"/>
        <v>0.86</v>
      </c>
      <c r="Q38" s="18">
        <f t="shared" si="33"/>
        <v>0.86</v>
      </c>
      <c r="R38" s="18">
        <f t="shared" si="33"/>
        <v>0.86</v>
      </c>
      <c r="S38" s="18">
        <f t="shared" si="33"/>
        <v>0.86</v>
      </c>
      <c r="T38" s="18">
        <f t="shared" si="33"/>
        <v>0.86</v>
      </c>
      <c r="U38" s="18">
        <f t="shared" si="33"/>
        <v>0.86</v>
      </c>
    </row>
    <row r="39" spans="4:21" x14ac:dyDescent="0.25">
      <c r="D39" s="9" t="s">
        <v>90</v>
      </c>
      <c r="E39" s="9" t="s">
        <v>26</v>
      </c>
      <c r="F39" s="15" t="s">
        <v>256</v>
      </c>
      <c r="G39" s="15" t="s">
        <v>186</v>
      </c>
      <c r="H39" s="15">
        <v>6</v>
      </c>
      <c r="I39" s="9" t="s">
        <v>22</v>
      </c>
      <c r="J39" s="15" t="s">
        <v>375</v>
      </c>
      <c r="K39" s="18">
        <v>1.0999999999999999</v>
      </c>
      <c r="L39" s="18">
        <f t="shared" ref="L39:U39" si="34">K39</f>
        <v>1.0999999999999999</v>
      </c>
      <c r="M39" s="18">
        <f t="shared" si="34"/>
        <v>1.0999999999999999</v>
      </c>
      <c r="N39" s="18">
        <f t="shared" si="34"/>
        <v>1.0999999999999999</v>
      </c>
      <c r="O39" s="18">
        <f t="shared" si="34"/>
        <v>1.0999999999999999</v>
      </c>
      <c r="P39" s="18">
        <f t="shared" si="34"/>
        <v>1.0999999999999999</v>
      </c>
      <c r="Q39" s="18">
        <f t="shared" si="34"/>
        <v>1.0999999999999999</v>
      </c>
      <c r="R39" s="18">
        <f t="shared" si="34"/>
        <v>1.0999999999999999</v>
      </c>
      <c r="S39" s="18">
        <f t="shared" si="34"/>
        <v>1.0999999999999999</v>
      </c>
      <c r="T39" s="18">
        <f t="shared" si="34"/>
        <v>1.0999999999999999</v>
      </c>
      <c r="U39" s="18">
        <f t="shared" si="34"/>
        <v>1.0999999999999999</v>
      </c>
    </row>
    <row r="40" spans="4:21" x14ac:dyDescent="0.25">
      <c r="D40" s="9" t="s">
        <v>4</v>
      </c>
      <c r="E40" s="9" t="s">
        <v>9</v>
      </c>
      <c r="F40" s="15" t="s">
        <v>259</v>
      </c>
      <c r="G40" s="15" t="s">
        <v>186</v>
      </c>
      <c r="H40" s="15">
        <v>3</v>
      </c>
      <c r="I40" s="9" t="s">
        <v>22</v>
      </c>
      <c r="J40" s="15" t="s">
        <v>375</v>
      </c>
      <c r="K40" s="18">
        <v>2.5466666666666664</v>
      </c>
      <c r="L40" s="18">
        <f t="shared" ref="L40:U40" si="35">K40</f>
        <v>2.5466666666666664</v>
      </c>
      <c r="M40" s="18">
        <f t="shared" si="35"/>
        <v>2.5466666666666664</v>
      </c>
      <c r="N40" s="18">
        <f t="shared" si="35"/>
        <v>2.5466666666666664</v>
      </c>
      <c r="O40" s="18">
        <f t="shared" si="35"/>
        <v>2.5466666666666664</v>
      </c>
      <c r="P40" s="18">
        <f t="shared" si="35"/>
        <v>2.5466666666666664</v>
      </c>
      <c r="Q40" s="18">
        <f t="shared" si="35"/>
        <v>2.5466666666666664</v>
      </c>
      <c r="R40" s="18">
        <f t="shared" si="35"/>
        <v>2.5466666666666664</v>
      </c>
      <c r="S40" s="18">
        <f t="shared" si="35"/>
        <v>2.5466666666666664</v>
      </c>
      <c r="T40" s="18">
        <f t="shared" si="35"/>
        <v>2.5466666666666664</v>
      </c>
      <c r="U40" s="18">
        <f t="shared" si="35"/>
        <v>2.5466666666666664</v>
      </c>
    </row>
    <row r="41" spans="4:21" x14ac:dyDescent="0.25">
      <c r="D41" s="9" t="s">
        <v>4</v>
      </c>
      <c r="E41" s="9" t="s">
        <v>9</v>
      </c>
      <c r="F41" s="15" t="s">
        <v>259</v>
      </c>
      <c r="G41" s="15" t="s">
        <v>186</v>
      </c>
      <c r="H41" s="15">
        <v>4</v>
      </c>
      <c r="I41" s="9" t="s">
        <v>22</v>
      </c>
      <c r="J41" s="15" t="s">
        <v>375</v>
      </c>
      <c r="K41" s="18">
        <v>2.1575000000000002</v>
      </c>
      <c r="L41" s="18">
        <f t="shared" ref="L41:U41" si="36">K41</f>
        <v>2.1575000000000002</v>
      </c>
      <c r="M41" s="18">
        <f t="shared" si="36"/>
        <v>2.1575000000000002</v>
      </c>
      <c r="N41" s="18">
        <f t="shared" si="36"/>
        <v>2.1575000000000002</v>
      </c>
      <c r="O41" s="18">
        <f t="shared" si="36"/>
        <v>2.1575000000000002</v>
      </c>
      <c r="P41" s="18">
        <f t="shared" si="36"/>
        <v>2.1575000000000002</v>
      </c>
      <c r="Q41" s="18">
        <f t="shared" si="36"/>
        <v>2.1575000000000002</v>
      </c>
      <c r="R41" s="18">
        <f t="shared" si="36"/>
        <v>2.1575000000000002</v>
      </c>
      <c r="S41" s="18">
        <f t="shared" si="36"/>
        <v>2.1575000000000002</v>
      </c>
      <c r="T41" s="18">
        <f t="shared" si="36"/>
        <v>2.1575000000000002</v>
      </c>
      <c r="U41" s="18">
        <f t="shared" si="36"/>
        <v>2.1575000000000002</v>
      </c>
    </row>
    <row r="42" spans="4:21" x14ac:dyDescent="0.25">
      <c r="D42" s="9" t="s">
        <v>4</v>
      </c>
      <c r="E42" s="9" t="s">
        <v>9</v>
      </c>
      <c r="F42" s="15" t="s">
        <v>259</v>
      </c>
      <c r="G42" s="15" t="s">
        <v>186</v>
      </c>
      <c r="H42" s="15">
        <v>5</v>
      </c>
      <c r="I42" s="9" t="s">
        <v>22</v>
      </c>
      <c r="J42" s="15" t="s">
        <v>375</v>
      </c>
      <c r="K42" s="18">
        <v>1.7260000000000002</v>
      </c>
      <c r="L42" s="18">
        <f t="shared" ref="L42:U42" si="37">K42</f>
        <v>1.7260000000000002</v>
      </c>
      <c r="M42" s="18">
        <f t="shared" si="37"/>
        <v>1.7260000000000002</v>
      </c>
      <c r="N42" s="18">
        <f t="shared" si="37"/>
        <v>1.7260000000000002</v>
      </c>
      <c r="O42" s="18">
        <f t="shared" si="37"/>
        <v>1.7260000000000002</v>
      </c>
      <c r="P42" s="18">
        <f t="shared" si="37"/>
        <v>1.7260000000000002</v>
      </c>
      <c r="Q42" s="18">
        <f t="shared" si="37"/>
        <v>1.7260000000000002</v>
      </c>
      <c r="R42" s="18">
        <f t="shared" si="37"/>
        <v>1.7260000000000002</v>
      </c>
      <c r="S42" s="18">
        <f t="shared" si="37"/>
        <v>1.7260000000000002</v>
      </c>
      <c r="T42" s="18">
        <f t="shared" si="37"/>
        <v>1.7260000000000002</v>
      </c>
      <c r="U42" s="18">
        <f t="shared" si="37"/>
        <v>1.7260000000000002</v>
      </c>
    </row>
    <row r="43" spans="4:21" x14ac:dyDescent="0.25">
      <c r="D43" s="9" t="s">
        <v>4</v>
      </c>
      <c r="E43" s="9" t="s">
        <v>9</v>
      </c>
      <c r="F43" s="15" t="s">
        <v>259</v>
      </c>
      <c r="G43" s="15" t="s">
        <v>186</v>
      </c>
      <c r="H43" s="15">
        <v>6</v>
      </c>
      <c r="I43" s="9" t="s">
        <v>22</v>
      </c>
      <c r="J43" s="15" t="s">
        <v>375</v>
      </c>
      <c r="K43" s="18">
        <v>1.9100000000000001</v>
      </c>
      <c r="L43" s="18">
        <f t="shared" ref="L43:U43" si="38">K43</f>
        <v>1.9100000000000001</v>
      </c>
      <c r="M43" s="18">
        <f t="shared" si="38"/>
        <v>1.9100000000000001</v>
      </c>
      <c r="N43" s="18">
        <f t="shared" si="38"/>
        <v>1.9100000000000001</v>
      </c>
      <c r="O43" s="18">
        <f t="shared" si="38"/>
        <v>1.9100000000000001</v>
      </c>
      <c r="P43" s="18">
        <f t="shared" si="38"/>
        <v>1.9100000000000001</v>
      </c>
      <c r="Q43" s="18">
        <f t="shared" si="38"/>
        <v>1.9100000000000001</v>
      </c>
      <c r="R43" s="18">
        <f t="shared" si="38"/>
        <v>1.9100000000000001</v>
      </c>
      <c r="S43" s="18">
        <f t="shared" si="38"/>
        <v>1.9100000000000001</v>
      </c>
      <c r="T43" s="18">
        <f t="shared" si="38"/>
        <v>1.9100000000000001</v>
      </c>
      <c r="U43" s="18">
        <f t="shared" si="38"/>
        <v>1.9100000000000001</v>
      </c>
    </row>
    <row r="44" spans="4:21" x14ac:dyDescent="0.25">
      <c r="D44" s="9" t="s">
        <v>4</v>
      </c>
      <c r="E44" s="9" t="s">
        <v>9</v>
      </c>
      <c r="F44" s="15" t="s">
        <v>259</v>
      </c>
      <c r="G44" s="15" t="s">
        <v>186</v>
      </c>
      <c r="H44" s="15">
        <v>7</v>
      </c>
      <c r="I44" s="9" t="s">
        <v>22</v>
      </c>
      <c r="J44" s="15" t="s">
        <v>375</v>
      </c>
      <c r="K44" s="18">
        <v>1.6957142857142855</v>
      </c>
      <c r="L44" s="18">
        <f t="shared" ref="L44:U44" si="39">K44</f>
        <v>1.6957142857142855</v>
      </c>
      <c r="M44" s="18">
        <f t="shared" si="39"/>
        <v>1.6957142857142855</v>
      </c>
      <c r="N44" s="18">
        <f t="shared" si="39"/>
        <v>1.6957142857142855</v>
      </c>
      <c r="O44" s="18">
        <f t="shared" si="39"/>
        <v>1.6957142857142855</v>
      </c>
      <c r="P44" s="18">
        <f t="shared" si="39"/>
        <v>1.6957142857142855</v>
      </c>
      <c r="Q44" s="18">
        <f t="shared" si="39"/>
        <v>1.6957142857142855</v>
      </c>
      <c r="R44" s="18">
        <f t="shared" si="39"/>
        <v>1.6957142857142855</v>
      </c>
      <c r="S44" s="18">
        <f t="shared" si="39"/>
        <v>1.6957142857142855</v>
      </c>
      <c r="T44" s="18">
        <f t="shared" si="39"/>
        <v>1.6957142857142855</v>
      </c>
      <c r="U44" s="18">
        <f t="shared" si="39"/>
        <v>1.6957142857142855</v>
      </c>
    </row>
    <row r="45" spans="4:21" x14ac:dyDescent="0.25">
      <c r="D45" s="9" t="s">
        <v>4</v>
      </c>
      <c r="E45" s="9" t="s">
        <v>9</v>
      </c>
      <c r="F45" s="15" t="s">
        <v>259</v>
      </c>
      <c r="G45" s="15" t="s">
        <v>186</v>
      </c>
      <c r="H45" s="15">
        <v>8</v>
      </c>
      <c r="I45" s="9" t="s">
        <v>22</v>
      </c>
      <c r="J45" s="15" t="s">
        <v>375</v>
      </c>
      <c r="K45" s="18">
        <v>1.7749999999999999</v>
      </c>
      <c r="L45" s="18">
        <f t="shared" ref="L45:U45" si="40">K45</f>
        <v>1.7749999999999999</v>
      </c>
      <c r="M45" s="18">
        <f t="shared" si="40"/>
        <v>1.7749999999999999</v>
      </c>
      <c r="N45" s="18">
        <f t="shared" si="40"/>
        <v>1.7749999999999999</v>
      </c>
      <c r="O45" s="18">
        <f t="shared" si="40"/>
        <v>1.7749999999999999</v>
      </c>
      <c r="P45" s="18">
        <f t="shared" si="40"/>
        <v>1.7749999999999999</v>
      </c>
      <c r="Q45" s="18">
        <f t="shared" si="40"/>
        <v>1.7749999999999999</v>
      </c>
      <c r="R45" s="18">
        <f t="shared" si="40"/>
        <v>1.7749999999999999</v>
      </c>
      <c r="S45" s="18">
        <f t="shared" si="40"/>
        <v>1.7749999999999999</v>
      </c>
      <c r="T45" s="18">
        <f t="shared" si="40"/>
        <v>1.7749999999999999</v>
      </c>
      <c r="U45" s="18">
        <f t="shared" si="40"/>
        <v>1.7749999999999999</v>
      </c>
    </row>
    <row r="46" spans="4:21" x14ac:dyDescent="0.25">
      <c r="D46" s="9" t="s">
        <v>4</v>
      </c>
      <c r="E46" s="9" t="s">
        <v>9</v>
      </c>
      <c r="F46" s="15" t="s">
        <v>259</v>
      </c>
      <c r="G46" s="15" t="s">
        <v>186</v>
      </c>
      <c r="H46" s="15">
        <v>9</v>
      </c>
      <c r="I46" s="9" t="s">
        <v>22</v>
      </c>
      <c r="J46" s="15" t="s">
        <v>375</v>
      </c>
      <c r="K46" s="18">
        <v>1.6055555555555554</v>
      </c>
      <c r="L46" s="18">
        <f t="shared" ref="L46:U46" si="41">K46</f>
        <v>1.6055555555555554</v>
      </c>
      <c r="M46" s="18">
        <f t="shared" si="41"/>
        <v>1.6055555555555554</v>
      </c>
      <c r="N46" s="18">
        <f t="shared" si="41"/>
        <v>1.6055555555555554</v>
      </c>
      <c r="O46" s="18">
        <f t="shared" si="41"/>
        <v>1.6055555555555554</v>
      </c>
      <c r="P46" s="18">
        <f t="shared" si="41"/>
        <v>1.6055555555555554</v>
      </c>
      <c r="Q46" s="18">
        <f t="shared" si="41"/>
        <v>1.6055555555555554</v>
      </c>
      <c r="R46" s="18">
        <f t="shared" si="41"/>
        <v>1.6055555555555554</v>
      </c>
      <c r="S46" s="18">
        <f t="shared" si="41"/>
        <v>1.6055555555555554</v>
      </c>
      <c r="T46" s="18">
        <f t="shared" si="41"/>
        <v>1.6055555555555554</v>
      </c>
      <c r="U46" s="18">
        <f t="shared" si="41"/>
        <v>1.6055555555555554</v>
      </c>
    </row>
    <row r="47" spans="4:21" x14ac:dyDescent="0.25">
      <c r="D47" s="9" t="s">
        <v>4</v>
      </c>
      <c r="E47" s="9" t="s">
        <v>9</v>
      </c>
      <c r="F47" s="15" t="s">
        <v>259</v>
      </c>
      <c r="G47" s="15" t="s">
        <v>186</v>
      </c>
      <c r="H47" s="15">
        <v>10</v>
      </c>
      <c r="I47" s="9" t="s">
        <v>22</v>
      </c>
      <c r="J47" s="15" t="s">
        <v>375</v>
      </c>
      <c r="K47" s="18">
        <v>1.7210000000000001</v>
      </c>
      <c r="L47" s="18">
        <f t="shared" ref="L47:U47" si="42">K47</f>
        <v>1.7210000000000001</v>
      </c>
      <c r="M47" s="18">
        <f t="shared" si="42"/>
        <v>1.7210000000000001</v>
      </c>
      <c r="N47" s="18">
        <f t="shared" si="42"/>
        <v>1.7210000000000001</v>
      </c>
      <c r="O47" s="18">
        <f t="shared" si="42"/>
        <v>1.7210000000000001</v>
      </c>
      <c r="P47" s="18">
        <f t="shared" si="42"/>
        <v>1.7210000000000001</v>
      </c>
      <c r="Q47" s="18">
        <f t="shared" si="42"/>
        <v>1.7210000000000001</v>
      </c>
      <c r="R47" s="18">
        <f t="shared" si="42"/>
        <v>1.7210000000000001</v>
      </c>
      <c r="S47" s="18">
        <f t="shared" si="42"/>
        <v>1.7210000000000001</v>
      </c>
      <c r="T47" s="18">
        <f t="shared" si="42"/>
        <v>1.7210000000000001</v>
      </c>
      <c r="U47" s="18">
        <f t="shared" si="42"/>
        <v>1.7210000000000001</v>
      </c>
    </row>
    <row r="48" spans="4:21" x14ac:dyDescent="0.25">
      <c r="D48" s="9" t="s">
        <v>10</v>
      </c>
      <c r="E48" s="9" t="s">
        <v>9</v>
      </c>
      <c r="F48" s="15" t="s">
        <v>259</v>
      </c>
      <c r="G48" s="15" t="s">
        <v>186</v>
      </c>
      <c r="H48" s="15">
        <v>2</v>
      </c>
      <c r="I48" s="9" t="s">
        <v>22</v>
      </c>
      <c r="J48" s="15" t="s">
        <v>375</v>
      </c>
      <c r="K48" s="18">
        <v>1.62</v>
      </c>
      <c r="L48" s="18">
        <f t="shared" ref="L48:U48" si="43">K48</f>
        <v>1.62</v>
      </c>
      <c r="M48" s="18">
        <f t="shared" si="43"/>
        <v>1.62</v>
      </c>
      <c r="N48" s="18">
        <f t="shared" si="43"/>
        <v>1.62</v>
      </c>
      <c r="O48" s="18">
        <f t="shared" si="43"/>
        <v>1.62</v>
      </c>
      <c r="P48" s="18">
        <f t="shared" si="43"/>
        <v>1.62</v>
      </c>
      <c r="Q48" s="18">
        <f t="shared" si="43"/>
        <v>1.62</v>
      </c>
      <c r="R48" s="18">
        <f t="shared" si="43"/>
        <v>1.62</v>
      </c>
      <c r="S48" s="18">
        <f t="shared" si="43"/>
        <v>1.62</v>
      </c>
      <c r="T48" s="18">
        <f t="shared" si="43"/>
        <v>1.62</v>
      </c>
      <c r="U48" s="18">
        <f t="shared" si="43"/>
        <v>1.62</v>
      </c>
    </row>
    <row r="49" spans="4:21" x14ac:dyDescent="0.25">
      <c r="D49" s="9" t="s">
        <v>10</v>
      </c>
      <c r="E49" s="9" t="s">
        <v>9</v>
      </c>
      <c r="F49" s="15" t="s">
        <v>259</v>
      </c>
      <c r="G49" s="15" t="s">
        <v>186</v>
      </c>
      <c r="H49" s="15">
        <v>3</v>
      </c>
      <c r="I49" s="9" t="s">
        <v>22</v>
      </c>
      <c r="J49" s="15" t="s">
        <v>375</v>
      </c>
      <c r="K49" s="18">
        <v>1.7233333333333334</v>
      </c>
      <c r="L49" s="18">
        <f t="shared" ref="L49:U49" si="44">K49</f>
        <v>1.7233333333333334</v>
      </c>
      <c r="M49" s="18">
        <f t="shared" si="44"/>
        <v>1.7233333333333334</v>
      </c>
      <c r="N49" s="18">
        <f t="shared" si="44"/>
        <v>1.7233333333333334</v>
      </c>
      <c r="O49" s="18">
        <f t="shared" si="44"/>
        <v>1.7233333333333334</v>
      </c>
      <c r="P49" s="18">
        <f t="shared" si="44"/>
        <v>1.7233333333333334</v>
      </c>
      <c r="Q49" s="18">
        <f t="shared" si="44"/>
        <v>1.7233333333333334</v>
      </c>
      <c r="R49" s="18">
        <f t="shared" si="44"/>
        <v>1.7233333333333334</v>
      </c>
      <c r="S49" s="18">
        <f t="shared" si="44"/>
        <v>1.7233333333333334</v>
      </c>
      <c r="T49" s="18">
        <f t="shared" si="44"/>
        <v>1.7233333333333334</v>
      </c>
      <c r="U49" s="18">
        <f t="shared" si="44"/>
        <v>1.7233333333333334</v>
      </c>
    </row>
    <row r="50" spans="4:21" x14ac:dyDescent="0.25">
      <c r="D50" s="9" t="s">
        <v>10</v>
      </c>
      <c r="E50" s="9" t="s">
        <v>9</v>
      </c>
      <c r="F50" s="15" t="s">
        <v>259</v>
      </c>
      <c r="G50" s="15" t="s">
        <v>186</v>
      </c>
      <c r="H50" s="15">
        <v>4</v>
      </c>
      <c r="I50" s="9" t="s">
        <v>22</v>
      </c>
      <c r="J50" s="15" t="s">
        <v>375</v>
      </c>
      <c r="K50" s="18">
        <v>1.72</v>
      </c>
      <c r="L50" s="18">
        <f t="shared" ref="L50:U50" si="45">K50</f>
        <v>1.72</v>
      </c>
      <c r="M50" s="18">
        <f t="shared" si="45"/>
        <v>1.72</v>
      </c>
      <c r="N50" s="18">
        <f t="shared" si="45"/>
        <v>1.72</v>
      </c>
      <c r="O50" s="18">
        <f t="shared" si="45"/>
        <v>1.72</v>
      </c>
      <c r="P50" s="18">
        <f t="shared" si="45"/>
        <v>1.72</v>
      </c>
      <c r="Q50" s="18">
        <f t="shared" si="45"/>
        <v>1.72</v>
      </c>
      <c r="R50" s="18">
        <f t="shared" si="45"/>
        <v>1.72</v>
      </c>
      <c r="S50" s="18">
        <f t="shared" si="45"/>
        <v>1.72</v>
      </c>
      <c r="T50" s="18">
        <f t="shared" si="45"/>
        <v>1.72</v>
      </c>
      <c r="U50" s="18">
        <f t="shared" si="45"/>
        <v>1.72</v>
      </c>
    </row>
    <row r="51" spans="4:21" x14ac:dyDescent="0.25">
      <c r="D51" s="9" t="s">
        <v>90</v>
      </c>
      <c r="E51" s="9" t="s">
        <v>3</v>
      </c>
      <c r="F51" s="15" t="s">
        <v>259</v>
      </c>
      <c r="G51" s="15" t="s">
        <v>186</v>
      </c>
      <c r="H51" s="15">
        <v>2</v>
      </c>
      <c r="I51" s="9" t="s">
        <v>22</v>
      </c>
      <c r="J51" s="15" t="s">
        <v>375</v>
      </c>
      <c r="K51" s="9">
        <v>1.45</v>
      </c>
      <c r="L51" s="9">
        <f t="shared" ref="L51:U51" si="46">K51</f>
        <v>1.45</v>
      </c>
      <c r="M51" s="9">
        <f t="shared" si="46"/>
        <v>1.45</v>
      </c>
      <c r="N51" s="9">
        <f t="shared" si="46"/>
        <v>1.45</v>
      </c>
      <c r="O51" s="9">
        <f t="shared" si="46"/>
        <v>1.45</v>
      </c>
      <c r="P51" s="9">
        <f t="shared" si="46"/>
        <v>1.45</v>
      </c>
      <c r="Q51" s="9">
        <f t="shared" si="46"/>
        <v>1.45</v>
      </c>
      <c r="R51" s="9">
        <f t="shared" si="46"/>
        <v>1.45</v>
      </c>
      <c r="S51" s="9">
        <f t="shared" si="46"/>
        <v>1.45</v>
      </c>
      <c r="T51" s="9">
        <f t="shared" si="46"/>
        <v>1.45</v>
      </c>
      <c r="U51" s="9">
        <f t="shared" si="46"/>
        <v>1.45</v>
      </c>
    </row>
    <row r="52" spans="4:21" x14ac:dyDescent="0.25">
      <c r="D52" s="9" t="s">
        <v>90</v>
      </c>
      <c r="E52" s="9" t="s">
        <v>3</v>
      </c>
      <c r="F52" s="15" t="s">
        <v>259</v>
      </c>
      <c r="G52" s="15" t="s">
        <v>186</v>
      </c>
      <c r="H52" s="15">
        <v>3</v>
      </c>
      <c r="I52" s="9" t="s">
        <v>22</v>
      </c>
      <c r="J52" s="15" t="s">
        <v>375</v>
      </c>
      <c r="K52" s="9">
        <v>1.3566666666666667</v>
      </c>
      <c r="L52" s="9">
        <f t="shared" ref="L52:U52" si="47">K52</f>
        <v>1.3566666666666667</v>
      </c>
      <c r="M52" s="9">
        <f t="shared" si="47"/>
        <v>1.3566666666666667</v>
      </c>
      <c r="N52" s="9">
        <f t="shared" si="47"/>
        <v>1.3566666666666667</v>
      </c>
      <c r="O52" s="9">
        <f t="shared" si="47"/>
        <v>1.3566666666666667</v>
      </c>
      <c r="P52" s="9">
        <f t="shared" si="47"/>
        <v>1.3566666666666667</v>
      </c>
      <c r="Q52" s="9">
        <f t="shared" si="47"/>
        <v>1.3566666666666667</v>
      </c>
      <c r="R52" s="9">
        <f t="shared" si="47"/>
        <v>1.3566666666666667</v>
      </c>
      <c r="S52" s="9">
        <f t="shared" si="47"/>
        <v>1.3566666666666667</v>
      </c>
      <c r="T52" s="9">
        <f t="shared" si="47"/>
        <v>1.3566666666666667</v>
      </c>
      <c r="U52" s="9">
        <f t="shared" si="47"/>
        <v>1.3566666666666667</v>
      </c>
    </row>
    <row r="53" spans="4:21" x14ac:dyDescent="0.25">
      <c r="D53" s="9" t="s">
        <v>90</v>
      </c>
      <c r="E53" s="9" t="s">
        <v>3</v>
      </c>
      <c r="F53" s="15" t="s">
        <v>259</v>
      </c>
      <c r="G53" s="15" t="s">
        <v>186</v>
      </c>
      <c r="H53" s="15">
        <v>4</v>
      </c>
      <c r="I53" s="9" t="s">
        <v>22</v>
      </c>
      <c r="J53" s="15" t="s">
        <v>375</v>
      </c>
      <c r="K53" s="9">
        <v>1.1499999999999999</v>
      </c>
      <c r="L53" s="9">
        <f t="shared" ref="L53:U53" si="48">K53</f>
        <v>1.1499999999999999</v>
      </c>
      <c r="M53" s="9">
        <f t="shared" si="48"/>
        <v>1.1499999999999999</v>
      </c>
      <c r="N53" s="9">
        <f t="shared" si="48"/>
        <v>1.1499999999999999</v>
      </c>
      <c r="O53" s="9">
        <f t="shared" si="48"/>
        <v>1.1499999999999999</v>
      </c>
      <c r="P53" s="9">
        <f t="shared" si="48"/>
        <v>1.1499999999999999</v>
      </c>
      <c r="Q53" s="9">
        <f t="shared" si="48"/>
        <v>1.1499999999999999</v>
      </c>
      <c r="R53" s="9">
        <f t="shared" si="48"/>
        <v>1.1499999999999999</v>
      </c>
      <c r="S53" s="9">
        <f t="shared" si="48"/>
        <v>1.1499999999999999</v>
      </c>
      <c r="T53" s="9">
        <f t="shared" si="48"/>
        <v>1.1499999999999999</v>
      </c>
      <c r="U53" s="9">
        <f t="shared" si="48"/>
        <v>1.1499999999999999</v>
      </c>
    </row>
    <row r="54" spans="4:21" x14ac:dyDescent="0.25">
      <c r="D54" s="9" t="s">
        <v>90</v>
      </c>
      <c r="E54" s="9" t="s">
        <v>3</v>
      </c>
      <c r="F54" s="15" t="s">
        <v>259</v>
      </c>
      <c r="G54" s="15" t="s">
        <v>186</v>
      </c>
      <c r="H54" s="15">
        <v>5</v>
      </c>
      <c r="I54" s="9" t="s">
        <v>22</v>
      </c>
      <c r="J54" s="15" t="s">
        <v>375</v>
      </c>
      <c r="K54" s="9">
        <v>0.91999999999999993</v>
      </c>
      <c r="L54" s="9">
        <f t="shared" ref="L54:U54" si="49">K54</f>
        <v>0.91999999999999993</v>
      </c>
      <c r="M54" s="9">
        <f t="shared" si="49"/>
        <v>0.91999999999999993</v>
      </c>
      <c r="N54" s="9">
        <f t="shared" si="49"/>
        <v>0.91999999999999993</v>
      </c>
      <c r="O54" s="9">
        <f t="shared" si="49"/>
        <v>0.91999999999999993</v>
      </c>
      <c r="P54" s="9">
        <f t="shared" si="49"/>
        <v>0.91999999999999993</v>
      </c>
      <c r="Q54" s="9">
        <f t="shared" si="49"/>
        <v>0.91999999999999993</v>
      </c>
      <c r="R54" s="9">
        <f t="shared" si="49"/>
        <v>0.91999999999999993</v>
      </c>
      <c r="S54" s="9">
        <f t="shared" si="49"/>
        <v>0.91999999999999993</v>
      </c>
      <c r="T54" s="9">
        <f t="shared" si="49"/>
        <v>0.91999999999999993</v>
      </c>
      <c r="U54" s="9">
        <f t="shared" si="49"/>
        <v>0.91999999999999993</v>
      </c>
    </row>
    <row r="55" spans="4:21" x14ac:dyDescent="0.25">
      <c r="D55" s="9" t="s">
        <v>90</v>
      </c>
      <c r="E55" s="9" t="s">
        <v>3</v>
      </c>
      <c r="F55" s="15" t="s">
        <v>259</v>
      </c>
      <c r="G55" s="15" t="s">
        <v>186</v>
      </c>
      <c r="H55" s="15">
        <v>6</v>
      </c>
      <c r="I55" s="9" t="s">
        <v>22</v>
      </c>
      <c r="J55" s="15" t="s">
        <v>375</v>
      </c>
      <c r="K55" s="9">
        <v>1.0183333333333333</v>
      </c>
      <c r="L55" s="9">
        <f t="shared" ref="L55:U55" si="50">K55</f>
        <v>1.0183333333333333</v>
      </c>
      <c r="M55" s="9">
        <f t="shared" si="50"/>
        <v>1.0183333333333333</v>
      </c>
      <c r="N55" s="9">
        <f t="shared" si="50"/>
        <v>1.0183333333333333</v>
      </c>
      <c r="O55" s="9">
        <f t="shared" si="50"/>
        <v>1.0183333333333333</v>
      </c>
      <c r="P55" s="9">
        <f t="shared" si="50"/>
        <v>1.0183333333333333</v>
      </c>
      <c r="Q55" s="9">
        <f t="shared" si="50"/>
        <v>1.0183333333333333</v>
      </c>
      <c r="R55" s="9">
        <f t="shared" si="50"/>
        <v>1.0183333333333333</v>
      </c>
      <c r="S55" s="9">
        <f t="shared" si="50"/>
        <v>1.0183333333333333</v>
      </c>
      <c r="T55" s="9">
        <f t="shared" si="50"/>
        <v>1.0183333333333333</v>
      </c>
      <c r="U55" s="9">
        <f t="shared" si="50"/>
        <v>1.0183333333333333</v>
      </c>
    </row>
    <row r="56" spans="4:21" x14ac:dyDescent="0.25">
      <c r="D56" s="9" t="s">
        <v>9</v>
      </c>
      <c r="E56" s="9" t="s">
        <v>90</v>
      </c>
      <c r="F56" s="15" t="s">
        <v>259</v>
      </c>
      <c r="G56" s="15" t="s">
        <v>186</v>
      </c>
      <c r="H56" s="15">
        <v>3</v>
      </c>
      <c r="I56" s="9" t="s">
        <v>22</v>
      </c>
      <c r="J56" s="15" t="s">
        <v>375</v>
      </c>
      <c r="K56" s="9">
        <v>4.2433333333333332</v>
      </c>
      <c r="L56" s="9">
        <f t="shared" ref="L56:U56" si="51">K56</f>
        <v>4.2433333333333332</v>
      </c>
      <c r="M56" s="9">
        <f t="shared" si="51"/>
        <v>4.2433333333333332</v>
      </c>
      <c r="N56" s="9">
        <f t="shared" si="51"/>
        <v>4.2433333333333332</v>
      </c>
      <c r="O56" s="9">
        <f t="shared" si="51"/>
        <v>4.2433333333333332</v>
      </c>
      <c r="P56" s="9">
        <f t="shared" si="51"/>
        <v>4.2433333333333332</v>
      </c>
      <c r="Q56" s="9">
        <f t="shared" si="51"/>
        <v>4.2433333333333332</v>
      </c>
      <c r="R56" s="9">
        <f t="shared" si="51"/>
        <v>4.2433333333333332</v>
      </c>
      <c r="S56" s="9">
        <f t="shared" si="51"/>
        <v>4.2433333333333332</v>
      </c>
      <c r="T56" s="9">
        <f t="shared" si="51"/>
        <v>4.2433333333333332</v>
      </c>
      <c r="U56" s="9">
        <f t="shared" si="51"/>
        <v>4.2433333333333332</v>
      </c>
    </row>
    <row r="57" spans="4:21" x14ac:dyDescent="0.25">
      <c r="D57" s="9" t="s">
        <v>9</v>
      </c>
      <c r="E57" s="9" t="s">
        <v>90</v>
      </c>
      <c r="F57" s="15" t="s">
        <v>259</v>
      </c>
      <c r="G57" s="15" t="s">
        <v>186</v>
      </c>
      <c r="H57" s="15">
        <v>4</v>
      </c>
      <c r="I57" s="9" t="s">
        <v>22</v>
      </c>
      <c r="J57" s="15" t="s">
        <v>375</v>
      </c>
      <c r="K57" s="9">
        <v>3.5950000000000002</v>
      </c>
      <c r="L57" s="9">
        <f t="shared" ref="L57:U57" si="52">K57</f>
        <v>3.5950000000000002</v>
      </c>
      <c r="M57" s="9">
        <f t="shared" si="52"/>
        <v>3.5950000000000002</v>
      </c>
      <c r="N57" s="9">
        <f t="shared" si="52"/>
        <v>3.5950000000000002</v>
      </c>
      <c r="O57" s="9">
        <f t="shared" si="52"/>
        <v>3.5950000000000002</v>
      </c>
      <c r="P57" s="9">
        <f t="shared" si="52"/>
        <v>3.5950000000000002</v>
      </c>
      <c r="Q57" s="9">
        <f t="shared" si="52"/>
        <v>3.5950000000000002</v>
      </c>
      <c r="R57" s="9">
        <f t="shared" si="52"/>
        <v>3.5950000000000002</v>
      </c>
      <c r="S57" s="9">
        <f t="shared" si="52"/>
        <v>3.5950000000000002</v>
      </c>
      <c r="T57" s="9">
        <f t="shared" si="52"/>
        <v>3.5950000000000002</v>
      </c>
      <c r="U57" s="9">
        <f t="shared" si="52"/>
        <v>3.5950000000000002</v>
      </c>
    </row>
    <row r="58" spans="4:21" x14ac:dyDescent="0.25">
      <c r="D58" s="9" t="s">
        <v>9</v>
      </c>
      <c r="E58" s="9" t="s">
        <v>90</v>
      </c>
      <c r="F58" s="15" t="s">
        <v>259</v>
      </c>
      <c r="G58" s="15" t="s">
        <v>186</v>
      </c>
      <c r="H58" s="15">
        <v>5</v>
      </c>
      <c r="I58" s="9" t="s">
        <v>22</v>
      </c>
      <c r="J58" s="15" t="s">
        <v>375</v>
      </c>
      <c r="K58" s="9">
        <v>2.8760000000000003</v>
      </c>
      <c r="L58" s="9">
        <f t="shared" ref="L58:U58" si="53">K58</f>
        <v>2.8760000000000003</v>
      </c>
      <c r="M58" s="9">
        <f t="shared" si="53"/>
        <v>2.8760000000000003</v>
      </c>
      <c r="N58" s="9">
        <f t="shared" si="53"/>
        <v>2.8760000000000003</v>
      </c>
      <c r="O58" s="9">
        <f t="shared" si="53"/>
        <v>2.8760000000000003</v>
      </c>
      <c r="P58" s="9">
        <f t="shared" si="53"/>
        <v>2.8760000000000003</v>
      </c>
      <c r="Q58" s="9">
        <f t="shared" si="53"/>
        <v>2.8760000000000003</v>
      </c>
      <c r="R58" s="9">
        <f t="shared" si="53"/>
        <v>2.8760000000000003</v>
      </c>
      <c r="S58" s="9">
        <f t="shared" si="53"/>
        <v>2.8760000000000003</v>
      </c>
      <c r="T58" s="9">
        <f t="shared" si="53"/>
        <v>2.8760000000000003</v>
      </c>
      <c r="U58" s="9">
        <f t="shared" si="53"/>
        <v>2.8760000000000003</v>
      </c>
    </row>
    <row r="59" spans="4:21" x14ac:dyDescent="0.25">
      <c r="D59" s="9" t="s">
        <v>9</v>
      </c>
      <c r="E59" s="9" t="s">
        <v>90</v>
      </c>
      <c r="F59" s="15" t="s">
        <v>259</v>
      </c>
      <c r="G59" s="15" t="s">
        <v>186</v>
      </c>
      <c r="H59" s="15">
        <v>6</v>
      </c>
      <c r="I59" s="9" t="s">
        <v>22</v>
      </c>
      <c r="J59" s="15" t="s">
        <v>375</v>
      </c>
      <c r="K59" s="9">
        <v>3.1833333333333336</v>
      </c>
      <c r="L59" s="9">
        <f t="shared" ref="L59:U59" si="54">K59</f>
        <v>3.1833333333333336</v>
      </c>
      <c r="M59" s="9">
        <f t="shared" si="54"/>
        <v>3.1833333333333336</v>
      </c>
      <c r="N59" s="9">
        <f t="shared" si="54"/>
        <v>3.1833333333333336</v>
      </c>
      <c r="O59" s="9">
        <f t="shared" si="54"/>
        <v>3.1833333333333336</v>
      </c>
      <c r="P59" s="9">
        <f t="shared" si="54"/>
        <v>3.1833333333333336</v>
      </c>
      <c r="Q59" s="9">
        <f t="shared" si="54"/>
        <v>3.1833333333333336</v>
      </c>
      <c r="R59" s="9">
        <f t="shared" si="54"/>
        <v>3.1833333333333336</v>
      </c>
      <c r="S59" s="9">
        <f t="shared" si="54"/>
        <v>3.1833333333333336</v>
      </c>
      <c r="T59" s="9">
        <f t="shared" si="54"/>
        <v>3.1833333333333336</v>
      </c>
      <c r="U59" s="9">
        <f t="shared" si="54"/>
        <v>3.1833333333333336</v>
      </c>
    </row>
    <row r="60" spans="4:21" x14ac:dyDescent="0.25">
      <c r="D60" s="9" t="s">
        <v>9</v>
      </c>
      <c r="E60" s="9" t="s">
        <v>90</v>
      </c>
      <c r="F60" s="15" t="s">
        <v>259</v>
      </c>
      <c r="G60" s="15" t="s">
        <v>186</v>
      </c>
      <c r="H60" s="15">
        <v>7</v>
      </c>
      <c r="I60" s="9" t="s">
        <v>22</v>
      </c>
      <c r="J60" s="15" t="s">
        <v>375</v>
      </c>
      <c r="K60" s="9">
        <v>2.827142857142857</v>
      </c>
      <c r="L60" s="9">
        <f t="shared" ref="L60:U60" si="55">K60</f>
        <v>2.827142857142857</v>
      </c>
      <c r="M60" s="9">
        <f t="shared" si="55"/>
        <v>2.827142857142857</v>
      </c>
      <c r="N60" s="9">
        <f t="shared" si="55"/>
        <v>2.827142857142857</v>
      </c>
      <c r="O60" s="9">
        <f t="shared" si="55"/>
        <v>2.827142857142857</v>
      </c>
      <c r="P60" s="9">
        <f t="shared" si="55"/>
        <v>2.827142857142857</v>
      </c>
      <c r="Q60" s="9">
        <f t="shared" si="55"/>
        <v>2.827142857142857</v>
      </c>
      <c r="R60" s="9">
        <f t="shared" si="55"/>
        <v>2.827142857142857</v>
      </c>
      <c r="S60" s="9">
        <f t="shared" si="55"/>
        <v>2.827142857142857</v>
      </c>
      <c r="T60" s="9">
        <f t="shared" si="55"/>
        <v>2.827142857142857</v>
      </c>
      <c r="U60" s="9">
        <f t="shared" si="55"/>
        <v>2.827142857142857</v>
      </c>
    </row>
    <row r="61" spans="4:21" x14ac:dyDescent="0.25">
      <c r="D61" s="9" t="s">
        <v>9</v>
      </c>
      <c r="E61" s="9" t="s">
        <v>90</v>
      </c>
      <c r="F61" s="15" t="s">
        <v>259</v>
      </c>
      <c r="G61" s="15" t="s">
        <v>186</v>
      </c>
      <c r="H61" s="15">
        <v>8</v>
      </c>
      <c r="I61" s="9" t="s">
        <v>22</v>
      </c>
      <c r="J61" s="15" t="s">
        <v>375</v>
      </c>
      <c r="K61" s="9">
        <v>2.9575</v>
      </c>
      <c r="L61" s="9">
        <f t="shared" ref="L61:U61" si="56">K61</f>
        <v>2.9575</v>
      </c>
      <c r="M61" s="9">
        <f t="shared" si="56"/>
        <v>2.9575</v>
      </c>
      <c r="N61" s="9">
        <f t="shared" si="56"/>
        <v>2.9575</v>
      </c>
      <c r="O61" s="9">
        <f t="shared" si="56"/>
        <v>2.9575</v>
      </c>
      <c r="P61" s="9">
        <f t="shared" si="56"/>
        <v>2.9575</v>
      </c>
      <c r="Q61" s="9">
        <f t="shared" si="56"/>
        <v>2.9575</v>
      </c>
      <c r="R61" s="9">
        <f t="shared" si="56"/>
        <v>2.9575</v>
      </c>
      <c r="S61" s="9">
        <f t="shared" si="56"/>
        <v>2.9575</v>
      </c>
      <c r="T61" s="9">
        <f t="shared" si="56"/>
        <v>2.9575</v>
      </c>
      <c r="U61" s="9">
        <f t="shared" si="56"/>
        <v>2.9575</v>
      </c>
    </row>
    <row r="62" spans="4:21" x14ac:dyDescent="0.25">
      <c r="D62" s="9" t="s">
        <v>9</v>
      </c>
      <c r="E62" s="9" t="s">
        <v>90</v>
      </c>
      <c r="F62" s="15" t="s">
        <v>259</v>
      </c>
      <c r="G62" s="15" t="s">
        <v>186</v>
      </c>
      <c r="H62" s="15">
        <v>9</v>
      </c>
      <c r="I62" s="9" t="s">
        <v>22</v>
      </c>
      <c r="J62" s="15" t="s">
        <v>375</v>
      </c>
      <c r="K62" s="9">
        <v>2.6755555555555555</v>
      </c>
      <c r="L62" s="9">
        <f t="shared" ref="L62:U62" si="57">K62</f>
        <v>2.6755555555555555</v>
      </c>
      <c r="M62" s="9">
        <f t="shared" si="57"/>
        <v>2.6755555555555555</v>
      </c>
      <c r="N62" s="9">
        <f t="shared" si="57"/>
        <v>2.6755555555555555</v>
      </c>
      <c r="O62" s="9">
        <f t="shared" si="57"/>
        <v>2.6755555555555555</v>
      </c>
      <c r="P62" s="9">
        <f t="shared" si="57"/>
        <v>2.6755555555555555</v>
      </c>
      <c r="Q62" s="9">
        <f t="shared" si="57"/>
        <v>2.6755555555555555</v>
      </c>
      <c r="R62" s="9">
        <f t="shared" si="57"/>
        <v>2.6755555555555555</v>
      </c>
      <c r="S62" s="9">
        <f t="shared" si="57"/>
        <v>2.6755555555555555</v>
      </c>
      <c r="T62" s="9">
        <f t="shared" si="57"/>
        <v>2.6755555555555555</v>
      </c>
      <c r="U62" s="9">
        <f t="shared" si="57"/>
        <v>2.6755555555555555</v>
      </c>
    </row>
    <row r="63" spans="4:21" x14ac:dyDescent="0.25">
      <c r="D63" s="9" t="s">
        <v>9</v>
      </c>
      <c r="E63" s="9" t="s">
        <v>3</v>
      </c>
      <c r="F63" s="15" t="s">
        <v>259</v>
      </c>
      <c r="G63" s="15" t="s">
        <v>186</v>
      </c>
      <c r="H63" s="15">
        <v>3</v>
      </c>
      <c r="I63" s="9" t="s">
        <v>22</v>
      </c>
      <c r="J63" s="15" t="s">
        <v>375</v>
      </c>
      <c r="K63" s="9">
        <v>4.2433333333333332</v>
      </c>
      <c r="L63" s="9">
        <f t="shared" ref="L63:U63" si="58">K63</f>
        <v>4.2433333333333332</v>
      </c>
      <c r="M63" s="9">
        <f t="shared" si="58"/>
        <v>4.2433333333333332</v>
      </c>
      <c r="N63" s="9">
        <f t="shared" si="58"/>
        <v>4.2433333333333332</v>
      </c>
      <c r="O63" s="9">
        <f t="shared" si="58"/>
        <v>4.2433333333333332</v>
      </c>
      <c r="P63" s="9">
        <f t="shared" si="58"/>
        <v>4.2433333333333332</v>
      </c>
      <c r="Q63" s="9">
        <f t="shared" si="58"/>
        <v>4.2433333333333332</v>
      </c>
      <c r="R63" s="9">
        <f t="shared" si="58"/>
        <v>4.2433333333333332</v>
      </c>
      <c r="S63" s="9">
        <f t="shared" si="58"/>
        <v>4.2433333333333332</v>
      </c>
      <c r="T63" s="9">
        <f t="shared" si="58"/>
        <v>4.2433333333333332</v>
      </c>
      <c r="U63" s="9">
        <f t="shared" si="58"/>
        <v>4.2433333333333332</v>
      </c>
    </row>
    <row r="64" spans="4:21" x14ac:dyDescent="0.25">
      <c r="D64" s="9" t="s">
        <v>9</v>
      </c>
      <c r="E64" s="9" t="s">
        <v>3</v>
      </c>
      <c r="F64" s="15" t="s">
        <v>259</v>
      </c>
      <c r="G64" s="15" t="s">
        <v>186</v>
      </c>
      <c r="H64" s="15">
        <v>4</v>
      </c>
      <c r="I64" s="9" t="s">
        <v>22</v>
      </c>
      <c r="J64" s="15" t="s">
        <v>375</v>
      </c>
      <c r="K64" s="9">
        <v>3.5950000000000002</v>
      </c>
      <c r="L64" s="9">
        <f t="shared" ref="L64:U64" si="59">K64</f>
        <v>3.5950000000000002</v>
      </c>
      <c r="M64" s="9">
        <f t="shared" si="59"/>
        <v>3.5950000000000002</v>
      </c>
      <c r="N64" s="9">
        <f t="shared" si="59"/>
        <v>3.5950000000000002</v>
      </c>
      <c r="O64" s="9">
        <f t="shared" si="59"/>
        <v>3.5950000000000002</v>
      </c>
      <c r="P64" s="9">
        <f t="shared" si="59"/>
        <v>3.5950000000000002</v>
      </c>
      <c r="Q64" s="9">
        <f t="shared" si="59"/>
        <v>3.5950000000000002</v>
      </c>
      <c r="R64" s="9">
        <f t="shared" si="59"/>
        <v>3.5950000000000002</v>
      </c>
      <c r="S64" s="9">
        <f t="shared" si="59"/>
        <v>3.5950000000000002</v>
      </c>
      <c r="T64" s="9">
        <f t="shared" si="59"/>
        <v>3.5950000000000002</v>
      </c>
      <c r="U64" s="9">
        <f t="shared" si="59"/>
        <v>3.5950000000000002</v>
      </c>
    </row>
    <row r="65" spans="3:21" x14ac:dyDescent="0.25">
      <c r="D65" s="9" t="s">
        <v>9</v>
      </c>
      <c r="E65" s="9" t="s">
        <v>3</v>
      </c>
      <c r="F65" s="15" t="s">
        <v>259</v>
      </c>
      <c r="G65" s="15" t="s">
        <v>186</v>
      </c>
      <c r="H65" s="15">
        <v>5</v>
      </c>
      <c r="I65" s="9" t="s">
        <v>22</v>
      </c>
      <c r="J65" s="15" t="s">
        <v>375</v>
      </c>
      <c r="K65" s="9">
        <v>2.8760000000000003</v>
      </c>
      <c r="L65" s="9">
        <f t="shared" ref="L65:U65" si="60">K65</f>
        <v>2.8760000000000003</v>
      </c>
      <c r="M65" s="9">
        <f t="shared" si="60"/>
        <v>2.8760000000000003</v>
      </c>
      <c r="N65" s="9">
        <f t="shared" si="60"/>
        <v>2.8760000000000003</v>
      </c>
      <c r="O65" s="9">
        <f t="shared" si="60"/>
        <v>2.8760000000000003</v>
      </c>
      <c r="P65" s="9">
        <f t="shared" si="60"/>
        <v>2.8760000000000003</v>
      </c>
      <c r="Q65" s="9">
        <f t="shared" si="60"/>
        <v>2.8760000000000003</v>
      </c>
      <c r="R65" s="9">
        <f t="shared" si="60"/>
        <v>2.8760000000000003</v>
      </c>
      <c r="S65" s="9">
        <f t="shared" si="60"/>
        <v>2.8760000000000003</v>
      </c>
      <c r="T65" s="9">
        <f t="shared" si="60"/>
        <v>2.8760000000000003</v>
      </c>
      <c r="U65" s="9">
        <f t="shared" si="60"/>
        <v>2.8760000000000003</v>
      </c>
    </row>
    <row r="66" spans="3:21" x14ac:dyDescent="0.25">
      <c r="D66" s="9" t="s">
        <v>9</v>
      </c>
      <c r="E66" s="9" t="s">
        <v>3</v>
      </c>
      <c r="F66" s="15" t="s">
        <v>259</v>
      </c>
      <c r="G66" s="15" t="s">
        <v>186</v>
      </c>
      <c r="H66" s="15">
        <v>6</v>
      </c>
      <c r="I66" s="9" t="s">
        <v>22</v>
      </c>
      <c r="J66" s="15" t="s">
        <v>375</v>
      </c>
      <c r="K66" s="9">
        <v>3.1833333333333336</v>
      </c>
      <c r="L66" s="9">
        <f t="shared" ref="L66:U66" si="61">K66</f>
        <v>3.1833333333333336</v>
      </c>
      <c r="M66" s="9">
        <f t="shared" si="61"/>
        <v>3.1833333333333336</v>
      </c>
      <c r="N66" s="9">
        <f t="shared" si="61"/>
        <v>3.1833333333333336</v>
      </c>
      <c r="O66" s="9">
        <f t="shared" si="61"/>
        <v>3.1833333333333336</v>
      </c>
      <c r="P66" s="9">
        <f t="shared" si="61"/>
        <v>3.1833333333333336</v>
      </c>
      <c r="Q66" s="9">
        <f t="shared" si="61"/>
        <v>3.1833333333333336</v>
      </c>
      <c r="R66" s="9">
        <f t="shared" si="61"/>
        <v>3.1833333333333336</v>
      </c>
      <c r="S66" s="9">
        <f t="shared" si="61"/>
        <v>3.1833333333333336</v>
      </c>
      <c r="T66" s="9">
        <f t="shared" si="61"/>
        <v>3.1833333333333336</v>
      </c>
      <c r="U66" s="9">
        <f t="shared" si="61"/>
        <v>3.1833333333333336</v>
      </c>
    </row>
    <row r="67" spans="3:21" x14ac:dyDescent="0.25">
      <c r="D67" s="9" t="s">
        <v>9</v>
      </c>
      <c r="E67" s="9" t="s">
        <v>3</v>
      </c>
      <c r="F67" s="15" t="s">
        <v>259</v>
      </c>
      <c r="G67" s="15" t="s">
        <v>186</v>
      </c>
      <c r="H67" s="15">
        <v>7</v>
      </c>
      <c r="I67" s="9" t="s">
        <v>22</v>
      </c>
      <c r="J67" s="15" t="s">
        <v>375</v>
      </c>
      <c r="K67" s="9">
        <v>2.827142857142857</v>
      </c>
      <c r="L67" s="9">
        <f t="shared" ref="L67:U67" si="62">K67</f>
        <v>2.827142857142857</v>
      </c>
      <c r="M67" s="9">
        <f t="shared" si="62"/>
        <v>2.827142857142857</v>
      </c>
      <c r="N67" s="9">
        <f t="shared" si="62"/>
        <v>2.827142857142857</v>
      </c>
      <c r="O67" s="9">
        <f t="shared" si="62"/>
        <v>2.827142857142857</v>
      </c>
      <c r="P67" s="9">
        <f t="shared" si="62"/>
        <v>2.827142857142857</v>
      </c>
      <c r="Q67" s="9">
        <f t="shared" si="62"/>
        <v>2.827142857142857</v>
      </c>
      <c r="R67" s="9">
        <f t="shared" si="62"/>
        <v>2.827142857142857</v>
      </c>
      <c r="S67" s="9">
        <f t="shared" si="62"/>
        <v>2.827142857142857</v>
      </c>
      <c r="T67" s="9">
        <f t="shared" si="62"/>
        <v>2.827142857142857</v>
      </c>
      <c r="U67" s="9">
        <f t="shared" si="62"/>
        <v>2.827142857142857</v>
      </c>
    </row>
    <row r="68" spans="3:21" x14ac:dyDescent="0.25">
      <c r="D68" s="9" t="s">
        <v>9</v>
      </c>
      <c r="E68" s="9" t="s">
        <v>3</v>
      </c>
      <c r="F68" s="15" t="s">
        <v>259</v>
      </c>
      <c r="G68" s="15" t="s">
        <v>186</v>
      </c>
      <c r="H68" s="15">
        <v>8</v>
      </c>
      <c r="I68" s="9" t="s">
        <v>22</v>
      </c>
      <c r="J68" s="15" t="s">
        <v>375</v>
      </c>
      <c r="K68" s="9">
        <v>2.9575</v>
      </c>
      <c r="L68" s="9">
        <f t="shared" ref="L68:U68" si="63">K68</f>
        <v>2.9575</v>
      </c>
      <c r="M68" s="9">
        <f t="shared" si="63"/>
        <v>2.9575</v>
      </c>
      <c r="N68" s="9">
        <f t="shared" si="63"/>
        <v>2.9575</v>
      </c>
      <c r="O68" s="9">
        <f t="shared" si="63"/>
        <v>2.9575</v>
      </c>
      <c r="P68" s="9">
        <f t="shared" si="63"/>
        <v>2.9575</v>
      </c>
      <c r="Q68" s="9">
        <f t="shared" si="63"/>
        <v>2.9575</v>
      </c>
      <c r="R68" s="9">
        <f t="shared" si="63"/>
        <v>2.9575</v>
      </c>
      <c r="S68" s="9">
        <f t="shared" si="63"/>
        <v>2.9575</v>
      </c>
      <c r="T68" s="9">
        <f t="shared" si="63"/>
        <v>2.9575</v>
      </c>
      <c r="U68" s="9">
        <f t="shared" si="63"/>
        <v>2.9575</v>
      </c>
    </row>
    <row r="69" spans="3:21" x14ac:dyDescent="0.25">
      <c r="D69" s="9" t="s">
        <v>9</v>
      </c>
      <c r="E69" s="9" t="s">
        <v>3</v>
      </c>
      <c r="F69" s="15" t="s">
        <v>259</v>
      </c>
      <c r="G69" s="15" t="s">
        <v>186</v>
      </c>
      <c r="H69" s="15">
        <v>9</v>
      </c>
      <c r="I69" s="9" t="s">
        <v>22</v>
      </c>
      <c r="J69" s="15" t="s">
        <v>375</v>
      </c>
      <c r="K69" s="9">
        <v>2.6755555555555555</v>
      </c>
      <c r="L69" s="9">
        <f t="shared" ref="L69:U69" si="64">K69</f>
        <v>2.6755555555555555</v>
      </c>
      <c r="M69" s="9">
        <f t="shared" si="64"/>
        <v>2.6755555555555555</v>
      </c>
      <c r="N69" s="9">
        <f t="shared" si="64"/>
        <v>2.6755555555555555</v>
      </c>
      <c r="O69" s="9">
        <f t="shared" si="64"/>
        <v>2.6755555555555555</v>
      </c>
      <c r="P69" s="9">
        <f t="shared" si="64"/>
        <v>2.6755555555555555</v>
      </c>
      <c r="Q69" s="9">
        <f t="shared" si="64"/>
        <v>2.6755555555555555</v>
      </c>
      <c r="R69" s="9">
        <f t="shared" si="64"/>
        <v>2.6755555555555555</v>
      </c>
      <c r="S69" s="9">
        <f t="shared" si="64"/>
        <v>2.6755555555555555</v>
      </c>
      <c r="T69" s="9">
        <f t="shared" si="64"/>
        <v>2.6755555555555555</v>
      </c>
      <c r="U69" s="9">
        <f t="shared" si="64"/>
        <v>2.6755555555555555</v>
      </c>
    </row>
    <row r="70" spans="3:21" x14ac:dyDescent="0.25">
      <c r="D70" s="9" t="s">
        <v>90</v>
      </c>
      <c r="E70" s="9" t="s">
        <v>26</v>
      </c>
      <c r="F70" s="15" t="s">
        <v>259</v>
      </c>
      <c r="G70" s="15" t="s">
        <v>186</v>
      </c>
      <c r="H70" s="15">
        <v>2</v>
      </c>
      <c r="I70" s="9" t="s">
        <v>22</v>
      </c>
      <c r="J70" s="15" t="s">
        <v>375</v>
      </c>
      <c r="K70" s="9">
        <v>5.75</v>
      </c>
      <c r="L70" s="9">
        <f t="shared" ref="L70:U70" si="65">K70</f>
        <v>5.75</v>
      </c>
      <c r="M70" s="9">
        <f t="shared" si="65"/>
        <v>5.75</v>
      </c>
      <c r="N70" s="9">
        <f t="shared" si="65"/>
        <v>5.75</v>
      </c>
      <c r="O70" s="9">
        <f t="shared" si="65"/>
        <v>5.75</v>
      </c>
      <c r="P70" s="9">
        <f t="shared" si="65"/>
        <v>5.75</v>
      </c>
      <c r="Q70" s="9">
        <f t="shared" si="65"/>
        <v>5.75</v>
      </c>
      <c r="R70" s="9">
        <f t="shared" si="65"/>
        <v>5.75</v>
      </c>
      <c r="S70" s="9">
        <f t="shared" si="65"/>
        <v>5.75</v>
      </c>
      <c r="T70" s="9">
        <f t="shared" si="65"/>
        <v>5.75</v>
      </c>
      <c r="U70" s="9">
        <f t="shared" si="65"/>
        <v>5.75</v>
      </c>
    </row>
    <row r="71" spans="3:21" x14ac:dyDescent="0.25">
      <c r="D71" s="9" t="s">
        <v>90</v>
      </c>
      <c r="E71" s="9" t="s">
        <v>26</v>
      </c>
      <c r="F71" s="15" t="s">
        <v>259</v>
      </c>
      <c r="G71" s="15" t="s">
        <v>186</v>
      </c>
      <c r="H71" s="15">
        <v>3</v>
      </c>
      <c r="I71" s="9" t="s">
        <v>22</v>
      </c>
      <c r="J71" s="15" t="s">
        <v>375</v>
      </c>
      <c r="K71" s="9">
        <v>5.4333333333333336</v>
      </c>
      <c r="L71" s="9">
        <f t="shared" ref="L71:U71" si="66">K71</f>
        <v>5.4333333333333336</v>
      </c>
      <c r="M71" s="9">
        <f t="shared" si="66"/>
        <v>5.4333333333333336</v>
      </c>
      <c r="N71" s="9">
        <f t="shared" si="66"/>
        <v>5.4333333333333336</v>
      </c>
      <c r="O71" s="9">
        <f t="shared" si="66"/>
        <v>5.4333333333333336</v>
      </c>
      <c r="P71" s="9">
        <f t="shared" si="66"/>
        <v>5.4333333333333336</v>
      </c>
      <c r="Q71" s="9">
        <f t="shared" si="66"/>
        <v>5.4333333333333336</v>
      </c>
      <c r="R71" s="9">
        <f t="shared" si="66"/>
        <v>5.4333333333333336</v>
      </c>
      <c r="S71" s="9">
        <f t="shared" si="66"/>
        <v>5.4333333333333336</v>
      </c>
      <c r="T71" s="9">
        <f t="shared" si="66"/>
        <v>5.4333333333333336</v>
      </c>
      <c r="U71" s="9">
        <f t="shared" si="66"/>
        <v>5.4333333333333336</v>
      </c>
    </row>
    <row r="72" spans="3:21" x14ac:dyDescent="0.25">
      <c r="D72" s="9" t="s">
        <v>90</v>
      </c>
      <c r="E72" s="9" t="s">
        <v>26</v>
      </c>
      <c r="F72" s="15" t="s">
        <v>259</v>
      </c>
      <c r="G72" s="15" t="s">
        <v>186</v>
      </c>
      <c r="H72" s="15">
        <v>4</v>
      </c>
      <c r="I72" s="9" t="s">
        <v>22</v>
      </c>
      <c r="J72" s="15" t="s">
        <v>375</v>
      </c>
      <c r="K72" s="9">
        <v>4.5999999999999996</v>
      </c>
      <c r="L72" s="9">
        <f t="shared" ref="L72:U72" si="67">K72</f>
        <v>4.5999999999999996</v>
      </c>
      <c r="M72" s="9">
        <f t="shared" si="67"/>
        <v>4.5999999999999996</v>
      </c>
      <c r="N72" s="9">
        <f t="shared" si="67"/>
        <v>4.5999999999999996</v>
      </c>
      <c r="O72" s="9">
        <f t="shared" si="67"/>
        <v>4.5999999999999996</v>
      </c>
      <c r="P72" s="9">
        <f t="shared" si="67"/>
        <v>4.5999999999999996</v>
      </c>
      <c r="Q72" s="9">
        <f t="shared" si="67"/>
        <v>4.5999999999999996</v>
      </c>
      <c r="R72" s="9">
        <f t="shared" si="67"/>
        <v>4.5999999999999996</v>
      </c>
      <c r="S72" s="9">
        <f t="shared" si="67"/>
        <v>4.5999999999999996</v>
      </c>
      <c r="T72" s="9">
        <f t="shared" si="67"/>
        <v>4.5999999999999996</v>
      </c>
      <c r="U72" s="9">
        <f t="shared" si="67"/>
        <v>4.5999999999999996</v>
      </c>
    </row>
    <row r="73" spans="3:21" x14ac:dyDescent="0.25">
      <c r="D73" s="9" t="s">
        <v>90</v>
      </c>
      <c r="E73" s="9" t="s">
        <v>26</v>
      </c>
      <c r="F73" s="15" t="s">
        <v>259</v>
      </c>
      <c r="G73" s="15" t="s">
        <v>186</v>
      </c>
      <c r="H73" s="15">
        <v>5</v>
      </c>
      <c r="I73" s="9" t="s">
        <v>22</v>
      </c>
      <c r="J73" s="15" t="s">
        <v>375</v>
      </c>
      <c r="K73" s="9">
        <v>3.6799999999999997</v>
      </c>
      <c r="L73" s="9">
        <f t="shared" ref="L73:U73" si="68">K73</f>
        <v>3.6799999999999997</v>
      </c>
      <c r="M73" s="9">
        <f t="shared" si="68"/>
        <v>3.6799999999999997</v>
      </c>
      <c r="N73" s="9">
        <f t="shared" si="68"/>
        <v>3.6799999999999997</v>
      </c>
      <c r="O73" s="9">
        <f t="shared" si="68"/>
        <v>3.6799999999999997</v>
      </c>
      <c r="P73" s="9">
        <f t="shared" si="68"/>
        <v>3.6799999999999997</v>
      </c>
      <c r="Q73" s="9">
        <f t="shared" si="68"/>
        <v>3.6799999999999997</v>
      </c>
      <c r="R73" s="9">
        <f t="shared" si="68"/>
        <v>3.6799999999999997</v>
      </c>
      <c r="S73" s="9">
        <f t="shared" si="68"/>
        <v>3.6799999999999997</v>
      </c>
      <c r="T73" s="9">
        <f t="shared" si="68"/>
        <v>3.6799999999999997</v>
      </c>
      <c r="U73" s="9">
        <f t="shared" si="68"/>
        <v>3.6799999999999997</v>
      </c>
    </row>
    <row r="74" spans="3:21" ht="15.75" thickBot="1" x14ac:dyDescent="0.3">
      <c r="D74" s="10" t="s">
        <v>90</v>
      </c>
      <c r="E74" s="10" t="s">
        <v>26</v>
      </c>
      <c r="F74" s="16" t="s">
        <v>259</v>
      </c>
      <c r="G74" s="16" t="s">
        <v>186</v>
      </c>
      <c r="H74" s="16">
        <v>6</v>
      </c>
      <c r="I74" s="10" t="s">
        <v>22</v>
      </c>
      <c r="J74" s="10" t="s">
        <v>375</v>
      </c>
      <c r="K74" s="10">
        <v>4.0766666666666671</v>
      </c>
      <c r="L74" s="10">
        <f t="shared" ref="L74:U82" si="69">K74</f>
        <v>4.0766666666666671</v>
      </c>
      <c r="M74" s="10">
        <f t="shared" si="69"/>
        <v>4.0766666666666671</v>
      </c>
      <c r="N74" s="10">
        <f t="shared" si="69"/>
        <v>4.0766666666666671</v>
      </c>
      <c r="O74" s="10">
        <f t="shared" si="69"/>
        <v>4.0766666666666671</v>
      </c>
      <c r="P74" s="10">
        <f t="shared" si="69"/>
        <v>4.0766666666666671</v>
      </c>
      <c r="Q74" s="10">
        <f t="shared" si="69"/>
        <v>4.0766666666666671</v>
      </c>
      <c r="R74" s="10">
        <f t="shared" si="69"/>
        <v>4.0766666666666671</v>
      </c>
      <c r="S74" s="10">
        <f t="shared" si="69"/>
        <v>4.0766666666666671</v>
      </c>
      <c r="T74" s="10">
        <f t="shared" si="69"/>
        <v>4.0766666666666671</v>
      </c>
      <c r="U74" s="10">
        <f t="shared" si="69"/>
        <v>4.0766666666666671</v>
      </c>
    </row>
    <row r="75" spans="3:21" x14ac:dyDescent="0.25">
      <c r="C75" s="150"/>
      <c r="D75" s="147" t="s">
        <v>9</v>
      </c>
      <c r="E75" s="147" t="s">
        <v>90</v>
      </c>
      <c r="F75" s="148" t="s">
        <v>254</v>
      </c>
      <c r="G75" s="148" t="s">
        <v>186</v>
      </c>
      <c r="H75" s="148">
        <v>10</v>
      </c>
      <c r="I75" s="150" t="s">
        <v>22</v>
      </c>
      <c r="J75" s="150" t="s">
        <v>375</v>
      </c>
      <c r="K75" s="150">
        <v>10</v>
      </c>
      <c r="L75" s="150">
        <f t="shared" si="69"/>
        <v>10</v>
      </c>
      <c r="M75" s="150">
        <f t="shared" si="69"/>
        <v>10</v>
      </c>
      <c r="N75" s="150">
        <f t="shared" si="69"/>
        <v>10</v>
      </c>
      <c r="O75" s="150">
        <f t="shared" si="69"/>
        <v>10</v>
      </c>
      <c r="P75" s="150">
        <f t="shared" si="69"/>
        <v>10</v>
      </c>
      <c r="Q75" s="150">
        <f t="shared" si="69"/>
        <v>10</v>
      </c>
      <c r="R75" s="150">
        <f t="shared" si="69"/>
        <v>10</v>
      </c>
      <c r="S75" s="150">
        <f t="shared" si="69"/>
        <v>10</v>
      </c>
      <c r="T75" s="150">
        <f t="shared" si="69"/>
        <v>10</v>
      </c>
      <c r="U75" s="150">
        <f t="shared" si="69"/>
        <v>10</v>
      </c>
    </row>
    <row r="76" spans="3:21" x14ac:dyDescent="0.25">
      <c r="C76" s="150"/>
      <c r="D76" s="147" t="s">
        <v>9</v>
      </c>
      <c r="E76" s="147" t="s">
        <v>90</v>
      </c>
      <c r="F76" s="148" t="s">
        <v>254</v>
      </c>
      <c r="G76" s="148" t="s">
        <v>186</v>
      </c>
      <c r="H76" s="148">
        <v>15</v>
      </c>
      <c r="I76" s="150" t="s">
        <v>22</v>
      </c>
      <c r="J76" s="150" t="s">
        <v>375</v>
      </c>
      <c r="K76" s="150">
        <v>10</v>
      </c>
      <c r="L76" s="150">
        <f t="shared" si="69"/>
        <v>10</v>
      </c>
      <c r="M76" s="150">
        <f t="shared" si="69"/>
        <v>10</v>
      </c>
      <c r="N76" s="150">
        <f t="shared" si="69"/>
        <v>10</v>
      </c>
      <c r="O76" s="150">
        <f t="shared" si="69"/>
        <v>10</v>
      </c>
      <c r="P76" s="150">
        <f t="shared" si="69"/>
        <v>10</v>
      </c>
      <c r="Q76" s="150">
        <f t="shared" si="69"/>
        <v>10</v>
      </c>
      <c r="R76" s="150">
        <f t="shared" si="69"/>
        <v>10</v>
      </c>
      <c r="S76" s="150">
        <f t="shared" si="69"/>
        <v>10</v>
      </c>
      <c r="T76" s="150">
        <f t="shared" si="69"/>
        <v>10</v>
      </c>
      <c r="U76" s="150">
        <f t="shared" si="69"/>
        <v>10</v>
      </c>
    </row>
    <row r="77" spans="3:21" x14ac:dyDescent="0.25">
      <c r="C77" s="150"/>
      <c r="D77" s="147" t="s">
        <v>90</v>
      </c>
      <c r="E77" s="147" t="s">
        <v>26</v>
      </c>
      <c r="F77" s="148" t="s">
        <v>254</v>
      </c>
      <c r="G77" s="148" t="s">
        <v>186</v>
      </c>
      <c r="H77" s="148">
        <v>10</v>
      </c>
      <c r="I77" s="150" t="s">
        <v>22</v>
      </c>
      <c r="J77" s="150" t="s">
        <v>375</v>
      </c>
      <c r="K77" s="150">
        <v>10</v>
      </c>
      <c r="L77" s="150">
        <f t="shared" si="69"/>
        <v>10</v>
      </c>
      <c r="M77" s="150">
        <f t="shared" si="69"/>
        <v>10</v>
      </c>
      <c r="N77" s="150">
        <f t="shared" si="69"/>
        <v>10</v>
      </c>
      <c r="O77" s="150">
        <f t="shared" si="69"/>
        <v>10</v>
      </c>
      <c r="P77" s="150">
        <f t="shared" si="69"/>
        <v>10</v>
      </c>
      <c r="Q77" s="150">
        <f t="shared" si="69"/>
        <v>10</v>
      </c>
      <c r="R77" s="150">
        <f t="shared" si="69"/>
        <v>10</v>
      </c>
      <c r="S77" s="150">
        <f t="shared" si="69"/>
        <v>10</v>
      </c>
      <c r="T77" s="150">
        <f t="shared" si="69"/>
        <v>10</v>
      </c>
      <c r="U77" s="150">
        <f t="shared" si="69"/>
        <v>10</v>
      </c>
    </row>
    <row r="78" spans="3:21" x14ac:dyDescent="0.25">
      <c r="C78" s="150"/>
      <c r="D78" s="147" t="s">
        <v>90</v>
      </c>
      <c r="E78" s="147" t="s">
        <v>26</v>
      </c>
      <c r="F78" s="148" t="s">
        <v>254</v>
      </c>
      <c r="G78" s="148" t="s">
        <v>186</v>
      </c>
      <c r="H78" s="148">
        <v>15</v>
      </c>
      <c r="I78" s="150" t="s">
        <v>22</v>
      </c>
      <c r="J78" s="150" t="s">
        <v>375</v>
      </c>
      <c r="K78" s="150">
        <v>10</v>
      </c>
      <c r="L78" s="150">
        <f t="shared" si="69"/>
        <v>10</v>
      </c>
      <c r="M78" s="150">
        <f t="shared" si="69"/>
        <v>10</v>
      </c>
      <c r="N78" s="150">
        <f t="shared" si="69"/>
        <v>10</v>
      </c>
      <c r="O78" s="150">
        <f t="shared" si="69"/>
        <v>10</v>
      </c>
      <c r="P78" s="150">
        <f t="shared" si="69"/>
        <v>10</v>
      </c>
      <c r="Q78" s="150">
        <f t="shared" si="69"/>
        <v>10</v>
      </c>
      <c r="R78" s="150">
        <f t="shared" si="69"/>
        <v>10</v>
      </c>
      <c r="S78" s="150">
        <f t="shared" si="69"/>
        <v>10</v>
      </c>
      <c r="T78" s="150">
        <f t="shared" si="69"/>
        <v>10</v>
      </c>
      <c r="U78" s="150">
        <f t="shared" si="69"/>
        <v>10</v>
      </c>
    </row>
    <row r="79" spans="3:21" x14ac:dyDescent="0.25">
      <c r="C79" s="150"/>
      <c r="D79" s="147" t="s">
        <v>9</v>
      </c>
      <c r="E79" s="147" t="s">
        <v>26</v>
      </c>
      <c r="F79" s="148" t="s">
        <v>254</v>
      </c>
      <c r="G79" s="148" t="s">
        <v>186</v>
      </c>
      <c r="H79" s="148">
        <v>10</v>
      </c>
      <c r="I79" s="150" t="s">
        <v>22</v>
      </c>
      <c r="J79" s="150" t="s">
        <v>375</v>
      </c>
      <c r="K79" s="150">
        <v>10</v>
      </c>
      <c r="L79" s="150">
        <f t="shared" si="69"/>
        <v>10</v>
      </c>
      <c r="M79" s="150">
        <f t="shared" si="69"/>
        <v>10</v>
      </c>
      <c r="N79" s="150">
        <f t="shared" si="69"/>
        <v>10</v>
      </c>
      <c r="O79" s="150">
        <f t="shared" si="69"/>
        <v>10</v>
      </c>
      <c r="P79" s="150">
        <f t="shared" si="69"/>
        <v>10</v>
      </c>
      <c r="Q79" s="150">
        <f t="shared" si="69"/>
        <v>10</v>
      </c>
      <c r="R79" s="150">
        <f t="shared" si="69"/>
        <v>10</v>
      </c>
      <c r="S79" s="150">
        <f t="shared" si="69"/>
        <v>10</v>
      </c>
      <c r="T79" s="150">
        <f t="shared" si="69"/>
        <v>10</v>
      </c>
      <c r="U79" s="150">
        <f t="shared" si="69"/>
        <v>10</v>
      </c>
    </row>
    <row r="80" spans="3:21" x14ac:dyDescent="0.25">
      <c r="C80" s="150"/>
      <c r="D80" s="147" t="s">
        <v>9</v>
      </c>
      <c r="E80" s="147" t="s">
        <v>26</v>
      </c>
      <c r="F80" s="148" t="s">
        <v>254</v>
      </c>
      <c r="G80" s="148" t="s">
        <v>186</v>
      </c>
      <c r="H80" s="148">
        <v>15</v>
      </c>
      <c r="I80" s="150" t="s">
        <v>22</v>
      </c>
      <c r="J80" s="150" t="s">
        <v>375</v>
      </c>
      <c r="K80" s="150">
        <v>10</v>
      </c>
      <c r="L80" s="150">
        <f t="shared" si="69"/>
        <v>10</v>
      </c>
      <c r="M80" s="150">
        <f t="shared" si="69"/>
        <v>10</v>
      </c>
      <c r="N80" s="150">
        <f t="shared" si="69"/>
        <v>10</v>
      </c>
      <c r="O80" s="150">
        <f t="shared" si="69"/>
        <v>10</v>
      </c>
      <c r="P80" s="150">
        <f t="shared" si="69"/>
        <v>10</v>
      </c>
      <c r="Q80" s="150">
        <f t="shared" si="69"/>
        <v>10</v>
      </c>
      <c r="R80" s="150">
        <f t="shared" si="69"/>
        <v>10</v>
      </c>
      <c r="S80" s="150">
        <f t="shared" si="69"/>
        <v>10</v>
      </c>
      <c r="T80" s="150">
        <f t="shared" si="69"/>
        <v>10</v>
      </c>
      <c r="U80" s="150">
        <f t="shared" si="69"/>
        <v>10</v>
      </c>
    </row>
    <row r="81" spans="3:21" x14ac:dyDescent="0.25">
      <c r="C81" s="150"/>
      <c r="D81" s="147" t="s">
        <v>90</v>
      </c>
      <c r="E81" s="147" t="s">
        <v>26</v>
      </c>
      <c r="F81" s="148" t="s">
        <v>254</v>
      </c>
      <c r="G81" s="148" t="s">
        <v>186</v>
      </c>
      <c r="H81" s="148">
        <v>10</v>
      </c>
      <c r="I81" s="150" t="s">
        <v>22</v>
      </c>
      <c r="J81" s="150" t="s">
        <v>375</v>
      </c>
      <c r="K81" s="150">
        <v>10</v>
      </c>
      <c r="L81" s="150">
        <f t="shared" si="69"/>
        <v>10</v>
      </c>
      <c r="M81" s="150">
        <f t="shared" si="69"/>
        <v>10</v>
      </c>
      <c r="N81" s="150">
        <f t="shared" si="69"/>
        <v>10</v>
      </c>
      <c r="O81" s="150">
        <f t="shared" si="69"/>
        <v>10</v>
      </c>
      <c r="P81" s="150">
        <f t="shared" si="69"/>
        <v>10</v>
      </c>
      <c r="Q81" s="150">
        <f t="shared" si="69"/>
        <v>10</v>
      </c>
      <c r="R81" s="150">
        <f t="shared" si="69"/>
        <v>10</v>
      </c>
      <c r="S81" s="150">
        <f t="shared" si="69"/>
        <v>10</v>
      </c>
      <c r="T81" s="150">
        <f t="shared" si="69"/>
        <v>10</v>
      </c>
      <c r="U81" s="150">
        <f t="shared" si="69"/>
        <v>10</v>
      </c>
    </row>
    <row r="82" spans="3:21" x14ac:dyDescent="0.25">
      <c r="C82" s="150"/>
      <c r="D82" s="147" t="s">
        <v>90</v>
      </c>
      <c r="E82" s="147" t="s">
        <v>26</v>
      </c>
      <c r="F82" s="148" t="s">
        <v>254</v>
      </c>
      <c r="G82" s="148" t="s">
        <v>186</v>
      </c>
      <c r="H82" s="148">
        <v>15</v>
      </c>
      <c r="I82" s="150" t="s">
        <v>22</v>
      </c>
      <c r="J82" s="150" t="s">
        <v>375</v>
      </c>
      <c r="K82" s="150">
        <v>10</v>
      </c>
      <c r="L82" s="150">
        <f t="shared" si="69"/>
        <v>10</v>
      </c>
      <c r="M82" s="150">
        <f t="shared" si="69"/>
        <v>10</v>
      </c>
      <c r="N82" s="150">
        <f t="shared" si="69"/>
        <v>10</v>
      </c>
      <c r="O82" s="150">
        <f t="shared" si="69"/>
        <v>10</v>
      </c>
      <c r="P82" s="150">
        <f t="shared" si="69"/>
        <v>10</v>
      </c>
      <c r="Q82" s="150">
        <f t="shared" si="69"/>
        <v>10</v>
      </c>
      <c r="R82" s="150">
        <f t="shared" si="69"/>
        <v>10</v>
      </c>
      <c r="S82" s="150">
        <f t="shared" si="69"/>
        <v>10</v>
      </c>
      <c r="T82" s="150">
        <f t="shared" si="69"/>
        <v>10</v>
      </c>
      <c r="U82" s="150">
        <f t="shared" si="69"/>
        <v>10</v>
      </c>
    </row>
  </sheetData>
  <dataValidations count="4">
    <dataValidation type="list" allowBlank="1" showInputMessage="1" showErrorMessage="1" sqref="D5:E82">
      <formula1>Location</formula1>
    </dataValidation>
    <dataValidation type="list" allowBlank="1" showInputMessage="1" showErrorMessage="1" sqref="I5:I82">
      <formula1>OPEX</formula1>
    </dataValidation>
    <dataValidation type="list" allowBlank="1" showInputMessage="1" showErrorMessage="1" sqref="J5:J82">
      <formula1>Currency</formula1>
    </dataValidation>
    <dataValidation type="list" allowBlank="1" showInputMessage="1" showErrorMessage="1" sqref="F5:F82">
      <formula1>LogisticsMethod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'Logistics &gt;&gt;&gt;'!$F$5:$F$39</xm:f>
          </x14:formula1>
          <xm:sqref>G5:G74</xm:sqref>
        </x14:dataValidation>
        <x14:dataValidation type="list" allowBlank="1" showInputMessage="1" showErrorMessage="1">
          <x14:formula1>
            <xm:f>'C:\GitRepos\mine2farm\inputs\[FilledTemplates minimized 291019YW.xlsm]Logistics &gt;&gt;&gt;'!#REF!</xm:f>
          </x14:formula1>
          <xm:sqref>G75:G82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4">
    <tabColor rgb="FFFF3300"/>
  </sheetPr>
  <dimension ref="B1:U74"/>
  <sheetViews>
    <sheetView workbookViewId="0">
      <selection activeCell="K1" sqref="K1"/>
    </sheetView>
  </sheetViews>
  <sheetFormatPr baseColWidth="10" defaultColWidth="11.5703125" defaultRowHeight="15" x14ac:dyDescent="0.25"/>
  <cols>
    <col min="1" max="3" width="3.85546875" style="5" customWidth="1"/>
    <col min="4" max="11" width="15.85546875" style="5" customWidth="1"/>
    <col min="12" max="21" width="8.85546875" style="5" customWidth="1"/>
    <col min="22" max="16384" width="11.5703125" style="5"/>
  </cols>
  <sheetData>
    <row r="1" spans="2:21" s="91" customFormat="1" ht="24.95" customHeight="1" x14ac:dyDescent="0.25">
      <c r="B1" s="90" t="s">
        <v>270</v>
      </c>
    </row>
    <row r="3" spans="2:21" ht="15.75" thickBot="1" x14ac:dyDescent="0.3">
      <c r="D3" s="38" t="str">
        <f>JESA_UploadTable(B1, D4:U74,db)</f>
        <v>Logistics capex @09:45:18</v>
      </c>
    </row>
    <row r="4" spans="2:21" ht="30" customHeight="1" thickBot="1" x14ac:dyDescent="0.3">
      <c r="D4" s="92" t="s">
        <v>265</v>
      </c>
      <c r="E4" s="92" t="s">
        <v>266</v>
      </c>
      <c r="F4" s="92" t="s">
        <v>267</v>
      </c>
      <c r="G4" s="92" t="s">
        <v>24</v>
      </c>
      <c r="H4" s="92" t="s">
        <v>268</v>
      </c>
      <c r="I4" s="92" t="s">
        <v>12</v>
      </c>
      <c r="J4" s="92" t="s">
        <v>17</v>
      </c>
      <c r="K4" s="92" t="s">
        <v>145</v>
      </c>
      <c r="L4" s="93" t="s">
        <v>71</v>
      </c>
      <c r="M4" s="93" t="s">
        <v>72</v>
      </c>
      <c r="N4" s="93" t="s">
        <v>73</v>
      </c>
      <c r="O4" s="93" t="s">
        <v>74</v>
      </c>
      <c r="P4" s="93" t="s">
        <v>75</v>
      </c>
      <c r="Q4" s="93" t="s">
        <v>362</v>
      </c>
      <c r="R4" s="93" t="s">
        <v>76</v>
      </c>
      <c r="S4" s="93" t="s">
        <v>77</v>
      </c>
      <c r="T4" s="93" t="s">
        <v>78</v>
      </c>
      <c r="U4" s="93" t="s">
        <v>79</v>
      </c>
    </row>
    <row r="5" spans="2:21" x14ac:dyDescent="0.25">
      <c r="D5" s="8" t="s">
        <v>4</v>
      </c>
      <c r="E5" s="8" t="s">
        <v>9</v>
      </c>
      <c r="F5" s="14" t="s">
        <v>256</v>
      </c>
      <c r="G5" s="14" t="s">
        <v>186</v>
      </c>
      <c r="H5" s="14">
        <v>3</v>
      </c>
      <c r="I5" s="8" t="s">
        <v>22</v>
      </c>
      <c r="J5" s="14" t="s">
        <v>375</v>
      </c>
      <c r="K5" s="17">
        <v>56600000</v>
      </c>
      <c r="L5" s="17"/>
      <c r="M5" s="17"/>
      <c r="N5" s="17">
        <v>30</v>
      </c>
      <c r="O5" s="17">
        <v>30</v>
      </c>
      <c r="P5" s="17">
        <v>30</v>
      </c>
      <c r="Q5" s="17">
        <v>10</v>
      </c>
      <c r="R5" s="17"/>
      <c r="S5" s="17"/>
      <c r="T5" s="17"/>
      <c r="U5" s="17"/>
    </row>
    <row r="6" spans="2:21" x14ac:dyDescent="0.25">
      <c r="D6" s="9" t="s">
        <v>4</v>
      </c>
      <c r="E6" s="9" t="s">
        <v>9</v>
      </c>
      <c r="F6" s="15" t="s">
        <v>256</v>
      </c>
      <c r="G6" s="15" t="s">
        <v>186</v>
      </c>
      <c r="H6" s="15">
        <v>4</v>
      </c>
      <c r="I6" s="9" t="s">
        <v>22</v>
      </c>
      <c r="J6" s="15" t="s">
        <v>375</v>
      </c>
      <c r="K6" s="18">
        <v>60000000</v>
      </c>
      <c r="L6" s="18"/>
      <c r="M6" s="18"/>
      <c r="N6" s="18">
        <v>30</v>
      </c>
      <c r="O6" s="18">
        <v>30</v>
      </c>
      <c r="P6" s="18">
        <v>30</v>
      </c>
      <c r="Q6" s="18">
        <v>10</v>
      </c>
      <c r="R6" s="18"/>
      <c r="S6" s="18"/>
      <c r="T6" s="18"/>
      <c r="U6" s="18"/>
    </row>
    <row r="7" spans="2:21" x14ac:dyDescent="0.25">
      <c r="D7" s="9" t="s">
        <v>4</v>
      </c>
      <c r="E7" s="9" t="s">
        <v>9</v>
      </c>
      <c r="F7" s="15" t="s">
        <v>256</v>
      </c>
      <c r="G7" s="15" t="s">
        <v>186</v>
      </c>
      <c r="H7" s="15">
        <v>5</v>
      </c>
      <c r="I7" s="9" t="s">
        <v>22</v>
      </c>
      <c r="J7" s="15" t="s">
        <v>375</v>
      </c>
      <c r="K7" s="18">
        <v>68700000</v>
      </c>
      <c r="L7" s="18"/>
      <c r="M7" s="18"/>
      <c r="N7" s="18">
        <v>30</v>
      </c>
      <c r="O7" s="18">
        <v>30</v>
      </c>
      <c r="P7" s="18">
        <v>30</v>
      </c>
      <c r="Q7" s="18">
        <v>10</v>
      </c>
      <c r="R7" s="18"/>
      <c r="S7" s="18"/>
      <c r="T7" s="18"/>
      <c r="U7" s="18"/>
    </row>
    <row r="8" spans="2:21" x14ac:dyDescent="0.25">
      <c r="D8" s="9" t="s">
        <v>4</v>
      </c>
      <c r="E8" s="9" t="s">
        <v>9</v>
      </c>
      <c r="F8" s="15" t="s">
        <v>256</v>
      </c>
      <c r="G8" s="15" t="s">
        <v>186</v>
      </c>
      <c r="H8" s="15">
        <v>6</v>
      </c>
      <c r="I8" s="9" t="s">
        <v>22</v>
      </c>
      <c r="J8" s="15" t="s">
        <v>375</v>
      </c>
      <c r="K8" s="18">
        <v>77390000</v>
      </c>
      <c r="L8" s="18"/>
      <c r="M8" s="18"/>
      <c r="N8" s="18">
        <v>30</v>
      </c>
      <c r="O8" s="18">
        <v>30</v>
      </c>
      <c r="P8" s="18">
        <v>30</v>
      </c>
      <c r="Q8" s="18">
        <v>10</v>
      </c>
      <c r="R8" s="18"/>
      <c r="S8" s="18"/>
      <c r="T8" s="18"/>
      <c r="U8" s="18"/>
    </row>
    <row r="9" spans="2:21" x14ac:dyDescent="0.25">
      <c r="D9" s="9" t="s">
        <v>4</v>
      </c>
      <c r="E9" s="9" t="s">
        <v>9</v>
      </c>
      <c r="F9" s="15" t="s">
        <v>256</v>
      </c>
      <c r="G9" s="15" t="s">
        <v>186</v>
      </c>
      <c r="H9" s="15">
        <v>7</v>
      </c>
      <c r="I9" s="9" t="s">
        <v>22</v>
      </c>
      <c r="J9" s="15" t="s">
        <v>375</v>
      </c>
      <c r="K9" s="18">
        <v>80700000</v>
      </c>
      <c r="L9" s="18"/>
      <c r="M9" s="18"/>
      <c r="N9" s="18">
        <v>30</v>
      </c>
      <c r="O9" s="18">
        <v>30</v>
      </c>
      <c r="P9" s="18">
        <v>30</v>
      </c>
      <c r="Q9" s="18">
        <v>10</v>
      </c>
      <c r="R9" s="18"/>
      <c r="S9" s="18"/>
      <c r="T9" s="18"/>
      <c r="U9" s="18"/>
    </row>
    <row r="10" spans="2:21" x14ac:dyDescent="0.25">
      <c r="D10" s="9" t="s">
        <v>4</v>
      </c>
      <c r="E10" s="9" t="s">
        <v>9</v>
      </c>
      <c r="F10" s="15" t="s">
        <v>256</v>
      </c>
      <c r="G10" s="15" t="s">
        <v>186</v>
      </c>
      <c r="H10" s="15">
        <v>8</v>
      </c>
      <c r="I10" s="9" t="s">
        <v>22</v>
      </c>
      <c r="J10" s="15" t="s">
        <v>375</v>
      </c>
      <c r="K10" s="18">
        <v>81170000</v>
      </c>
      <c r="L10" s="18"/>
      <c r="M10" s="18"/>
      <c r="N10" s="18">
        <v>30</v>
      </c>
      <c r="O10" s="18">
        <v>30</v>
      </c>
      <c r="P10" s="18">
        <v>30</v>
      </c>
      <c r="Q10" s="18">
        <v>10</v>
      </c>
      <c r="R10" s="18"/>
      <c r="S10" s="18"/>
      <c r="T10" s="18"/>
      <c r="U10" s="18"/>
    </row>
    <row r="11" spans="2:21" x14ac:dyDescent="0.25">
      <c r="D11" s="9" t="s">
        <v>4</v>
      </c>
      <c r="E11" s="9" t="s">
        <v>9</v>
      </c>
      <c r="F11" s="15" t="s">
        <v>256</v>
      </c>
      <c r="G11" s="15" t="s">
        <v>186</v>
      </c>
      <c r="H11" s="15">
        <v>9</v>
      </c>
      <c r="I11" s="9" t="s">
        <v>22</v>
      </c>
      <c r="J11" s="15" t="s">
        <v>375</v>
      </c>
      <c r="K11" s="18">
        <v>91570000</v>
      </c>
      <c r="L11" s="18"/>
      <c r="M11" s="18"/>
      <c r="N11" s="18">
        <v>30</v>
      </c>
      <c r="O11" s="18">
        <v>30</v>
      </c>
      <c r="P11" s="18">
        <v>30</v>
      </c>
      <c r="Q11" s="18">
        <v>10</v>
      </c>
      <c r="R11" s="18"/>
      <c r="S11" s="18"/>
      <c r="T11" s="18"/>
      <c r="U11" s="18"/>
    </row>
    <row r="12" spans="2:21" x14ac:dyDescent="0.25">
      <c r="D12" s="9" t="s">
        <v>4</v>
      </c>
      <c r="E12" s="9" t="s">
        <v>9</v>
      </c>
      <c r="F12" s="15" t="s">
        <v>256</v>
      </c>
      <c r="G12" s="15" t="s">
        <v>186</v>
      </c>
      <c r="H12" s="15">
        <v>10</v>
      </c>
      <c r="I12" s="9" t="s">
        <v>22</v>
      </c>
      <c r="J12" s="15" t="s">
        <v>375</v>
      </c>
      <c r="K12" s="18">
        <v>95190000</v>
      </c>
      <c r="L12" s="18"/>
      <c r="M12" s="18"/>
      <c r="N12" s="18">
        <v>30</v>
      </c>
      <c r="O12" s="18">
        <v>30</v>
      </c>
      <c r="P12" s="18">
        <v>30</v>
      </c>
      <c r="Q12" s="18">
        <v>10</v>
      </c>
      <c r="R12" s="18"/>
      <c r="S12" s="18"/>
      <c r="T12" s="18"/>
      <c r="U12" s="18"/>
    </row>
    <row r="13" spans="2:21" x14ac:dyDescent="0.25">
      <c r="D13" s="9" t="s">
        <v>10</v>
      </c>
      <c r="E13" s="9" t="s">
        <v>9</v>
      </c>
      <c r="F13" s="15" t="s">
        <v>256</v>
      </c>
      <c r="G13" s="15" t="s">
        <v>186</v>
      </c>
      <c r="H13" s="15">
        <v>2</v>
      </c>
      <c r="I13" s="9" t="s">
        <v>22</v>
      </c>
      <c r="J13" s="15" t="s">
        <v>375</v>
      </c>
      <c r="K13" s="18">
        <v>42010000</v>
      </c>
      <c r="L13" s="18"/>
      <c r="M13" s="18"/>
      <c r="N13" s="18">
        <v>30</v>
      </c>
      <c r="O13" s="18">
        <v>30</v>
      </c>
      <c r="P13" s="18">
        <v>30</v>
      </c>
      <c r="Q13" s="18">
        <v>10</v>
      </c>
      <c r="R13" s="18"/>
      <c r="S13" s="18"/>
      <c r="T13" s="18"/>
      <c r="U13" s="18"/>
    </row>
    <row r="14" spans="2:21" x14ac:dyDescent="0.25">
      <c r="D14" s="9" t="s">
        <v>10</v>
      </c>
      <c r="E14" s="9" t="s">
        <v>9</v>
      </c>
      <c r="F14" s="15" t="s">
        <v>256</v>
      </c>
      <c r="G14" s="15" t="s">
        <v>186</v>
      </c>
      <c r="H14" s="15">
        <v>4</v>
      </c>
      <c r="I14" s="9" t="s">
        <v>22</v>
      </c>
      <c r="J14" s="15" t="s">
        <v>375</v>
      </c>
      <c r="K14" s="18">
        <v>50110000</v>
      </c>
      <c r="L14" s="18"/>
      <c r="M14" s="18"/>
      <c r="N14" s="18">
        <v>30</v>
      </c>
      <c r="O14" s="18">
        <v>30</v>
      </c>
      <c r="P14" s="18">
        <v>30</v>
      </c>
      <c r="Q14" s="18">
        <v>10</v>
      </c>
      <c r="R14" s="18"/>
      <c r="S14" s="18"/>
      <c r="T14" s="18"/>
      <c r="U14" s="18"/>
    </row>
    <row r="15" spans="2:21" x14ac:dyDescent="0.25">
      <c r="D15" s="9" t="s">
        <v>10</v>
      </c>
      <c r="E15" s="9" t="s">
        <v>9</v>
      </c>
      <c r="F15" s="15" t="s">
        <v>256</v>
      </c>
      <c r="G15" s="15" t="s">
        <v>186</v>
      </c>
      <c r="H15" s="15">
        <v>6</v>
      </c>
      <c r="I15" s="9" t="s">
        <v>22</v>
      </c>
      <c r="J15" s="15" t="s">
        <v>375</v>
      </c>
      <c r="K15" s="18">
        <v>64930000.000000007</v>
      </c>
      <c r="L15" s="18"/>
      <c r="M15" s="18"/>
      <c r="N15" s="18">
        <v>30</v>
      </c>
      <c r="O15" s="18">
        <v>30</v>
      </c>
      <c r="P15" s="18">
        <v>30</v>
      </c>
      <c r="Q15" s="18">
        <v>10</v>
      </c>
      <c r="R15" s="18"/>
      <c r="S15" s="18"/>
      <c r="T15" s="18"/>
      <c r="U15" s="18"/>
    </row>
    <row r="16" spans="2:21" x14ac:dyDescent="0.25">
      <c r="D16" s="9" t="s">
        <v>90</v>
      </c>
      <c r="E16" s="9" t="s">
        <v>3</v>
      </c>
      <c r="F16" s="15" t="s">
        <v>256</v>
      </c>
      <c r="G16" s="15" t="s">
        <v>186</v>
      </c>
      <c r="H16" s="15">
        <v>2</v>
      </c>
      <c r="I16" s="9" t="s">
        <v>22</v>
      </c>
      <c r="J16" s="15" t="s">
        <v>375</v>
      </c>
      <c r="K16" s="18">
        <v>37780000</v>
      </c>
      <c r="L16" s="18"/>
      <c r="M16" s="18"/>
      <c r="N16" s="18">
        <v>30</v>
      </c>
      <c r="O16" s="18">
        <v>30</v>
      </c>
      <c r="P16" s="18">
        <v>30</v>
      </c>
      <c r="Q16" s="18">
        <v>10</v>
      </c>
      <c r="R16" s="18"/>
      <c r="S16" s="18"/>
      <c r="T16" s="18"/>
      <c r="U16" s="18"/>
    </row>
    <row r="17" spans="4:21" x14ac:dyDescent="0.25">
      <c r="D17" s="9" t="s">
        <v>90</v>
      </c>
      <c r="E17" s="9" t="s">
        <v>3</v>
      </c>
      <c r="F17" s="15" t="s">
        <v>256</v>
      </c>
      <c r="G17" s="15" t="s">
        <v>186</v>
      </c>
      <c r="H17" s="15">
        <v>3</v>
      </c>
      <c r="I17" s="9" t="s">
        <v>22</v>
      </c>
      <c r="J17" s="15" t="s">
        <v>375</v>
      </c>
      <c r="K17" s="18">
        <v>43400000</v>
      </c>
      <c r="L17" s="18"/>
      <c r="M17" s="18"/>
      <c r="N17" s="18">
        <v>30</v>
      </c>
      <c r="O17" s="18">
        <v>30</v>
      </c>
      <c r="P17" s="18">
        <v>30</v>
      </c>
      <c r="Q17" s="18">
        <v>10</v>
      </c>
      <c r="R17" s="18"/>
      <c r="S17" s="18"/>
      <c r="T17" s="18"/>
      <c r="U17" s="18"/>
    </row>
    <row r="18" spans="4:21" x14ac:dyDescent="0.25">
      <c r="D18" s="9" t="s">
        <v>90</v>
      </c>
      <c r="E18" s="9" t="s">
        <v>3</v>
      </c>
      <c r="F18" s="15" t="s">
        <v>256</v>
      </c>
      <c r="G18" s="15" t="s">
        <v>186</v>
      </c>
      <c r="H18" s="15">
        <v>4</v>
      </c>
      <c r="I18" s="9" t="s">
        <v>22</v>
      </c>
      <c r="J18" s="15" t="s">
        <v>375</v>
      </c>
      <c r="K18" s="18">
        <v>45410000</v>
      </c>
      <c r="L18" s="18"/>
      <c r="M18" s="18"/>
      <c r="N18" s="18">
        <v>30</v>
      </c>
      <c r="O18" s="18">
        <v>30</v>
      </c>
      <c r="P18" s="18">
        <v>30</v>
      </c>
      <c r="Q18" s="18">
        <v>10</v>
      </c>
      <c r="R18" s="18"/>
      <c r="S18" s="18"/>
      <c r="T18" s="18"/>
      <c r="U18" s="18"/>
    </row>
    <row r="19" spans="4:21" x14ac:dyDescent="0.25">
      <c r="D19" s="9" t="s">
        <v>90</v>
      </c>
      <c r="E19" s="9" t="s">
        <v>3</v>
      </c>
      <c r="F19" s="15" t="s">
        <v>256</v>
      </c>
      <c r="G19" s="15" t="s">
        <v>186</v>
      </c>
      <c r="H19" s="15">
        <v>5</v>
      </c>
      <c r="I19" s="9" t="s">
        <v>22</v>
      </c>
      <c r="J19" s="15" t="s">
        <v>375</v>
      </c>
      <c r="K19" s="18">
        <v>52080000</v>
      </c>
      <c r="L19" s="18"/>
      <c r="M19" s="18"/>
      <c r="N19" s="18">
        <v>30</v>
      </c>
      <c r="O19" s="18">
        <v>30</v>
      </c>
      <c r="P19" s="18">
        <v>30</v>
      </c>
      <c r="Q19" s="18">
        <v>10</v>
      </c>
      <c r="R19" s="18"/>
      <c r="S19" s="18"/>
      <c r="T19" s="18"/>
      <c r="U19" s="18"/>
    </row>
    <row r="20" spans="4:21" x14ac:dyDescent="0.25">
      <c r="D20" s="9" t="s">
        <v>90</v>
      </c>
      <c r="E20" s="9" t="s">
        <v>3</v>
      </c>
      <c r="F20" s="15" t="s">
        <v>256</v>
      </c>
      <c r="G20" s="15" t="s">
        <v>186</v>
      </c>
      <c r="H20" s="15">
        <v>6</v>
      </c>
      <c r="I20" s="9" t="s">
        <v>22</v>
      </c>
      <c r="J20" s="15" t="s">
        <v>375</v>
      </c>
      <c r="K20" s="18">
        <v>59280000</v>
      </c>
      <c r="L20" s="18"/>
      <c r="M20" s="18"/>
      <c r="N20" s="18">
        <v>30</v>
      </c>
      <c r="O20" s="18">
        <v>30</v>
      </c>
      <c r="P20" s="18">
        <v>30</v>
      </c>
      <c r="Q20" s="18">
        <v>10</v>
      </c>
      <c r="R20" s="18"/>
      <c r="S20" s="18"/>
      <c r="T20" s="18"/>
      <c r="U20" s="18"/>
    </row>
    <row r="21" spans="4:21" x14ac:dyDescent="0.25">
      <c r="D21" s="9" t="s">
        <v>9</v>
      </c>
      <c r="E21" s="9" t="s">
        <v>90</v>
      </c>
      <c r="F21" s="15" t="s">
        <v>256</v>
      </c>
      <c r="G21" s="15" t="s">
        <v>186</v>
      </c>
      <c r="H21" s="15">
        <v>3</v>
      </c>
      <c r="I21" s="9" t="s">
        <v>22</v>
      </c>
      <c r="J21" s="15" t="s">
        <v>375</v>
      </c>
      <c r="K21" s="18">
        <v>70680000</v>
      </c>
      <c r="L21" s="18"/>
      <c r="M21" s="18"/>
      <c r="N21" s="18">
        <v>30</v>
      </c>
      <c r="O21" s="18">
        <v>30</v>
      </c>
      <c r="P21" s="18">
        <v>30</v>
      </c>
      <c r="Q21" s="18">
        <v>10</v>
      </c>
      <c r="R21" s="18"/>
      <c r="S21" s="18"/>
      <c r="T21" s="18"/>
      <c r="U21" s="18"/>
    </row>
    <row r="22" spans="4:21" x14ac:dyDescent="0.25">
      <c r="D22" s="9" t="s">
        <v>9</v>
      </c>
      <c r="E22" s="9" t="s">
        <v>90</v>
      </c>
      <c r="F22" s="15" t="s">
        <v>256</v>
      </c>
      <c r="G22" s="15" t="s">
        <v>186</v>
      </c>
      <c r="H22" s="15">
        <v>4</v>
      </c>
      <c r="I22" s="9" t="s">
        <v>22</v>
      </c>
      <c r="J22" s="15" t="s">
        <v>375</v>
      </c>
      <c r="K22" s="18">
        <v>81860000</v>
      </c>
      <c r="L22" s="18"/>
      <c r="M22" s="18"/>
      <c r="N22" s="18">
        <v>30</v>
      </c>
      <c r="O22" s="18">
        <v>30</v>
      </c>
      <c r="P22" s="18">
        <v>30</v>
      </c>
      <c r="Q22" s="18">
        <v>10</v>
      </c>
      <c r="R22" s="18"/>
      <c r="S22" s="18"/>
      <c r="T22" s="18"/>
      <c r="U22" s="18"/>
    </row>
    <row r="23" spans="4:21" x14ac:dyDescent="0.25">
      <c r="D23" s="9" t="s">
        <v>9</v>
      </c>
      <c r="E23" s="9" t="s">
        <v>90</v>
      </c>
      <c r="F23" s="15" t="s">
        <v>256</v>
      </c>
      <c r="G23" s="15" t="s">
        <v>186</v>
      </c>
      <c r="H23" s="15">
        <v>5</v>
      </c>
      <c r="I23" s="9" t="s">
        <v>22</v>
      </c>
      <c r="J23" s="15" t="s">
        <v>375</v>
      </c>
      <c r="K23" s="18">
        <v>92590000</v>
      </c>
      <c r="L23" s="18"/>
      <c r="M23" s="18"/>
      <c r="N23" s="18">
        <v>30</v>
      </c>
      <c r="O23" s="18">
        <v>30</v>
      </c>
      <c r="P23" s="18">
        <v>30</v>
      </c>
      <c r="Q23" s="18">
        <v>10</v>
      </c>
      <c r="R23" s="18"/>
      <c r="S23" s="18"/>
      <c r="T23" s="18"/>
      <c r="U23" s="18"/>
    </row>
    <row r="24" spans="4:21" x14ac:dyDescent="0.25">
      <c r="D24" s="9" t="s">
        <v>9</v>
      </c>
      <c r="E24" s="9" t="s">
        <v>90</v>
      </c>
      <c r="F24" s="15" t="s">
        <v>256</v>
      </c>
      <c r="G24" s="15" t="s">
        <v>186</v>
      </c>
      <c r="H24" s="15">
        <v>6</v>
      </c>
      <c r="I24" s="9" t="s">
        <v>22</v>
      </c>
      <c r="J24" s="15" t="s">
        <v>375</v>
      </c>
      <c r="K24" s="18">
        <v>102910000</v>
      </c>
      <c r="L24" s="18"/>
      <c r="M24" s="18"/>
      <c r="N24" s="18">
        <v>30</v>
      </c>
      <c r="O24" s="18">
        <v>30</v>
      </c>
      <c r="P24" s="18">
        <v>30</v>
      </c>
      <c r="Q24" s="18">
        <v>10</v>
      </c>
      <c r="R24" s="18"/>
      <c r="S24" s="18"/>
      <c r="T24" s="18"/>
      <c r="U24" s="18"/>
    </row>
    <row r="25" spans="4:21" x14ac:dyDescent="0.25">
      <c r="D25" s="9" t="s">
        <v>9</v>
      </c>
      <c r="E25" s="9" t="s">
        <v>90</v>
      </c>
      <c r="F25" s="15" t="s">
        <v>256</v>
      </c>
      <c r="G25" s="15" t="s">
        <v>186</v>
      </c>
      <c r="H25" s="15">
        <v>7</v>
      </c>
      <c r="I25" s="9" t="s">
        <v>22</v>
      </c>
      <c r="J25" s="15" t="s">
        <v>375</v>
      </c>
      <c r="K25" s="18">
        <v>107900000</v>
      </c>
      <c r="L25" s="18"/>
      <c r="M25" s="18"/>
      <c r="N25" s="18">
        <v>30</v>
      </c>
      <c r="O25" s="18">
        <v>30</v>
      </c>
      <c r="P25" s="18">
        <v>30</v>
      </c>
      <c r="Q25" s="18">
        <v>10</v>
      </c>
      <c r="R25" s="18"/>
      <c r="S25" s="18"/>
      <c r="T25" s="18"/>
      <c r="U25" s="18"/>
    </row>
    <row r="26" spans="4:21" x14ac:dyDescent="0.25">
      <c r="D26" s="9" t="s">
        <v>9</v>
      </c>
      <c r="E26" s="9" t="s">
        <v>90</v>
      </c>
      <c r="F26" s="15" t="s">
        <v>256</v>
      </c>
      <c r="G26" s="15" t="s">
        <v>186</v>
      </c>
      <c r="H26" s="15">
        <v>8</v>
      </c>
      <c r="I26" s="9" t="s">
        <v>22</v>
      </c>
      <c r="J26" s="15" t="s">
        <v>375</v>
      </c>
      <c r="K26" s="18">
        <v>112250000</v>
      </c>
      <c r="L26" s="18"/>
      <c r="M26" s="18"/>
      <c r="N26" s="18">
        <v>30</v>
      </c>
      <c r="O26" s="18">
        <v>30</v>
      </c>
      <c r="P26" s="18">
        <v>30</v>
      </c>
      <c r="Q26" s="18">
        <v>10</v>
      </c>
      <c r="R26" s="18"/>
      <c r="S26" s="18"/>
      <c r="T26" s="18"/>
      <c r="U26" s="18"/>
    </row>
    <row r="27" spans="4:21" x14ac:dyDescent="0.25">
      <c r="D27" s="9" t="s">
        <v>9</v>
      </c>
      <c r="E27" s="9" t="s">
        <v>90</v>
      </c>
      <c r="F27" s="15" t="s">
        <v>256</v>
      </c>
      <c r="G27" s="15" t="s">
        <v>186</v>
      </c>
      <c r="H27" s="15">
        <v>9</v>
      </c>
      <c r="I27" s="9" t="s">
        <v>22</v>
      </c>
      <c r="J27" s="15" t="s">
        <v>375</v>
      </c>
      <c r="K27" s="18">
        <v>121500000</v>
      </c>
      <c r="L27" s="18"/>
      <c r="M27" s="18"/>
      <c r="N27" s="18">
        <v>30</v>
      </c>
      <c r="O27" s="18">
        <v>30</v>
      </c>
      <c r="P27" s="18">
        <v>30</v>
      </c>
      <c r="Q27" s="18">
        <v>10</v>
      </c>
      <c r="R27" s="18"/>
      <c r="S27" s="18"/>
      <c r="T27" s="18"/>
      <c r="U27" s="18"/>
    </row>
    <row r="28" spans="4:21" x14ac:dyDescent="0.25">
      <c r="D28" s="9" t="s">
        <v>9</v>
      </c>
      <c r="E28" s="9" t="s">
        <v>3</v>
      </c>
      <c r="F28" s="15" t="s">
        <v>256</v>
      </c>
      <c r="G28" s="15" t="s">
        <v>186</v>
      </c>
      <c r="H28" s="15">
        <v>3</v>
      </c>
      <c r="I28" s="9" t="s">
        <v>22</v>
      </c>
      <c r="J28" s="15" t="s">
        <v>375</v>
      </c>
      <c r="K28" s="18">
        <v>70680000</v>
      </c>
      <c r="L28" s="18"/>
      <c r="M28" s="18"/>
      <c r="N28" s="18">
        <v>30</v>
      </c>
      <c r="O28" s="18">
        <v>30</v>
      </c>
      <c r="P28" s="18">
        <v>30</v>
      </c>
      <c r="Q28" s="18">
        <v>10</v>
      </c>
      <c r="R28" s="18"/>
      <c r="S28" s="18"/>
      <c r="T28" s="18"/>
      <c r="U28" s="18"/>
    </row>
    <row r="29" spans="4:21" x14ac:dyDescent="0.25">
      <c r="D29" s="9" t="s">
        <v>9</v>
      </c>
      <c r="E29" s="9" t="s">
        <v>3</v>
      </c>
      <c r="F29" s="15" t="s">
        <v>256</v>
      </c>
      <c r="G29" s="15" t="s">
        <v>186</v>
      </c>
      <c r="H29" s="15">
        <v>4</v>
      </c>
      <c r="I29" s="9" t="s">
        <v>22</v>
      </c>
      <c r="J29" s="15" t="s">
        <v>375</v>
      </c>
      <c r="K29" s="18">
        <v>81860000</v>
      </c>
      <c r="L29" s="18"/>
      <c r="M29" s="18"/>
      <c r="N29" s="18">
        <v>30</v>
      </c>
      <c r="O29" s="18">
        <v>30</v>
      </c>
      <c r="P29" s="18">
        <v>30</v>
      </c>
      <c r="Q29" s="18">
        <v>10</v>
      </c>
      <c r="R29" s="18"/>
      <c r="S29" s="18"/>
      <c r="T29" s="18"/>
      <c r="U29" s="18"/>
    </row>
    <row r="30" spans="4:21" x14ac:dyDescent="0.25">
      <c r="D30" s="9" t="s">
        <v>9</v>
      </c>
      <c r="E30" s="9" t="s">
        <v>3</v>
      </c>
      <c r="F30" s="15" t="s">
        <v>256</v>
      </c>
      <c r="G30" s="15" t="s">
        <v>186</v>
      </c>
      <c r="H30" s="15">
        <v>5</v>
      </c>
      <c r="I30" s="9" t="s">
        <v>22</v>
      </c>
      <c r="J30" s="15" t="s">
        <v>375</v>
      </c>
      <c r="K30" s="18">
        <v>92590000</v>
      </c>
      <c r="L30" s="18"/>
      <c r="M30" s="18"/>
      <c r="N30" s="18">
        <v>30</v>
      </c>
      <c r="O30" s="18">
        <v>30</v>
      </c>
      <c r="P30" s="18">
        <v>30</v>
      </c>
      <c r="Q30" s="18">
        <v>10</v>
      </c>
      <c r="R30" s="18"/>
      <c r="S30" s="18"/>
      <c r="T30" s="18"/>
      <c r="U30" s="18"/>
    </row>
    <row r="31" spans="4:21" x14ac:dyDescent="0.25">
      <c r="D31" s="9" t="s">
        <v>9</v>
      </c>
      <c r="E31" s="9" t="s">
        <v>3</v>
      </c>
      <c r="F31" s="15" t="s">
        <v>256</v>
      </c>
      <c r="G31" s="15" t="s">
        <v>186</v>
      </c>
      <c r="H31" s="15">
        <v>6</v>
      </c>
      <c r="I31" s="9" t="s">
        <v>22</v>
      </c>
      <c r="J31" s="15" t="s">
        <v>375</v>
      </c>
      <c r="K31" s="18">
        <v>102910000</v>
      </c>
      <c r="L31" s="18"/>
      <c r="M31" s="18"/>
      <c r="N31" s="18">
        <v>30</v>
      </c>
      <c r="O31" s="18">
        <v>30</v>
      </c>
      <c r="P31" s="18">
        <v>30</v>
      </c>
      <c r="Q31" s="18">
        <v>10</v>
      </c>
      <c r="R31" s="18"/>
      <c r="S31" s="18"/>
      <c r="T31" s="18"/>
      <c r="U31" s="18"/>
    </row>
    <row r="32" spans="4:21" x14ac:dyDescent="0.25">
      <c r="D32" s="9" t="s">
        <v>9</v>
      </c>
      <c r="E32" s="9" t="s">
        <v>3</v>
      </c>
      <c r="F32" s="15" t="s">
        <v>256</v>
      </c>
      <c r="G32" s="15" t="s">
        <v>186</v>
      </c>
      <c r="H32" s="15">
        <v>7</v>
      </c>
      <c r="I32" s="9" t="s">
        <v>22</v>
      </c>
      <c r="J32" s="15" t="s">
        <v>375</v>
      </c>
      <c r="K32" s="18">
        <v>107900000</v>
      </c>
      <c r="L32" s="18"/>
      <c r="M32" s="18"/>
      <c r="N32" s="18">
        <v>30</v>
      </c>
      <c r="O32" s="18">
        <v>30</v>
      </c>
      <c r="P32" s="18">
        <v>30</v>
      </c>
      <c r="Q32" s="18">
        <v>10</v>
      </c>
      <c r="R32" s="18"/>
      <c r="S32" s="18"/>
      <c r="T32" s="18"/>
      <c r="U32" s="18"/>
    </row>
    <row r="33" spans="4:21" x14ac:dyDescent="0.25">
      <c r="D33" s="9" t="s">
        <v>9</v>
      </c>
      <c r="E33" s="9" t="s">
        <v>3</v>
      </c>
      <c r="F33" s="15" t="s">
        <v>256</v>
      </c>
      <c r="G33" s="15" t="s">
        <v>186</v>
      </c>
      <c r="H33" s="15">
        <v>8</v>
      </c>
      <c r="I33" s="9" t="s">
        <v>22</v>
      </c>
      <c r="J33" s="15" t="s">
        <v>375</v>
      </c>
      <c r="K33" s="18">
        <v>112250000</v>
      </c>
      <c r="L33" s="18"/>
      <c r="M33" s="18"/>
      <c r="N33" s="18">
        <v>30</v>
      </c>
      <c r="O33" s="18">
        <v>30</v>
      </c>
      <c r="P33" s="18">
        <v>30</v>
      </c>
      <c r="Q33" s="18">
        <v>10</v>
      </c>
      <c r="R33" s="18"/>
      <c r="S33" s="18"/>
      <c r="T33" s="18"/>
      <c r="U33" s="18"/>
    </row>
    <row r="34" spans="4:21" x14ac:dyDescent="0.25">
      <c r="D34" s="9" t="s">
        <v>9</v>
      </c>
      <c r="E34" s="9" t="s">
        <v>3</v>
      </c>
      <c r="F34" s="15" t="s">
        <v>256</v>
      </c>
      <c r="G34" s="15" t="s">
        <v>186</v>
      </c>
      <c r="H34" s="15">
        <v>9</v>
      </c>
      <c r="I34" s="9" t="s">
        <v>22</v>
      </c>
      <c r="J34" s="15" t="s">
        <v>375</v>
      </c>
      <c r="K34" s="18">
        <v>121500000</v>
      </c>
      <c r="L34" s="18"/>
      <c r="M34" s="18"/>
      <c r="N34" s="18">
        <v>30</v>
      </c>
      <c r="O34" s="18">
        <v>30</v>
      </c>
      <c r="P34" s="18">
        <v>30</v>
      </c>
      <c r="Q34" s="18">
        <v>10</v>
      </c>
      <c r="R34" s="18"/>
      <c r="S34" s="18"/>
      <c r="T34" s="18"/>
      <c r="U34" s="18"/>
    </row>
    <row r="35" spans="4:21" x14ac:dyDescent="0.25">
      <c r="D35" s="9" t="s">
        <v>90</v>
      </c>
      <c r="E35" s="9" t="s">
        <v>26</v>
      </c>
      <c r="F35" s="15" t="s">
        <v>256</v>
      </c>
      <c r="G35" s="15" t="s">
        <v>186</v>
      </c>
      <c r="H35" s="15">
        <v>2</v>
      </c>
      <c r="I35" s="9" t="s">
        <v>22</v>
      </c>
      <c r="J35" s="15" t="s">
        <v>375</v>
      </c>
      <c r="K35" s="18">
        <v>85350000</v>
      </c>
      <c r="L35" s="18"/>
      <c r="M35" s="18"/>
      <c r="N35" s="18">
        <v>30</v>
      </c>
      <c r="O35" s="18">
        <v>30</v>
      </c>
      <c r="P35" s="18">
        <v>30</v>
      </c>
      <c r="Q35" s="18">
        <v>10</v>
      </c>
      <c r="R35" s="18"/>
      <c r="S35" s="18"/>
      <c r="T35" s="18"/>
      <c r="U35" s="18"/>
    </row>
    <row r="36" spans="4:21" x14ac:dyDescent="0.25">
      <c r="D36" s="9" t="s">
        <v>90</v>
      </c>
      <c r="E36" s="9" t="s">
        <v>26</v>
      </c>
      <c r="F36" s="15" t="s">
        <v>256</v>
      </c>
      <c r="G36" s="15" t="s">
        <v>186</v>
      </c>
      <c r="H36" s="15">
        <v>3</v>
      </c>
      <c r="I36" s="9" t="s">
        <v>22</v>
      </c>
      <c r="J36" s="15" t="s">
        <v>375</v>
      </c>
      <c r="K36" s="18">
        <v>90600000</v>
      </c>
      <c r="L36" s="18"/>
      <c r="M36" s="18"/>
      <c r="N36" s="18">
        <v>30</v>
      </c>
      <c r="O36" s="18">
        <v>30</v>
      </c>
      <c r="P36" s="18">
        <v>30</v>
      </c>
      <c r="Q36" s="18">
        <v>10</v>
      </c>
      <c r="R36" s="18"/>
      <c r="S36" s="18"/>
      <c r="T36" s="18"/>
      <c r="U36" s="18"/>
    </row>
    <row r="37" spans="4:21" x14ac:dyDescent="0.25">
      <c r="D37" s="9" t="s">
        <v>90</v>
      </c>
      <c r="E37" s="9" t="s">
        <v>26</v>
      </c>
      <c r="F37" s="15" t="s">
        <v>256</v>
      </c>
      <c r="G37" s="15" t="s">
        <v>186</v>
      </c>
      <c r="H37" s="15">
        <v>4</v>
      </c>
      <c r="I37" s="9" t="s">
        <v>22</v>
      </c>
      <c r="J37" s="15" t="s">
        <v>375</v>
      </c>
      <c r="K37" s="18">
        <v>97870000</v>
      </c>
      <c r="L37" s="18"/>
      <c r="M37" s="18"/>
      <c r="N37" s="18">
        <v>30</v>
      </c>
      <c r="O37" s="18">
        <v>30</v>
      </c>
      <c r="P37" s="18">
        <v>30</v>
      </c>
      <c r="Q37" s="18">
        <v>10</v>
      </c>
      <c r="R37" s="18"/>
      <c r="S37" s="18"/>
      <c r="T37" s="18"/>
      <c r="U37" s="18"/>
    </row>
    <row r="38" spans="4:21" x14ac:dyDescent="0.25">
      <c r="D38" s="9" t="s">
        <v>90</v>
      </c>
      <c r="E38" s="9" t="s">
        <v>26</v>
      </c>
      <c r="F38" s="15" t="s">
        <v>256</v>
      </c>
      <c r="G38" s="15" t="s">
        <v>186</v>
      </c>
      <c r="H38" s="15">
        <v>5</v>
      </c>
      <c r="I38" s="9" t="s">
        <v>22</v>
      </c>
      <c r="J38" s="15" t="s">
        <v>375</v>
      </c>
      <c r="K38" s="18">
        <v>110350000</v>
      </c>
      <c r="L38" s="18"/>
      <c r="M38" s="18"/>
      <c r="N38" s="18">
        <v>30</v>
      </c>
      <c r="O38" s="18">
        <v>30</v>
      </c>
      <c r="P38" s="18">
        <v>30</v>
      </c>
      <c r="Q38" s="18">
        <v>10</v>
      </c>
      <c r="R38" s="18"/>
      <c r="S38" s="18"/>
      <c r="T38" s="18"/>
      <c r="U38" s="18"/>
    </row>
    <row r="39" spans="4:21" x14ac:dyDescent="0.25">
      <c r="D39" s="9" t="s">
        <v>90</v>
      </c>
      <c r="E39" s="9" t="s">
        <v>26</v>
      </c>
      <c r="F39" s="15" t="s">
        <v>256</v>
      </c>
      <c r="G39" s="15" t="s">
        <v>186</v>
      </c>
      <c r="H39" s="15">
        <v>6</v>
      </c>
      <c r="I39" s="9" t="s">
        <v>22</v>
      </c>
      <c r="J39" s="15" t="s">
        <v>375</v>
      </c>
      <c r="K39" s="18">
        <v>122040000</v>
      </c>
      <c r="L39" s="18"/>
      <c r="M39" s="18"/>
      <c r="N39" s="18">
        <v>30</v>
      </c>
      <c r="O39" s="18">
        <v>30</v>
      </c>
      <c r="P39" s="18">
        <v>30</v>
      </c>
      <c r="Q39" s="18">
        <v>10</v>
      </c>
      <c r="R39" s="18"/>
      <c r="S39" s="18"/>
      <c r="T39" s="18"/>
      <c r="U39" s="18"/>
    </row>
    <row r="40" spans="4:21" x14ac:dyDescent="0.25">
      <c r="D40" s="9" t="s">
        <v>4</v>
      </c>
      <c r="E40" s="9" t="s">
        <v>9</v>
      </c>
      <c r="F40" s="15" t="s">
        <v>259</v>
      </c>
      <c r="G40" s="15" t="s">
        <v>186</v>
      </c>
      <c r="H40" s="15">
        <v>3</v>
      </c>
      <c r="I40" s="9" t="s">
        <v>22</v>
      </c>
      <c r="J40" s="15" t="s">
        <v>375</v>
      </c>
      <c r="K40" s="18">
        <v>41260000</v>
      </c>
      <c r="L40" s="18"/>
      <c r="M40" s="18"/>
      <c r="N40" s="18">
        <v>30</v>
      </c>
      <c r="O40" s="18">
        <v>30</v>
      </c>
      <c r="P40" s="18">
        <v>30</v>
      </c>
      <c r="Q40" s="18">
        <v>10</v>
      </c>
      <c r="R40" s="18"/>
      <c r="S40" s="18"/>
      <c r="T40" s="18"/>
      <c r="U40" s="18"/>
    </row>
    <row r="41" spans="4:21" x14ac:dyDescent="0.25">
      <c r="D41" s="9" t="s">
        <v>4</v>
      </c>
      <c r="E41" s="9" t="s">
        <v>9</v>
      </c>
      <c r="F41" s="15" t="s">
        <v>259</v>
      </c>
      <c r="G41" s="15" t="s">
        <v>186</v>
      </c>
      <c r="H41" s="15">
        <v>4</v>
      </c>
      <c r="I41" s="9" t="s">
        <v>22</v>
      </c>
      <c r="J41" s="15" t="s">
        <v>375</v>
      </c>
      <c r="K41" s="18">
        <v>48600000</v>
      </c>
      <c r="L41" s="18"/>
      <c r="M41" s="18"/>
      <c r="N41" s="18">
        <v>30</v>
      </c>
      <c r="O41" s="18">
        <v>30</v>
      </c>
      <c r="P41" s="18">
        <v>30</v>
      </c>
      <c r="Q41" s="18">
        <v>10</v>
      </c>
      <c r="R41" s="18"/>
      <c r="S41" s="18"/>
      <c r="T41" s="18"/>
      <c r="U41" s="18"/>
    </row>
    <row r="42" spans="4:21" x14ac:dyDescent="0.25">
      <c r="D42" s="9" t="s">
        <v>4</v>
      </c>
      <c r="E42" s="9" t="s">
        <v>9</v>
      </c>
      <c r="F42" s="15" t="s">
        <v>259</v>
      </c>
      <c r="G42" s="15" t="s">
        <v>186</v>
      </c>
      <c r="H42" s="15">
        <v>5</v>
      </c>
      <c r="I42" s="9" t="s">
        <v>22</v>
      </c>
      <c r="J42" s="15" t="s">
        <v>375</v>
      </c>
      <c r="K42" s="18">
        <v>48600000</v>
      </c>
      <c r="L42" s="18"/>
      <c r="M42" s="18"/>
      <c r="N42" s="18">
        <v>30</v>
      </c>
      <c r="O42" s="18">
        <v>30</v>
      </c>
      <c r="P42" s="18">
        <v>30</v>
      </c>
      <c r="Q42" s="18">
        <v>10</v>
      </c>
      <c r="R42" s="18"/>
      <c r="S42" s="18"/>
      <c r="T42" s="18"/>
      <c r="U42" s="18"/>
    </row>
    <row r="43" spans="4:21" x14ac:dyDescent="0.25">
      <c r="D43" s="9" t="s">
        <v>4</v>
      </c>
      <c r="E43" s="9" t="s">
        <v>9</v>
      </c>
      <c r="F43" s="15" t="s">
        <v>259</v>
      </c>
      <c r="G43" s="15" t="s">
        <v>186</v>
      </c>
      <c r="H43" s="15">
        <v>6</v>
      </c>
      <c r="I43" s="9" t="s">
        <v>22</v>
      </c>
      <c r="J43" s="15" t="s">
        <v>375</v>
      </c>
      <c r="K43" s="18">
        <v>55170000</v>
      </c>
      <c r="L43" s="18"/>
      <c r="M43" s="18"/>
      <c r="N43" s="18">
        <v>30</v>
      </c>
      <c r="O43" s="18">
        <v>30</v>
      </c>
      <c r="P43" s="18">
        <v>30</v>
      </c>
      <c r="Q43" s="18">
        <v>10</v>
      </c>
      <c r="R43" s="18"/>
      <c r="S43" s="18"/>
      <c r="T43" s="18"/>
      <c r="U43" s="18"/>
    </row>
    <row r="44" spans="4:21" x14ac:dyDescent="0.25">
      <c r="D44" s="9" t="s">
        <v>4</v>
      </c>
      <c r="E44" s="9" t="s">
        <v>9</v>
      </c>
      <c r="F44" s="15" t="s">
        <v>259</v>
      </c>
      <c r="G44" s="15" t="s">
        <v>186</v>
      </c>
      <c r="H44" s="15">
        <v>7</v>
      </c>
      <c r="I44" s="9" t="s">
        <v>22</v>
      </c>
      <c r="J44" s="15" t="s">
        <v>375</v>
      </c>
      <c r="K44" s="18">
        <v>61070000</v>
      </c>
      <c r="L44" s="18"/>
      <c r="M44" s="18"/>
      <c r="N44" s="18">
        <v>30</v>
      </c>
      <c r="O44" s="18">
        <v>30</v>
      </c>
      <c r="P44" s="18">
        <v>30</v>
      </c>
      <c r="Q44" s="18">
        <v>10</v>
      </c>
      <c r="R44" s="18"/>
      <c r="S44" s="18"/>
      <c r="T44" s="18"/>
      <c r="U44" s="18"/>
    </row>
    <row r="45" spans="4:21" x14ac:dyDescent="0.25">
      <c r="D45" s="9" t="s">
        <v>4</v>
      </c>
      <c r="E45" s="9" t="s">
        <v>9</v>
      </c>
      <c r="F45" s="15" t="s">
        <v>259</v>
      </c>
      <c r="G45" s="15" t="s">
        <v>186</v>
      </c>
      <c r="H45" s="15">
        <v>8</v>
      </c>
      <c r="I45" s="9" t="s">
        <v>22</v>
      </c>
      <c r="J45" s="15" t="s">
        <v>375</v>
      </c>
      <c r="K45" s="18">
        <v>67090000</v>
      </c>
      <c r="L45" s="18"/>
      <c r="M45" s="18"/>
      <c r="N45" s="18">
        <v>30</v>
      </c>
      <c r="O45" s="18">
        <v>30</v>
      </c>
      <c r="P45" s="18">
        <v>30</v>
      </c>
      <c r="Q45" s="18">
        <v>10</v>
      </c>
      <c r="R45" s="18"/>
      <c r="S45" s="18"/>
      <c r="T45" s="18"/>
      <c r="U45" s="18"/>
    </row>
    <row r="46" spans="4:21" x14ac:dyDescent="0.25">
      <c r="D46" s="9" t="s">
        <v>4</v>
      </c>
      <c r="E46" s="9" t="s">
        <v>9</v>
      </c>
      <c r="F46" s="15" t="s">
        <v>259</v>
      </c>
      <c r="G46" s="15" t="s">
        <v>186</v>
      </c>
      <c r="H46" s="15">
        <v>9</v>
      </c>
      <c r="I46" s="9" t="s">
        <v>22</v>
      </c>
      <c r="J46" s="15" t="s">
        <v>375</v>
      </c>
      <c r="K46" s="18">
        <v>70630000</v>
      </c>
      <c r="L46" s="18"/>
      <c r="M46" s="18"/>
      <c r="N46" s="18">
        <v>30</v>
      </c>
      <c r="O46" s="18">
        <v>30</v>
      </c>
      <c r="P46" s="18">
        <v>30</v>
      </c>
      <c r="Q46" s="18">
        <v>10</v>
      </c>
      <c r="R46" s="18"/>
      <c r="S46" s="18"/>
      <c r="T46" s="18"/>
      <c r="U46" s="18"/>
    </row>
    <row r="47" spans="4:21" x14ac:dyDescent="0.25">
      <c r="D47" s="9" t="s">
        <v>4</v>
      </c>
      <c r="E47" s="9" t="s">
        <v>9</v>
      </c>
      <c r="F47" s="15" t="s">
        <v>259</v>
      </c>
      <c r="G47" s="15" t="s">
        <v>186</v>
      </c>
      <c r="H47" s="15">
        <v>10</v>
      </c>
      <c r="I47" s="9" t="s">
        <v>22</v>
      </c>
      <c r="J47" s="15" t="s">
        <v>375</v>
      </c>
      <c r="K47" s="18">
        <v>74900000</v>
      </c>
      <c r="L47" s="18"/>
      <c r="M47" s="18"/>
      <c r="N47" s="18">
        <v>30</v>
      </c>
      <c r="O47" s="18">
        <v>30</v>
      </c>
      <c r="P47" s="18">
        <v>30</v>
      </c>
      <c r="Q47" s="18">
        <v>10</v>
      </c>
      <c r="R47" s="18"/>
      <c r="S47" s="18"/>
      <c r="T47" s="18"/>
      <c r="U47" s="18"/>
    </row>
    <row r="48" spans="4:21" x14ac:dyDescent="0.25">
      <c r="D48" s="9" t="s">
        <v>10</v>
      </c>
      <c r="E48" s="9" t="s">
        <v>9</v>
      </c>
      <c r="F48" s="15" t="s">
        <v>259</v>
      </c>
      <c r="G48" s="15" t="s">
        <v>186</v>
      </c>
      <c r="H48" s="15">
        <v>2</v>
      </c>
      <c r="I48" s="9" t="s">
        <v>22</v>
      </c>
      <c r="J48" s="15" t="s">
        <v>375</v>
      </c>
      <c r="K48" s="18">
        <v>20170000</v>
      </c>
      <c r="L48" s="18"/>
      <c r="M48" s="18"/>
      <c r="N48" s="18">
        <v>30</v>
      </c>
      <c r="O48" s="18">
        <v>30</v>
      </c>
      <c r="P48" s="18">
        <v>30</v>
      </c>
      <c r="Q48" s="18">
        <v>10</v>
      </c>
      <c r="R48" s="18"/>
      <c r="S48" s="18"/>
      <c r="T48" s="18"/>
      <c r="U48" s="18"/>
    </row>
    <row r="49" spans="4:21" x14ac:dyDescent="0.25">
      <c r="D49" s="9" t="s">
        <v>10</v>
      </c>
      <c r="E49" s="9" t="s">
        <v>9</v>
      </c>
      <c r="F49" s="15" t="s">
        <v>259</v>
      </c>
      <c r="G49" s="15" t="s">
        <v>186</v>
      </c>
      <c r="H49" s="15">
        <v>3</v>
      </c>
      <c r="I49" s="9" t="s">
        <v>22</v>
      </c>
      <c r="J49" s="15" t="s">
        <v>375</v>
      </c>
      <c r="K49" s="18">
        <v>29160000</v>
      </c>
      <c r="L49" s="18"/>
      <c r="M49" s="18"/>
      <c r="N49" s="18">
        <v>30</v>
      </c>
      <c r="O49" s="18">
        <v>30</v>
      </c>
      <c r="P49" s="18">
        <v>30</v>
      </c>
      <c r="Q49" s="18">
        <v>10</v>
      </c>
      <c r="R49" s="18"/>
      <c r="S49" s="18"/>
      <c r="T49" s="18"/>
      <c r="U49" s="18"/>
    </row>
    <row r="50" spans="4:21" x14ac:dyDescent="0.25">
      <c r="D50" s="9" t="s">
        <v>10</v>
      </c>
      <c r="E50" s="9" t="s">
        <v>9</v>
      </c>
      <c r="F50" s="15" t="s">
        <v>259</v>
      </c>
      <c r="G50" s="15" t="s">
        <v>186</v>
      </c>
      <c r="H50" s="15">
        <v>4</v>
      </c>
      <c r="I50" s="9" t="s">
        <v>22</v>
      </c>
      <c r="J50" s="15" t="s">
        <v>375</v>
      </c>
      <c r="K50" s="18">
        <v>33100000</v>
      </c>
      <c r="L50" s="18"/>
      <c r="M50" s="18"/>
      <c r="N50" s="18">
        <v>30</v>
      </c>
      <c r="O50" s="18">
        <v>30</v>
      </c>
      <c r="P50" s="18">
        <v>30</v>
      </c>
      <c r="Q50" s="18">
        <v>10</v>
      </c>
      <c r="R50" s="18"/>
      <c r="S50" s="18"/>
      <c r="T50" s="18"/>
      <c r="U50" s="18"/>
    </row>
    <row r="51" spans="4:21" x14ac:dyDescent="0.25">
      <c r="D51" s="9" t="s">
        <v>90</v>
      </c>
      <c r="E51" s="9" t="s">
        <v>3</v>
      </c>
      <c r="F51" s="15" t="s">
        <v>259</v>
      </c>
      <c r="G51" s="15" t="s">
        <v>186</v>
      </c>
      <c r="H51" s="15">
        <v>2</v>
      </c>
      <c r="I51" s="9" t="s">
        <v>22</v>
      </c>
      <c r="J51" s="15" t="s">
        <v>375</v>
      </c>
      <c r="K51" s="18">
        <v>17930000</v>
      </c>
      <c r="L51" s="9"/>
      <c r="M51" s="9"/>
      <c r="N51" s="9">
        <v>30</v>
      </c>
      <c r="O51" s="9">
        <v>30</v>
      </c>
      <c r="P51" s="9">
        <v>30</v>
      </c>
      <c r="Q51" s="9">
        <v>10</v>
      </c>
      <c r="R51" s="9"/>
      <c r="S51" s="9"/>
      <c r="T51" s="9"/>
      <c r="U51" s="9"/>
    </row>
    <row r="52" spans="4:21" x14ac:dyDescent="0.25">
      <c r="D52" s="9" t="s">
        <v>90</v>
      </c>
      <c r="E52" s="9" t="s">
        <v>3</v>
      </c>
      <c r="F52" s="15" t="s">
        <v>259</v>
      </c>
      <c r="G52" s="15" t="s">
        <v>186</v>
      </c>
      <c r="H52" s="15">
        <v>3</v>
      </c>
      <c r="I52" s="9" t="s">
        <v>22</v>
      </c>
      <c r="J52" s="15" t="s">
        <v>375</v>
      </c>
      <c r="K52" s="18">
        <v>22000000</v>
      </c>
      <c r="L52" s="9"/>
      <c r="M52" s="9"/>
      <c r="N52" s="9">
        <v>30</v>
      </c>
      <c r="O52" s="9">
        <v>30</v>
      </c>
      <c r="P52" s="9">
        <v>30</v>
      </c>
      <c r="Q52" s="9">
        <v>10</v>
      </c>
      <c r="R52" s="9"/>
      <c r="S52" s="9"/>
      <c r="T52" s="9"/>
      <c r="U52" s="9"/>
    </row>
    <row r="53" spans="4:21" x14ac:dyDescent="0.25">
      <c r="D53" s="9" t="s">
        <v>90</v>
      </c>
      <c r="E53" s="9" t="s">
        <v>3</v>
      </c>
      <c r="F53" s="15" t="s">
        <v>259</v>
      </c>
      <c r="G53" s="15" t="s">
        <v>186</v>
      </c>
      <c r="H53" s="15">
        <v>4</v>
      </c>
      <c r="I53" s="9" t="s">
        <v>22</v>
      </c>
      <c r="J53" s="15" t="s">
        <v>375</v>
      </c>
      <c r="K53" s="18">
        <v>25920000</v>
      </c>
      <c r="L53" s="9"/>
      <c r="M53" s="9"/>
      <c r="N53" s="9">
        <v>30</v>
      </c>
      <c r="O53" s="9">
        <v>30</v>
      </c>
      <c r="P53" s="9">
        <v>30</v>
      </c>
      <c r="Q53" s="9">
        <v>10</v>
      </c>
      <c r="R53" s="9"/>
      <c r="S53" s="9"/>
      <c r="T53" s="9"/>
      <c r="U53" s="9"/>
    </row>
    <row r="54" spans="4:21" x14ac:dyDescent="0.25">
      <c r="D54" s="9" t="s">
        <v>90</v>
      </c>
      <c r="E54" s="9" t="s">
        <v>3</v>
      </c>
      <c r="F54" s="15" t="s">
        <v>259</v>
      </c>
      <c r="G54" s="15" t="s">
        <v>186</v>
      </c>
      <c r="H54" s="15">
        <v>5</v>
      </c>
      <c r="I54" s="9" t="s">
        <v>22</v>
      </c>
      <c r="J54" s="15" t="s">
        <v>375</v>
      </c>
      <c r="K54" s="18">
        <v>25920000</v>
      </c>
      <c r="L54" s="9"/>
      <c r="M54" s="9"/>
      <c r="N54" s="9">
        <v>30</v>
      </c>
      <c r="O54" s="9">
        <v>30</v>
      </c>
      <c r="P54" s="9">
        <v>30</v>
      </c>
      <c r="Q54" s="9">
        <v>10</v>
      </c>
      <c r="R54" s="9"/>
      <c r="S54" s="9"/>
      <c r="T54" s="9"/>
      <c r="U54" s="9"/>
    </row>
    <row r="55" spans="4:21" x14ac:dyDescent="0.25">
      <c r="D55" s="9" t="s">
        <v>90</v>
      </c>
      <c r="E55" s="9" t="s">
        <v>3</v>
      </c>
      <c r="F55" s="15" t="s">
        <v>259</v>
      </c>
      <c r="G55" s="15" t="s">
        <v>186</v>
      </c>
      <c r="H55" s="15">
        <v>6</v>
      </c>
      <c r="I55" s="9" t="s">
        <v>22</v>
      </c>
      <c r="J55" s="15" t="s">
        <v>375</v>
      </c>
      <c r="K55" s="18">
        <v>29430000</v>
      </c>
      <c r="L55" s="9"/>
      <c r="M55" s="9"/>
      <c r="N55" s="9">
        <v>30</v>
      </c>
      <c r="O55" s="9">
        <v>30</v>
      </c>
      <c r="P55" s="9">
        <v>30</v>
      </c>
      <c r="Q55" s="9">
        <v>10</v>
      </c>
      <c r="R55" s="9"/>
      <c r="S55" s="9"/>
      <c r="T55" s="9"/>
      <c r="U55" s="9"/>
    </row>
    <row r="56" spans="4:21" x14ac:dyDescent="0.25">
      <c r="D56" s="9" t="s">
        <v>9</v>
      </c>
      <c r="E56" s="9" t="s">
        <v>90</v>
      </c>
      <c r="F56" s="15" t="s">
        <v>259</v>
      </c>
      <c r="G56" s="15" t="s">
        <v>186</v>
      </c>
      <c r="H56" s="15">
        <v>3</v>
      </c>
      <c r="I56" s="9" t="s">
        <v>22</v>
      </c>
      <c r="J56" s="15" t="s">
        <v>375</v>
      </c>
      <c r="K56" s="18">
        <v>68770000</v>
      </c>
      <c r="L56" s="9"/>
      <c r="M56" s="9"/>
      <c r="N56" s="9">
        <v>30</v>
      </c>
      <c r="O56" s="9">
        <v>30</v>
      </c>
      <c r="P56" s="9">
        <v>30</v>
      </c>
      <c r="Q56" s="9">
        <v>10</v>
      </c>
      <c r="R56" s="9"/>
      <c r="S56" s="9"/>
      <c r="T56" s="9"/>
      <c r="U56" s="9"/>
    </row>
    <row r="57" spans="4:21" x14ac:dyDescent="0.25">
      <c r="D57" s="9" t="s">
        <v>9</v>
      </c>
      <c r="E57" s="9" t="s">
        <v>90</v>
      </c>
      <c r="F57" s="15" t="s">
        <v>259</v>
      </c>
      <c r="G57" s="15" t="s">
        <v>186</v>
      </c>
      <c r="H57" s="15">
        <v>4</v>
      </c>
      <c r="I57" s="9" t="s">
        <v>22</v>
      </c>
      <c r="J57" s="15" t="s">
        <v>375</v>
      </c>
      <c r="K57" s="18">
        <v>81000000</v>
      </c>
      <c r="L57" s="9"/>
      <c r="M57" s="9"/>
      <c r="N57" s="9">
        <v>30</v>
      </c>
      <c r="O57" s="9">
        <v>30</v>
      </c>
      <c r="P57" s="9">
        <v>30</v>
      </c>
      <c r="Q57" s="9">
        <v>10</v>
      </c>
      <c r="R57" s="9"/>
      <c r="S57" s="9"/>
      <c r="T57" s="9"/>
      <c r="U57" s="9"/>
    </row>
    <row r="58" spans="4:21" x14ac:dyDescent="0.25">
      <c r="D58" s="9" t="s">
        <v>9</v>
      </c>
      <c r="E58" s="9" t="s">
        <v>90</v>
      </c>
      <c r="F58" s="15" t="s">
        <v>259</v>
      </c>
      <c r="G58" s="15" t="s">
        <v>186</v>
      </c>
      <c r="H58" s="15">
        <v>5</v>
      </c>
      <c r="I58" s="9" t="s">
        <v>22</v>
      </c>
      <c r="J58" s="15" t="s">
        <v>375</v>
      </c>
      <c r="K58" s="18">
        <v>81000000</v>
      </c>
      <c r="L58" s="9"/>
      <c r="M58" s="9"/>
      <c r="N58" s="9">
        <v>30</v>
      </c>
      <c r="O58" s="9">
        <v>30</v>
      </c>
      <c r="P58" s="9">
        <v>30</v>
      </c>
      <c r="Q58" s="9">
        <v>10</v>
      </c>
      <c r="R58" s="9"/>
      <c r="S58" s="9"/>
      <c r="T58" s="9"/>
      <c r="U58" s="9"/>
    </row>
    <row r="59" spans="4:21" x14ac:dyDescent="0.25">
      <c r="D59" s="9" t="s">
        <v>9</v>
      </c>
      <c r="E59" s="9" t="s">
        <v>90</v>
      </c>
      <c r="F59" s="15" t="s">
        <v>259</v>
      </c>
      <c r="G59" s="15" t="s">
        <v>186</v>
      </c>
      <c r="H59" s="15">
        <v>6</v>
      </c>
      <c r="I59" s="9" t="s">
        <v>22</v>
      </c>
      <c r="J59" s="15" t="s">
        <v>375</v>
      </c>
      <c r="K59" s="18">
        <v>92000000</v>
      </c>
      <c r="L59" s="9"/>
      <c r="M59" s="9"/>
      <c r="N59" s="9">
        <v>30</v>
      </c>
      <c r="O59" s="9">
        <v>30</v>
      </c>
      <c r="P59" s="9">
        <v>30</v>
      </c>
      <c r="Q59" s="9">
        <v>10</v>
      </c>
      <c r="R59" s="9"/>
      <c r="S59" s="9"/>
      <c r="T59" s="9"/>
      <c r="U59" s="9"/>
    </row>
    <row r="60" spans="4:21" x14ac:dyDescent="0.25">
      <c r="D60" s="9" t="s">
        <v>9</v>
      </c>
      <c r="E60" s="9" t="s">
        <v>90</v>
      </c>
      <c r="F60" s="15" t="s">
        <v>259</v>
      </c>
      <c r="G60" s="15" t="s">
        <v>186</v>
      </c>
      <c r="H60" s="15">
        <v>7</v>
      </c>
      <c r="I60" s="9" t="s">
        <v>22</v>
      </c>
      <c r="J60" s="15" t="s">
        <v>375</v>
      </c>
      <c r="K60" s="18">
        <v>102000000</v>
      </c>
      <c r="L60" s="9"/>
      <c r="M60" s="9"/>
      <c r="N60" s="9">
        <v>30</v>
      </c>
      <c r="O60" s="9">
        <v>30</v>
      </c>
      <c r="P60" s="9">
        <v>30</v>
      </c>
      <c r="Q60" s="9">
        <v>10</v>
      </c>
      <c r="R60" s="9"/>
      <c r="S60" s="9"/>
      <c r="T60" s="9"/>
      <c r="U60" s="9"/>
    </row>
    <row r="61" spans="4:21" x14ac:dyDescent="0.25">
      <c r="D61" s="9" t="s">
        <v>9</v>
      </c>
      <c r="E61" s="9" t="s">
        <v>90</v>
      </c>
      <c r="F61" s="15" t="s">
        <v>259</v>
      </c>
      <c r="G61" s="15" t="s">
        <v>186</v>
      </c>
      <c r="H61" s="15">
        <v>8</v>
      </c>
      <c r="I61" s="9" t="s">
        <v>22</v>
      </c>
      <c r="J61" s="15" t="s">
        <v>375</v>
      </c>
      <c r="K61" s="18">
        <v>112000000</v>
      </c>
      <c r="L61" s="9"/>
      <c r="M61" s="9"/>
      <c r="N61" s="9">
        <v>30</v>
      </c>
      <c r="O61" s="9">
        <v>30</v>
      </c>
      <c r="P61" s="9">
        <v>30</v>
      </c>
      <c r="Q61" s="9">
        <v>10</v>
      </c>
      <c r="R61" s="9"/>
      <c r="S61" s="9"/>
      <c r="T61" s="9"/>
      <c r="U61" s="9"/>
    </row>
    <row r="62" spans="4:21" x14ac:dyDescent="0.25">
      <c r="D62" s="9" t="s">
        <v>9</v>
      </c>
      <c r="E62" s="9" t="s">
        <v>90</v>
      </c>
      <c r="F62" s="15" t="s">
        <v>259</v>
      </c>
      <c r="G62" s="15" t="s">
        <v>186</v>
      </c>
      <c r="H62" s="15">
        <v>9</v>
      </c>
      <c r="I62" s="9" t="s">
        <v>22</v>
      </c>
      <c r="J62" s="15" t="s">
        <v>375</v>
      </c>
      <c r="K62" s="18">
        <v>117800000</v>
      </c>
      <c r="L62" s="9"/>
      <c r="M62" s="9"/>
      <c r="N62" s="9">
        <v>30</v>
      </c>
      <c r="O62" s="9">
        <v>30</v>
      </c>
      <c r="P62" s="9">
        <v>30</v>
      </c>
      <c r="Q62" s="9">
        <v>10</v>
      </c>
      <c r="R62" s="9"/>
      <c r="S62" s="9"/>
      <c r="T62" s="9"/>
      <c r="U62" s="9"/>
    </row>
    <row r="63" spans="4:21" x14ac:dyDescent="0.25">
      <c r="D63" s="9" t="s">
        <v>9</v>
      </c>
      <c r="E63" s="9" t="s">
        <v>3</v>
      </c>
      <c r="F63" s="15" t="s">
        <v>259</v>
      </c>
      <c r="G63" s="15" t="s">
        <v>186</v>
      </c>
      <c r="H63" s="15">
        <v>3</v>
      </c>
      <c r="I63" s="9" t="s">
        <v>22</v>
      </c>
      <c r="J63" s="15" t="s">
        <v>375</v>
      </c>
      <c r="K63" s="18">
        <v>68770000</v>
      </c>
      <c r="L63" s="9"/>
      <c r="M63" s="9"/>
      <c r="N63" s="9">
        <v>30</v>
      </c>
      <c r="O63" s="9">
        <v>30</v>
      </c>
      <c r="P63" s="9">
        <v>30</v>
      </c>
      <c r="Q63" s="9">
        <v>10</v>
      </c>
      <c r="R63" s="9"/>
      <c r="S63" s="9"/>
      <c r="T63" s="9"/>
      <c r="U63" s="9"/>
    </row>
    <row r="64" spans="4:21" x14ac:dyDescent="0.25">
      <c r="D64" s="9" t="s">
        <v>9</v>
      </c>
      <c r="E64" s="9" t="s">
        <v>3</v>
      </c>
      <c r="F64" s="15" t="s">
        <v>259</v>
      </c>
      <c r="G64" s="15" t="s">
        <v>186</v>
      </c>
      <c r="H64" s="15">
        <v>4</v>
      </c>
      <c r="I64" s="9" t="s">
        <v>22</v>
      </c>
      <c r="J64" s="15" t="s">
        <v>375</v>
      </c>
      <c r="K64" s="18">
        <v>81000000</v>
      </c>
      <c r="L64" s="9"/>
      <c r="M64" s="9"/>
      <c r="N64" s="9">
        <v>30</v>
      </c>
      <c r="O64" s="9">
        <v>30</v>
      </c>
      <c r="P64" s="9">
        <v>30</v>
      </c>
      <c r="Q64" s="9">
        <v>10</v>
      </c>
      <c r="R64" s="9"/>
      <c r="S64" s="9"/>
      <c r="T64" s="9"/>
      <c r="U64" s="9"/>
    </row>
    <row r="65" spans="4:21" x14ac:dyDescent="0.25">
      <c r="D65" s="9" t="s">
        <v>9</v>
      </c>
      <c r="E65" s="9" t="s">
        <v>3</v>
      </c>
      <c r="F65" s="15" t="s">
        <v>259</v>
      </c>
      <c r="G65" s="15" t="s">
        <v>186</v>
      </c>
      <c r="H65" s="15">
        <v>5</v>
      </c>
      <c r="I65" s="9" t="s">
        <v>22</v>
      </c>
      <c r="J65" s="15" t="s">
        <v>375</v>
      </c>
      <c r="K65" s="18">
        <v>81000000</v>
      </c>
      <c r="L65" s="9"/>
      <c r="M65" s="9"/>
      <c r="N65" s="9">
        <v>30</v>
      </c>
      <c r="O65" s="9">
        <v>30</v>
      </c>
      <c r="P65" s="9">
        <v>30</v>
      </c>
      <c r="Q65" s="9">
        <v>10</v>
      </c>
      <c r="R65" s="9"/>
      <c r="S65" s="9"/>
      <c r="T65" s="9"/>
      <c r="U65" s="9"/>
    </row>
    <row r="66" spans="4:21" x14ac:dyDescent="0.25">
      <c r="D66" s="9" t="s">
        <v>9</v>
      </c>
      <c r="E66" s="9" t="s">
        <v>3</v>
      </c>
      <c r="F66" s="15" t="s">
        <v>259</v>
      </c>
      <c r="G66" s="15" t="s">
        <v>186</v>
      </c>
      <c r="H66" s="15">
        <v>6</v>
      </c>
      <c r="I66" s="9" t="s">
        <v>22</v>
      </c>
      <c r="J66" s="15" t="s">
        <v>375</v>
      </c>
      <c r="K66" s="18">
        <v>92000000</v>
      </c>
      <c r="L66" s="9"/>
      <c r="M66" s="9"/>
      <c r="N66" s="9">
        <v>30</v>
      </c>
      <c r="O66" s="9">
        <v>30</v>
      </c>
      <c r="P66" s="9">
        <v>30</v>
      </c>
      <c r="Q66" s="9">
        <v>10</v>
      </c>
      <c r="R66" s="9"/>
      <c r="S66" s="9"/>
      <c r="T66" s="9"/>
      <c r="U66" s="9"/>
    </row>
    <row r="67" spans="4:21" x14ac:dyDescent="0.25">
      <c r="D67" s="9" t="s">
        <v>9</v>
      </c>
      <c r="E67" s="9" t="s">
        <v>3</v>
      </c>
      <c r="F67" s="15" t="s">
        <v>259</v>
      </c>
      <c r="G67" s="15" t="s">
        <v>186</v>
      </c>
      <c r="H67" s="15">
        <v>7</v>
      </c>
      <c r="I67" s="9" t="s">
        <v>22</v>
      </c>
      <c r="J67" s="15" t="s">
        <v>375</v>
      </c>
      <c r="K67" s="18">
        <v>102000000</v>
      </c>
      <c r="L67" s="9"/>
      <c r="M67" s="9"/>
      <c r="N67" s="9">
        <v>30</v>
      </c>
      <c r="O67" s="9">
        <v>30</v>
      </c>
      <c r="P67" s="9">
        <v>30</v>
      </c>
      <c r="Q67" s="9">
        <v>10</v>
      </c>
      <c r="R67" s="9"/>
      <c r="S67" s="9"/>
      <c r="T67" s="9"/>
      <c r="U67" s="9"/>
    </row>
    <row r="68" spans="4:21" x14ac:dyDescent="0.25">
      <c r="D68" s="9" t="s">
        <v>9</v>
      </c>
      <c r="E68" s="9" t="s">
        <v>3</v>
      </c>
      <c r="F68" s="15" t="s">
        <v>259</v>
      </c>
      <c r="G68" s="15" t="s">
        <v>186</v>
      </c>
      <c r="H68" s="15">
        <v>8</v>
      </c>
      <c r="I68" s="9" t="s">
        <v>22</v>
      </c>
      <c r="J68" s="15" t="s">
        <v>375</v>
      </c>
      <c r="K68" s="18">
        <v>112000000</v>
      </c>
      <c r="L68" s="9"/>
      <c r="M68" s="9"/>
      <c r="N68" s="9">
        <v>30</v>
      </c>
      <c r="O68" s="9">
        <v>30</v>
      </c>
      <c r="P68" s="9">
        <v>30</v>
      </c>
      <c r="Q68" s="9">
        <v>10</v>
      </c>
      <c r="R68" s="9"/>
      <c r="S68" s="9"/>
      <c r="T68" s="9"/>
      <c r="U68" s="9"/>
    </row>
    <row r="69" spans="4:21" x14ac:dyDescent="0.25">
      <c r="D69" s="9" t="s">
        <v>9</v>
      </c>
      <c r="E69" s="9" t="s">
        <v>3</v>
      </c>
      <c r="F69" s="15" t="s">
        <v>259</v>
      </c>
      <c r="G69" s="15" t="s">
        <v>186</v>
      </c>
      <c r="H69" s="15">
        <v>9</v>
      </c>
      <c r="I69" s="9" t="s">
        <v>22</v>
      </c>
      <c r="J69" s="15" t="s">
        <v>375</v>
      </c>
      <c r="K69" s="18">
        <v>117800000</v>
      </c>
      <c r="L69" s="9"/>
      <c r="M69" s="9"/>
      <c r="N69" s="9">
        <v>30</v>
      </c>
      <c r="O69" s="9">
        <v>30</v>
      </c>
      <c r="P69" s="9">
        <v>30</v>
      </c>
      <c r="Q69" s="9">
        <v>10</v>
      </c>
      <c r="R69" s="9"/>
      <c r="S69" s="9"/>
      <c r="T69" s="9"/>
      <c r="U69" s="9"/>
    </row>
    <row r="70" spans="4:21" x14ac:dyDescent="0.25">
      <c r="D70" s="9" t="s">
        <v>90</v>
      </c>
      <c r="E70" s="9" t="s">
        <v>26</v>
      </c>
      <c r="F70" s="15" t="s">
        <v>259</v>
      </c>
      <c r="G70" s="15" t="s">
        <v>186</v>
      </c>
      <c r="H70" s="15">
        <v>2</v>
      </c>
      <c r="I70" s="9" t="s">
        <v>22</v>
      </c>
      <c r="J70" s="15" t="s">
        <v>375</v>
      </c>
      <c r="K70" s="18">
        <v>71730000</v>
      </c>
      <c r="L70" s="9"/>
      <c r="M70" s="9"/>
      <c r="N70" s="9">
        <v>30</v>
      </c>
      <c r="O70" s="9">
        <v>30</v>
      </c>
      <c r="P70" s="9">
        <v>30</v>
      </c>
      <c r="Q70" s="9">
        <v>10</v>
      </c>
      <c r="R70" s="9"/>
      <c r="S70" s="9"/>
      <c r="T70" s="9"/>
      <c r="U70" s="9"/>
    </row>
    <row r="71" spans="4:21" x14ac:dyDescent="0.25">
      <c r="D71" s="9" t="s">
        <v>90</v>
      </c>
      <c r="E71" s="9" t="s">
        <v>26</v>
      </c>
      <c r="F71" s="15" t="s">
        <v>259</v>
      </c>
      <c r="G71" s="15" t="s">
        <v>186</v>
      </c>
      <c r="H71" s="15">
        <v>3</v>
      </c>
      <c r="I71" s="9" t="s">
        <v>22</v>
      </c>
      <c r="J71" s="15" t="s">
        <v>375</v>
      </c>
      <c r="K71" s="18">
        <v>88030000</v>
      </c>
      <c r="L71" s="9"/>
      <c r="M71" s="9"/>
      <c r="N71" s="9">
        <v>30</v>
      </c>
      <c r="O71" s="9">
        <v>30</v>
      </c>
      <c r="P71" s="9">
        <v>30</v>
      </c>
      <c r="Q71" s="9">
        <v>10</v>
      </c>
      <c r="R71" s="9"/>
      <c r="S71" s="9"/>
      <c r="T71" s="9"/>
      <c r="U71" s="9"/>
    </row>
    <row r="72" spans="4:21" x14ac:dyDescent="0.25">
      <c r="D72" s="9" t="s">
        <v>90</v>
      </c>
      <c r="E72" s="9" t="s">
        <v>26</v>
      </c>
      <c r="F72" s="15" t="s">
        <v>259</v>
      </c>
      <c r="G72" s="15" t="s">
        <v>186</v>
      </c>
      <c r="H72" s="15">
        <v>4</v>
      </c>
      <c r="I72" s="9" t="s">
        <v>22</v>
      </c>
      <c r="J72" s="15" t="s">
        <v>375</v>
      </c>
      <c r="K72" s="18">
        <v>103700000</v>
      </c>
      <c r="L72" s="9"/>
      <c r="M72" s="9"/>
      <c r="N72" s="9">
        <v>30</v>
      </c>
      <c r="O72" s="9">
        <v>30</v>
      </c>
      <c r="P72" s="9">
        <v>30</v>
      </c>
      <c r="Q72" s="9">
        <v>10</v>
      </c>
      <c r="R72" s="9"/>
      <c r="S72" s="9"/>
      <c r="T72" s="9"/>
      <c r="U72" s="9"/>
    </row>
    <row r="73" spans="4:21" x14ac:dyDescent="0.25">
      <c r="D73" s="9" t="s">
        <v>90</v>
      </c>
      <c r="E73" s="9" t="s">
        <v>26</v>
      </c>
      <c r="F73" s="15" t="s">
        <v>259</v>
      </c>
      <c r="G73" s="15" t="s">
        <v>186</v>
      </c>
      <c r="H73" s="15">
        <v>5</v>
      </c>
      <c r="I73" s="9" t="s">
        <v>22</v>
      </c>
      <c r="J73" s="15" t="s">
        <v>375</v>
      </c>
      <c r="K73" s="18">
        <v>103700000</v>
      </c>
      <c r="L73" s="9"/>
      <c r="M73" s="9"/>
      <c r="N73" s="9">
        <v>30</v>
      </c>
      <c r="O73" s="9">
        <v>30</v>
      </c>
      <c r="P73" s="9">
        <v>30</v>
      </c>
      <c r="Q73" s="9">
        <v>10</v>
      </c>
      <c r="R73" s="9"/>
      <c r="S73" s="9"/>
      <c r="T73" s="9"/>
      <c r="U73" s="9"/>
    </row>
    <row r="74" spans="4:21" ht="15.75" thickBot="1" x14ac:dyDescent="0.3">
      <c r="D74" s="10" t="s">
        <v>90</v>
      </c>
      <c r="E74" s="10" t="s">
        <v>26</v>
      </c>
      <c r="F74" s="16" t="s">
        <v>259</v>
      </c>
      <c r="G74" s="16" t="s">
        <v>186</v>
      </c>
      <c r="H74" s="16">
        <v>6</v>
      </c>
      <c r="I74" s="10" t="s">
        <v>22</v>
      </c>
      <c r="J74" s="10" t="s">
        <v>375</v>
      </c>
      <c r="K74" s="46">
        <v>117700000</v>
      </c>
      <c r="L74" s="10"/>
      <c r="M74" s="10"/>
      <c r="N74" s="10">
        <v>30</v>
      </c>
      <c r="O74" s="10">
        <v>30</v>
      </c>
      <c r="P74" s="10">
        <v>30</v>
      </c>
      <c r="Q74" s="10">
        <v>10</v>
      </c>
      <c r="R74" s="10"/>
      <c r="S74" s="10"/>
      <c r="T74" s="10"/>
      <c r="U74" s="10"/>
    </row>
  </sheetData>
  <dataValidations count="4">
    <dataValidation type="list" allowBlank="1" showInputMessage="1" showErrorMessage="1" sqref="D5:E74">
      <formula1>Location</formula1>
    </dataValidation>
    <dataValidation type="list" allowBlank="1" showInputMessage="1" showErrorMessage="1" sqref="I5:I74">
      <formula1>LogisticsCapex</formula1>
    </dataValidation>
    <dataValidation type="list" allowBlank="1" showInputMessage="1" showErrorMessage="1" sqref="J5:J74">
      <formula1>Currency</formula1>
    </dataValidation>
    <dataValidation type="list" allowBlank="1" showInputMessage="1" showErrorMessage="1" sqref="F5:F74">
      <formula1>LogisticsMethod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&gt;&gt;&gt;'!$F$5:$F$39</xm:f>
          </x14:formula1>
          <xm:sqref>G5:G74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34</vt:i4>
      </vt:variant>
    </vt:vector>
  </HeadingPairs>
  <TitlesOfParts>
    <vt:vector size="69" baseType="lpstr">
      <vt:lpstr>Home</vt:lpstr>
      <vt:lpstr>SP</vt:lpstr>
      <vt:lpstr>Raw materials</vt:lpstr>
      <vt:lpstr>Conversion matrix</vt:lpstr>
      <vt:lpstr>Common dict</vt:lpstr>
      <vt:lpstr>MINING &gt;&gt;&gt;</vt:lpstr>
      <vt:lpstr>MINING options</vt:lpstr>
      <vt:lpstr>MINING production</vt:lpstr>
      <vt:lpstr>MINING opex</vt:lpstr>
      <vt:lpstr>MINING capex</vt:lpstr>
      <vt:lpstr>Connection matrix Mine2Benef</vt:lpstr>
      <vt:lpstr>Beneficiation &gt;&gt;&gt;</vt:lpstr>
      <vt:lpstr>Beneficiation options</vt:lpstr>
      <vt:lpstr>Beneficiation production</vt:lpstr>
      <vt:lpstr>Beneficiation opex</vt:lpstr>
      <vt:lpstr>Beneficiation capex</vt:lpstr>
      <vt:lpstr>SAP &gt;&gt;&gt;</vt:lpstr>
      <vt:lpstr>SAP options</vt:lpstr>
      <vt:lpstr>SAP production</vt:lpstr>
      <vt:lpstr>SAP opex</vt:lpstr>
      <vt:lpstr>SAP capex</vt:lpstr>
      <vt:lpstr>PAP &gt;&gt;&gt;</vt:lpstr>
      <vt:lpstr>PAP options</vt:lpstr>
      <vt:lpstr>PAP production</vt:lpstr>
      <vt:lpstr>PAP opex</vt:lpstr>
      <vt:lpstr>PAP capex</vt:lpstr>
      <vt:lpstr>Granulation &gt;&gt;&gt;</vt:lpstr>
      <vt:lpstr>Granulation options</vt:lpstr>
      <vt:lpstr>Granulation production</vt:lpstr>
      <vt:lpstr>Granulation opex</vt:lpstr>
      <vt:lpstr>Granulation capex</vt:lpstr>
      <vt:lpstr>Logistics &gt;&gt;&gt;</vt:lpstr>
      <vt:lpstr>Logistics options</vt:lpstr>
      <vt:lpstr>Logistics opex</vt:lpstr>
      <vt:lpstr>Logistics capex</vt:lpstr>
      <vt:lpstr>BeneficiationNames</vt:lpstr>
      <vt:lpstr>BeneficiationProcess</vt:lpstr>
      <vt:lpstr>Currency</vt:lpstr>
      <vt:lpstr>db</vt:lpstr>
      <vt:lpstr>ds_host</vt:lpstr>
      <vt:lpstr>ds_port</vt:lpstr>
      <vt:lpstr>ENTITIES</vt:lpstr>
      <vt:lpstr>GranulationOptionsCapacity</vt:lpstr>
      <vt:lpstr>GranulCapacities</vt:lpstr>
      <vt:lpstr>GranulInputs</vt:lpstr>
      <vt:lpstr>'Conversion matrix'!GranulProcess</vt:lpstr>
      <vt:lpstr>GranulProcess</vt:lpstr>
      <vt:lpstr>GranulProducts</vt:lpstr>
      <vt:lpstr>Location</vt:lpstr>
      <vt:lpstr>LogisticCapacity</vt:lpstr>
      <vt:lpstr>LogisticsCapex</vt:lpstr>
      <vt:lpstr>'Conversion matrix'!LogisticsMethod</vt:lpstr>
      <vt:lpstr>LogisticsMethod</vt:lpstr>
      <vt:lpstr>MineCapex</vt:lpstr>
      <vt:lpstr>MineMoniker</vt:lpstr>
      <vt:lpstr>MineName</vt:lpstr>
      <vt:lpstr>MineProcess</vt:lpstr>
      <vt:lpstr>MineQuality</vt:lpstr>
      <vt:lpstr>Names</vt:lpstr>
      <vt:lpstr>OPEX</vt:lpstr>
      <vt:lpstr>PAPInputs</vt:lpstr>
      <vt:lpstr>PAPOptionsName</vt:lpstr>
      <vt:lpstr>PAPProducts</vt:lpstr>
      <vt:lpstr>Products</vt:lpstr>
      <vt:lpstr>ProductType</vt:lpstr>
      <vt:lpstr>SAPOptionsCapacity</vt:lpstr>
      <vt:lpstr>SAPOptionsLocation</vt:lpstr>
      <vt:lpstr>SAPOptionsProcess</vt:lpstr>
      <vt:lpstr>Unit</vt:lpstr>
    </vt:vector>
  </TitlesOfParts>
  <Company>OCP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WAJIH</dc:creator>
  <cp:lastModifiedBy>AKKOUH Mohammed mahdi</cp:lastModifiedBy>
  <cp:lastPrinted>2019-09-24T08:45:31Z</cp:lastPrinted>
  <dcterms:created xsi:type="dcterms:W3CDTF">2019-06-13T15:12:33Z</dcterms:created>
  <dcterms:modified xsi:type="dcterms:W3CDTF">2019-12-04T09:07:03Z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c397b57f-ea46-4c0f-b2ed-9facaac9fbba</vt:lpwstr>
  </property>
</Properties>
</file>