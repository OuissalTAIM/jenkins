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1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2.xml" ContentType="application/vnd.openxmlformats-officedocument.spreadsheetml.comment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14820" windowHeight="7125" tabRatio="801" firstSheet="24" activeTab="34"/>
  </bookViews>
  <sheets>
    <sheet name="Home" sheetId="34" r:id="rId1"/>
    <sheet name="SP" sheetId="37" r:id="rId2"/>
    <sheet name="Raw materials" sheetId="36" r:id="rId3"/>
    <sheet name="Conversion matrix" sheetId="69" r:id="rId4"/>
    <sheet name="Common dict" sheetId="28" r:id="rId5"/>
    <sheet name="MINING &gt;&gt;&gt;" sheetId="1" r:id="rId6"/>
    <sheet name="MINING options" sheetId="3" r:id="rId7"/>
    <sheet name="MINING production" sheetId="5" r:id="rId8"/>
    <sheet name="MINING opex" sheetId="4" r:id="rId9"/>
    <sheet name="MINING capex" sheetId="6" r:id="rId10"/>
    <sheet name="Connection matrix Mine2Benef" sheetId="67" r:id="rId11"/>
    <sheet name="Beneficiation &gt;&gt;&gt;" sheetId="62" r:id="rId12"/>
    <sheet name="Beneficiation options" sheetId="63" r:id="rId13"/>
    <sheet name="Beneficiation production" sheetId="64" r:id="rId14"/>
    <sheet name="Beneficiation opex" sheetId="65" r:id="rId15"/>
    <sheet name="Beneficiation capex" sheetId="66" r:id="rId16"/>
    <sheet name="SAP &gt;&gt;&gt;" sheetId="29" r:id="rId17"/>
    <sheet name="SAP options" sheetId="30" r:id="rId18"/>
    <sheet name="SAP production" sheetId="31" r:id="rId19"/>
    <sheet name="SAP opex" sheetId="32" r:id="rId20"/>
    <sheet name="SAP capex" sheetId="33" r:id="rId21"/>
    <sheet name="PAP &gt;&gt;&gt;" sheetId="39" r:id="rId22"/>
    <sheet name="PAP options" sheetId="40" r:id="rId23"/>
    <sheet name="PAP production" sheetId="41" r:id="rId24"/>
    <sheet name="PAP opex" sheetId="42" r:id="rId25"/>
    <sheet name="PAP capex" sheetId="43" r:id="rId26"/>
    <sheet name="Granulation &gt;&gt;&gt;" sheetId="44" r:id="rId27"/>
    <sheet name="Granulation options" sheetId="45" r:id="rId28"/>
    <sheet name="Granulation production" sheetId="46" r:id="rId29"/>
    <sheet name="Granulation opex" sheetId="47" r:id="rId30"/>
    <sheet name="Granulation capex" sheetId="48" r:id="rId31"/>
    <sheet name="Logistics &gt;&gt;&gt;" sheetId="49" r:id="rId32"/>
    <sheet name="Logistics options" sheetId="50" r:id="rId33"/>
    <sheet name="Logistics opex" sheetId="51" r:id="rId34"/>
    <sheet name="Logistics capex" sheetId="52" r:id="rId35"/>
  </sheets>
  <functionGroups builtInGroupCount="18"/>
  <externalReferences>
    <externalReference r:id="rId36"/>
    <externalReference r:id="rId37"/>
    <externalReference r:id="rId38"/>
  </externalReferences>
  <definedNames>
    <definedName name="_xlnm._FilterDatabase" localSheetId="29" hidden="1">'Granulation opex'!$D$4:$U$214</definedName>
    <definedName name="BeneficiationNames" localSheetId="3">'[1]Beneficiation &gt;&gt;&gt;'!$D$5:$D$40</definedName>
    <definedName name="BeneficiationNames">'Beneficiation &gt;&gt;&gt;'!$D$5:$D$40</definedName>
    <definedName name="BeneficiationProcess" localSheetId="3">'[1]Beneficiation &gt;&gt;&gt;'!$F$5:$F$40</definedName>
    <definedName name="BeneficiationProcess">'Beneficiation &gt;&gt;&gt;'!$F$5:$F$40</definedName>
    <definedName name="Currency" localSheetId="3">'[1]Common dict'!$J$5:$J$40</definedName>
    <definedName name="Currency">'Common dict'!$J$5:$J$40</definedName>
    <definedName name="db">Home!$M$24</definedName>
    <definedName name="ds_host">Home!$M$26</definedName>
    <definedName name="ds_port">Home!$M$27</definedName>
    <definedName name="ENTITIES">'Common dict'!$R$5:$W$40</definedName>
    <definedName name="GranulationCapex" localSheetId="10">#REF!</definedName>
    <definedName name="GranulationCapex" localSheetId="3">#REF!</definedName>
    <definedName name="GranulationCapex" localSheetId="1">#REF!</definedName>
    <definedName name="GranulationCapex">#REF!</definedName>
    <definedName name="GranulationINPUT" localSheetId="10">#REF!</definedName>
    <definedName name="GranulationINPUT" localSheetId="3">#REF!</definedName>
    <definedName name="GranulationINPUT" localSheetId="1">#REF!</definedName>
    <definedName name="GranulationINPUT">#REF!</definedName>
    <definedName name="GranulationMoniker" localSheetId="10">#REF!</definedName>
    <definedName name="GranulationMoniker" localSheetId="3">#REF!</definedName>
    <definedName name="GranulationMoniker" localSheetId="1">#REF!</definedName>
    <definedName name="GranulationMoniker">#REF!</definedName>
    <definedName name="GranulationName" localSheetId="10">#REF!</definedName>
    <definedName name="GranulationName" localSheetId="3">#REF!</definedName>
    <definedName name="GranulationName" localSheetId="1">#REF!</definedName>
    <definedName name="GranulationName">#REF!</definedName>
    <definedName name="GranulationOptionsCapacity">'Granulation options'!$G$5:$G$46</definedName>
    <definedName name="GranulationProcess" localSheetId="10">#REF!</definedName>
    <definedName name="GranulationProcess" localSheetId="3">#REF!</definedName>
    <definedName name="GranulationProcess" localSheetId="1">#REF!</definedName>
    <definedName name="GranulationProcess">#REF!</definedName>
    <definedName name="GranulationProduct" localSheetId="10">#REF!</definedName>
    <definedName name="GranulationProduct" localSheetId="3">#REF!</definedName>
    <definedName name="GranulationProduct" localSheetId="1">#REF!</definedName>
    <definedName name="GranulationProduct">#REF!</definedName>
    <definedName name="GranulCapacities" localSheetId="3">'[1]Granulation &gt;&gt;&gt;'!$N$5:$N$40</definedName>
    <definedName name="GranulCapacities">'Granulation &gt;&gt;&gt;'!$N$5:$N$40</definedName>
    <definedName name="GranulInputs" localSheetId="3">'[2]Granulation &gt;&gt;&gt;'!$L$5:$L$40</definedName>
    <definedName name="GranulInputs">'Granulation &gt;&gt;&gt;'!$L$5:$L$40</definedName>
    <definedName name="GranulProcess" localSheetId="3">'Granulation &gt;&gt;&gt;'!$F$5:$F$40</definedName>
    <definedName name="GranulProcess">'Granulation &gt;&gt;&gt;'!$F$5:$F$40</definedName>
    <definedName name="GranulProducts" localSheetId="3">'[1]Granulation &gt;&gt;&gt;'!$H$5:$H$40</definedName>
    <definedName name="GranulProducts">'Granulation &gt;&gt;&gt;'!$H$5:$H$40</definedName>
    <definedName name="Location" localSheetId="3">'[1]Common dict'!$D$5:$D$40</definedName>
    <definedName name="Location">'Common dict'!$D$5:$D$40</definedName>
    <definedName name="LogisticCapacity">'Logistics options'!$I$5:$I$17</definedName>
    <definedName name="LogisticsCapex" localSheetId="3">#REF!</definedName>
    <definedName name="LogisticsCapex" localSheetId="1">#REF!</definedName>
    <definedName name="LogisticsCapex">'Logistics &gt;&gt;&gt;'!$H$5:$H$40</definedName>
    <definedName name="LogisticsMethod" localSheetId="3">'Logistics &gt;&gt;&gt;'!$D$5:$D$40</definedName>
    <definedName name="LogisticsMethod">'Logistics &gt;&gt;&gt;'!$D$5:$D$40</definedName>
    <definedName name="LogisticsMoniker" localSheetId="10">#REF!</definedName>
    <definedName name="LogisticsMoniker" localSheetId="3">#REF!</definedName>
    <definedName name="LogisticsMoniker" localSheetId="1">#REF!</definedName>
    <definedName name="LogisticsMoniker">#REF!</definedName>
    <definedName name="LogisticsName" localSheetId="10">#REF!</definedName>
    <definedName name="LogisticsName" localSheetId="3">#REF!</definedName>
    <definedName name="LogisticsName" localSheetId="1">#REF!</definedName>
    <definedName name="LogisticsName">#REF!</definedName>
    <definedName name="LogisticsProcess" localSheetId="10">#REF!</definedName>
    <definedName name="LogisticsProcess" localSheetId="3">#REF!</definedName>
    <definedName name="LogisticsProcess" localSheetId="1">#REF!</definedName>
    <definedName name="LogisticsProcess">#REF!</definedName>
    <definedName name="LogisticsProduct" localSheetId="10">#REF!</definedName>
    <definedName name="LogisticsProduct" localSheetId="3">#REF!</definedName>
    <definedName name="LogisticsProduct" localSheetId="1">#REF!</definedName>
    <definedName name="LogisticsProduct">#REF!</definedName>
    <definedName name="MineCapex">'MINING &gt;&gt;&gt;'!$J$5:$J$40</definedName>
    <definedName name="MineMoniker">'MINING options'!$L$9:$L$44</definedName>
    <definedName name="MineName" localSheetId="3">'[1]MINING &gt;&gt;&gt;'!$D$5:$D$40</definedName>
    <definedName name="MineName">'MINING &gt;&gt;&gt;'!$D$5:$D$40</definedName>
    <definedName name="MineProcess" localSheetId="3">'[1]MINING &gt;&gt;&gt;'!$F$5:$F$40</definedName>
    <definedName name="MineProcess">'MINING &gt;&gt;&gt;'!$F$5:$F$40</definedName>
    <definedName name="MineQuality" localSheetId="3">'[1]MINING &gt;&gt;&gt;'!$H$5:$H$40</definedName>
    <definedName name="MineQuality">'MINING &gt;&gt;&gt;'!$H$5:$H$40</definedName>
    <definedName name="Names" localSheetId="3">'[1]Common dict'!$N$5:$N$40</definedName>
    <definedName name="Names">'Common dict'!$N$5:$N$40</definedName>
    <definedName name="OPEX" localSheetId="3">'[1]Common dict'!$F$5:$F$40</definedName>
    <definedName name="OPEX">'Common dict'!$F$5:$F$40</definedName>
    <definedName name="PAPCapex" localSheetId="10">#REF!</definedName>
    <definedName name="PAPCapex" localSheetId="3">#REF!</definedName>
    <definedName name="PAPCapex" localSheetId="1">#REF!</definedName>
    <definedName name="PAPCapex">#REF!</definedName>
    <definedName name="PAPInput" localSheetId="10">#REF!</definedName>
    <definedName name="PAPInput" localSheetId="3">#REF!</definedName>
    <definedName name="PAPInput" localSheetId="1">#REF!</definedName>
    <definedName name="PAPInput">#REF!</definedName>
    <definedName name="PAPInputs" localSheetId="3">'[1]PAP &gt;&gt;&gt;'!$O$5:$O$40</definedName>
    <definedName name="PAPInputs">'PAP &gt;&gt;&gt;'!$O$5:$O$40</definedName>
    <definedName name="PAPMoniker" localSheetId="10">#REF!</definedName>
    <definedName name="PAPMoniker" localSheetId="3">#REF!</definedName>
    <definedName name="PAPMoniker" localSheetId="1">#REF!</definedName>
    <definedName name="PAPMoniker">#REF!</definedName>
    <definedName name="PAPName" localSheetId="10">#REF!</definedName>
    <definedName name="PAPName" localSheetId="3">#REF!</definedName>
    <definedName name="PAPName" localSheetId="1">#REF!</definedName>
    <definedName name="PAPName">#REF!</definedName>
    <definedName name="PAPOptionsCapacity">'[3]PAP options'!$G$5:$G$57</definedName>
    <definedName name="PAPOptionsLocation">'[3]PAP options'!$D$5:$D$57</definedName>
    <definedName name="PAPOptionsName">'PAP options'!$E$5:$E$25</definedName>
    <definedName name="PAPOptionsProcess">'[3]PAP options'!$F$5:$F$57</definedName>
    <definedName name="PAPProcess" localSheetId="10">#REF!</definedName>
    <definedName name="PAPProcess" localSheetId="3">#REF!</definedName>
    <definedName name="PAPProcess" localSheetId="1">#REF!</definedName>
    <definedName name="PAPProcess">#REF!</definedName>
    <definedName name="PAPProduct" localSheetId="10">#REF!</definedName>
    <definedName name="PAPProduct" localSheetId="3">#REF!</definedName>
    <definedName name="PAPProduct" localSheetId="1">#REF!</definedName>
    <definedName name="PAPProduct">#REF!</definedName>
    <definedName name="PAPProducts" localSheetId="3">'[1]PAP &gt;&gt;&gt;'!$H$5:$H$40</definedName>
    <definedName name="PAPProducts">'PAP &gt;&gt;&gt;'!$H$5:$H$40</definedName>
    <definedName name="PAPSize" localSheetId="10">#REF!</definedName>
    <definedName name="PAPSize" localSheetId="3">#REF!</definedName>
    <definedName name="PAPSize" localSheetId="1">#REF!</definedName>
    <definedName name="PAPSize">#REF!</definedName>
    <definedName name="PortActions" localSheetId="10">#REF!</definedName>
    <definedName name="PortActions" localSheetId="3">#REF!</definedName>
    <definedName name="PortActions" localSheetId="1">#REF!</definedName>
    <definedName name="PortActions">#REF!</definedName>
    <definedName name="PortCapacity">#REF!</definedName>
    <definedName name="PortCAPEX" localSheetId="10">#REF!</definedName>
    <definedName name="PortCAPEX" localSheetId="3">#REF!</definedName>
    <definedName name="PortCAPEX" localSheetId="1">#REF!</definedName>
    <definedName name="PortCAPEX">#REF!</definedName>
    <definedName name="PortMoniker" localSheetId="10">#REF!</definedName>
    <definedName name="PortMoniker" localSheetId="3">#REF!</definedName>
    <definedName name="PortMoniker" localSheetId="1">#REF!</definedName>
    <definedName name="PortMoniker">#REF!</definedName>
    <definedName name="PortNames" localSheetId="10">#REF!</definedName>
    <definedName name="PortNames" localSheetId="3">#REF!</definedName>
    <definedName name="PortNames" localSheetId="1">#REF!</definedName>
    <definedName name="PortNames">#REF!</definedName>
    <definedName name="PortProducts" localSheetId="10">#REF!</definedName>
    <definedName name="PortProducts" localSheetId="3">#REF!</definedName>
    <definedName name="PortProducts" localSheetId="1">#REF!</definedName>
    <definedName name="PortProducts">#REF!</definedName>
    <definedName name="Products" localSheetId="3">'[1]Common dict'!$P$5:$P$39</definedName>
    <definedName name="Products">'Common dict'!$P$5:$P$39</definedName>
    <definedName name="ProductType" localSheetId="3">'[1]Common dict'!$L$5:$L$40</definedName>
    <definedName name="ProductType">'Common dict'!$L$5:$L$40</definedName>
    <definedName name="SAPCapex" localSheetId="10">#REF!</definedName>
    <definedName name="SAPCapex" localSheetId="3">#REF!</definedName>
    <definedName name="SAPCapex" localSheetId="1">#REF!</definedName>
    <definedName name="SAPCapex">#REF!</definedName>
    <definedName name="SAPMoniker" localSheetId="10">#REF!</definedName>
    <definedName name="SAPMoniker" localSheetId="3">#REF!</definedName>
    <definedName name="SAPMoniker" localSheetId="1">#REF!</definedName>
    <definedName name="SAPMoniker">#REF!</definedName>
    <definedName name="SAPName" localSheetId="10">#REF!</definedName>
    <definedName name="SAPName" localSheetId="3">#REF!</definedName>
    <definedName name="SAPName" localSheetId="1">#REF!</definedName>
    <definedName name="SAPName">#REF!</definedName>
    <definedName name="SAPOptionsCapacity" localSheetId="3">'[1]SAP options'!$G$5:$G$50</definedName>
    <definedName name="SAPOptionsCapacity">'SAP options'!$G$5:$G$38</definedName>
    <definedName name="SAPOptionsLocation" localSheetId="3">'[1]SAP options'!$D$5:$D$50</definedName>
    <definedName name="SAPOptionsLocation">'SAP options'!$D$5:$D$38</definedName>
    <definedName name="SAPOptionsProcess" localSheetId="3">'[1]SAP options'!$F$5:$F$50</definedName>
    <definedName name="SAPOptionsProcess">'SAP options'!$F$5:$F$38</definedName>
    <definedName name="SAPProcess" localSheetId="10">#REF!</definedName>
    <definedName name="SAPProcess" localSheetId="3">#REF!</definedName>
    <definedName name="SAPProcess" localSheetId="1">#REF!</definedName>
    <definedName name="SAPProcess">#REF!</definedName>
    <definedName name="SAPProduct" localSheetId="10">#REF!</definedName>
    <definedName name="SAPProduct" localSheetId="3">#REF!</definedName>
    <definedName name="SAPProduct" localSheetId="1">#REF!</definedName>
    <definedName name="SAPProduct">#REF!</definedName>
    <definedName name="SAPSize" localSheetId="10">#REF!</definedName>
    <definedName name="SAPSize" localSheetId="3">#REF!</definedName>
    <definedName name="SAPSize" localSheetId="1">#REF!</definedName>
    <definedName name="SAPSize">#REF!</definedName>
    <definedName name="Unit" localSheetId="3">'[1]Common dict'!$H$5:$H$40</definedName>
    <definedName name="Unit">'Common dict'!$H$5:$H$41</definedName>
    <definedName name="UpDown" localSheetId="10">#REF!</definedName>
    <definedName name="UpDown" localSheetId="3">#REF!</definedName>
    <definedName name="UpDown" localSheetId="1">'Logistics &gt;&gt;&gt;'!#REF!</definedName>
    <definedName name="UpDown">#REF!</definedName>
    <definedName name="UtilitiesCapex" localSheetId="10">#REF!</definedName>
    <definedName name="UtilitiesCapex" localSheetId="3">#REF!</definedName>
    <definedName name="UtilitiesCapex" localSheetId="1">#REF!</definedName>
    <definedName name="UtilitiesCapex">#REF!</definedName>
    <definedName name="UtilitiesMoniker" localSheetId="10">#REF!</definedName>
    <definedName name="UtilitiesMoniker" localSheetId="3">#REF!</definedName>
    <definedName name="UtilitiesMoniker" localSheetId="1">#REF!</definedName>
    <definedName name="UtilitiesMoniker">#REF!</definedName>
    <definedName name="UtilitiesName" localSheetId="10">#REF!</definedName>
    <definedName name="UtilitiesName" localSheetId="3">#REF!</definedName>
    <definedName name="UtilitiesName" localSheetId="1">#REF!</definedName>
    <definedName name="UtilitiesName">#REF!</definedName>
    <definedName name="UtilitiesOptionsCapacities">#REF!</definedName>
    <definedName name="UtilitiesOptionsTo">#REF!</definedName>
    <definedName name="UtilitiesProcess" localSheetId="10">#REF!</definedName>
    <definedName name="UtilitiesProcess" localSheetId="3">#REF!</definedName>
    <definedName name="UtilitiesProcess" localSheetId="1">#REF!</definedName>
    <definedName name="UtilitiesProcess">#REF!</definedName>
    <definedName name="UtilitiesProduct" localSheetId="10">#REF!</definedName>
    <definedName name="UtilitiesProduct" localSheetId="3">#REF!</definedName>
    <definedName name="UtilitiesProduct" localSheetId="1">#REF!</definedName>
    <definedName name="UtilitiesProduct">#REF!</definedName>
    <definedName name="UtilitiesSources">#REF!</definedName>
    <definedName name="WPCapex" localSheetId="10">#REF!</definedName>
    <definedName name="WPCapex" localSheetId="3">#REF!</definedName>
    <definedName name="WPCapex">#REF!</definedName>
    <definedName name="WPMoniker" localSheetId="10">#REF!</definedName>
    <definedName name="WPMoniker" localSheetId="3">#REF!</definedName>
    <definedName name="WPMoniker">#REF!</definedName>
    <definedName name="WPName" localSheetId="10">#REF!</definedName>
    <definedName name="WPName" localSheetId="3">#REF!</definedName>
    <definedName name="WPName">#REF!</definedName>
    <definedName name="WPProcess" localSheetId="10">#REF!</definedName>
    <definedName name="WPProcess" localSheetId="3">#REF!</definedName>
    <definedName name="WPProcess">#REF!</definedName>
    <definedName name="WPQuality" localSheetId="10">#REF!</definedName>
    <definedName name="WPQuality" localSheetId="3">#REF!</definedName>
    <definedName name="WPQuality">#REF!</definedName>
  </definedNames>
  <calcPr calcId="162913" calcMode="manual" calcOnSave="0"/>
  <fileRecoveryPr repairLoad="1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65" l="1"/>
  <c r="J23" i="65" s="1"/>
  <c r="K23" i="65" s="1"/>
  <c r="L23" i="65" s="1"/>
  <c r="M23" i="65" s="1"/>
  <c r="N23" i="65" s="1"/>
  <c r="O23" i="65" s="1"/>
  <c r="P23" i="65" s="1"/>
  <c r="Q23" i="65" s="1"/>
  <c r="R23" i="65" s="1"/>
  <c r="S23" i="65" s="1"/>
  <c r="J19" i="65"/>
  <c r="K19" i="65" s="1"/>
  <c r="L19" i="65" s="1"/>
  <c r="M19" i="65" s="1"/>
  <c r="N19" i="65" s="1"/>
  <c r="O19" i="65" s="1"/>
  <c r="P19" i="65" s="1"/>
  <c r="Q19" i="65" s="1"/>
  <c r="R19" i="65" s="1"/>
  <c r="S19" i="65" s="1"/>
  <c r="I19" i="65"/>
  <c r="I15" i="65"/>
  <c r="J15" i="65" s="1"/>
  <c r="K15" i="65" s="1"/>
  <c r="L15" i="65" s="1"/>
  <c r="M15" i="65" s="1"/>
  <c r="N15" i="65" s="1"/>
  <c r="O15" i="65" s="1"/>
  <c r="P15" i="65" s="1"/>
  <c r="Q15" i="65" s="1"/>
  <c r="R15" i="65" s="1"/>
  <c r="S15" i="65" s="1"/>
  <c r="I11" i="65"/>
  <c r="J11" i="65" s="1"/>
  <c r="K11" i="65" s="1"/>
  <c r="L11" i="65" s="1"/>
  <c r="M11" i="65" s="1"/>
  <c r="N11" i="65" s="1"/>
  <c r="O11" i="65" s="1"/>
  <c r="P11" i="65" s="1"/>
  <c r="Q11" i="65" s="1"/>
  <c r="R11" i="65" s="1"/>
  <c r="S11" i="65" s="1"/>
  <c r="I8" i="65"/>
  <c r="J8" i="65" s="1"/>
  <c r="K8" i="65" s="1"/>
  <c r="L8" i="65" s="1"/>
  <c r="M8" i="65" s="1"/>
  <c r="N8" i="65" s="1"/>
  <c r="O8" i="65" s="1"/>
  <c r="P8" i="65" s="1"/>
  <c r="Q8" i="65" s="1"/>
  <c r="R8" i="65" s="1"/>
  <c r="S8" i="65" s="1"/>
  <c r="J6" i="65"/>
  <c r="K6" i="65" s="1"/>
  <c r="L6" i="65" s="1"/>
  <c r="M6" i="65" s="1"/>
  <c r="N6" i="65" s="1"/>
  <c r="O6" i="65" s="1"/>
  <c r="P6" i="65" s="1"/>
  <c r="Q6" i="65" s="1"/>
  <c r="R6" i="65" s="1"/>
  <c r="S6" i="65" s="1"/>
  <c r="I6" i="65"/>
  <c r="V24" i="51" l="1"/>
  <c r="K24" i="51" s="1"/>
  <c r="V23" i="51"/>
  <c r="W23" i="51" s="1"/>
  <c r="L23" i="51" s="1"/>
  <c r="V22" i="51"/>
  <c r="K22" i="51" s="1"/>
  <c r="V21" i="51"/>
  <c r="K21" i="51" s="1"/>
  <c r="V20" i="51"/>
  <c r="W20" i="51" s="1"/>
  <c r="V19" i="51"/>
  <c r="K19" i="51" s="1"/>
  <c r="V18" i="51"/>
  <c r="K18" i="51" s="1"/>
  <c r="V17" i="51"/>
  <c r="W17" i="51" s="1"/>
  <c r="L17" i="51" s="1"/>
  <c r="V16" i="51"/>
  <c r="K16" i="51" s="1"/>
  <c r="V15" i="51"/>
  <c r="W15" i="51" s="1"/>
  <c r="L15" i="51" s="1"/>
  <c r="V14" i="51"/>
  <c r="K14" i="51" s="1"/>
  <c r="V13" i="51"/>
  <c r="K13" i="51" s="1"/>
  <c r="V12" i="51"/>
  <c r="W12" i="51" s="1"/>
  <c r="V11" i="51"/>
  <c r="K11" i="51" s="1"/>
  <c r="V10" i="51"/>
  <c r="K10" i="51" s="1"/>
  <c r="V9" i="51"/>
  <c r="W9" i="51" s="1"/>
  <c r="V8" i="51"/>
  <c r="K8" i="51" s="1"/>
  <c r="V7" i="51"/>
  <c r="W7" i="51" s="1"/>
  <c r="L7" i="51" s="1"/>
  <c r="V6" i="51"/>
  <c r="K6" i="51" s="1"/>
  <c r="V5" i="51"/>
  <c r="W5" i="51" s="1"/>
  <c r="L5" i="51" s="1"/>
  <c r="W11" i="51" l="1"/>
  <c r="L11" i="51" s="1"/>
  <c r="K17" i="51"/>
  <c r="W10" i="51"/>
  <c r="L10" i="51" s="1"/>
  <c r="K9" i="51"/>
  <c r="X12" i="51"/>
  <c r="M12" i="51" s="1"/>
  <c r="L12" i="51"/>
  <c r="X9" i="51"/>
  <c r="L9" i="51"/>
  <c r="X20" i="51"/>
  <c r="M20" i="51" s="1"/>
  <c r="L20" i="51"/>
  <c r="X17" i="51"/>
  <c r="K12" i="51"/>
  <c r="K20" i="51"/>
  <c r="K7" i="51"/>
  <c r="K15" i="51"/>
  <c r="K23" i="51"/>
  <c r="W18" i="51"/>
  <c r="L18" i="51" s="1"/>
  <c r="K5" i="51"/>
  <c r="W19" i="51"/>
  <c r="L19" i="51" s="1"/>
  <c r="X15" i="51"/>
  <c r="M15" i="51" s="1"/>
  <c r="X5" i="51"/>
  <c r="M5" i="51" s="1"/>
  <c r="X7" i="51"/>
  <c r="M7" i="51" s="1"/>
  <c r="Y12" i="51"/>
  <c r="N12" i="51" s="1"/>
  <c r="X23" i="51"/>
  <c r="M23" i="51" s="1"/>
  <c r="X10" i="51"/>
  <c r="M10" i="51" s="1"/>
  <c r="W13" i="51"/>
  <c r="L13" i="51" s="1"/>
  <c r="W21" i="51"/>
  <c r="L21" i="51" s="1"/>
  <c r="W8" i="51"/>
  <c r="L8" i="51" s="1"/>
  <c r="W16" i="51"/>
  <c r="L16" i="51" s="1"/>
  <c r="W24" i="51"/>
  <c r="L24" i="51" s="1"/>
  <c r="W6" i="51"/>
  <c r="L6" i="51" s="1"/>
  <c r="X11" i="51"/>
  <c r="M11" i="51" s="1"/>
  <c r="W14" i="51"/>
  <c r="L14" i="51" s="1"/>
  <c r="W22" i="51"/>
  <c r="L22" i="51" s="1"/>
  <c r="Y20" i="51" l="1"/>
  <c r="N20" i="51" s="1"/>
  <c r="X18" i="51"/>
  <c r="M18" i="51" s="1"/>
  <c r="Y17" i="51"/>
  <c r="M17" i="51"/>
  <c r="Y9" i="51"/>
  <c r="M9" i="51"/>
  <c r="X19" i="51"/>
  <c r="M19" i="51" s="1"/>
  <c r="X14" i="51"/>
  <c r="M14" i="51" s="1"/>
  <c r="Y11" i="51"/>
  <c r="N11" i="51" s="1"/>
  <c r="X24" i="51"/>
  <c r="M24" i="51" s="1"/>
  <c r="Y10" i="51"/>
  <c r="N10" i="51" s="1"/>
  <c r="X6" i="51"/>
  <c r="M6" i="51" s="1"/>
  <c r="X16" i="51"/>
  <c r="M16" i="51" s="1"/>
  <c r="Y23" i="51"/>
  <c r="N23" i="51" s="1"/>
  <c r="Y15" i="51"/>
  <c r="N15" i="51" s="1"/>
  <c r="Y5" i="51"/>
  <c r="N5" i="51" s="1"/>
  <c r="X8" i="51"/>
  <c r="M8" i="51" s="1"/>
  <c r="Z20" i="51"/>
  <c r="O20" i="51" s="1"/>
  <c r="X21" i="51"/>
  <c r="M21" i="51" s="1"/>
  <c r="Y7" i="51"/>
  <c r="N7" i="51" s="1"/>
  <c r="X22" i="51"/>
  <c r="M22" i="51" s="1"/>
  <c r="Y18" i="51"/>
  <c r="N18" i="51" s="1"/>
  <c r="Z12" i="51"/>
  <c r="O12" i="51" s="1"/>
  <c r="X13" i="51"/>
  <c r="M13" i="51" s="1"/>
  <c r="N9" i="51" l="1"/>
  <c r="Z9" i="51"/>
  <c r="N17" i="51"/>
  <c r="Z17" i="51"/>
  <c r="Y19" i="51"/>
  <c r="N19" i="51" s="1"/>
  <c r="Z18" i="51"/>
  <c r="O18" i="51" s="1"/>
  <c r="Z15" i="51"/>
  <c r="O15" i="51" s="1"/>
  <c r="Z23" i="51"/>
  <c r="O23" i="51" s="1"/>
  <c r="Y24" i="51"/>
  <c r="N24" i="51" s="1"/>
  <c r="Z10" i="51"/>
  <c r="O10" i="51" s="1"/>
  <c r="Y8" i="51"/>
  <c r="N8" i="51" s="1"/>
  <c r="Y22" i="51"/>
  <c r="N22" i="51" s="1"/>
  <c r="AA20" i="51"/>
  <c r="P20" i="51" s="1"/>
  <c r="Z7" i="51"/>
  <c r="O7" i="51" s="1"/>
  <c r="Y16" i="51"/>
  <c r="N16" i="51" s="1"/>
  <c r="Z11" i="51"/>
  <c r="O11" i="51" s="1"/>
  <c r="Y13" i="51"/>
  <c r="N13" i="51" s="1"/>
  <c r="AA12" i="51"/>
  <c r="P12" i="51" s="1"/>
  <c r="Y21" i="51"/>
  <c r="N21" i="51" s="1"/>
  <c r="Z5" i="51"/>
  <c r="O5" i="51" s="1"/>
  <c r="Y6" i="51"/>
  <c r="N6" i="51" s="1"/>
  <c r="Y14" i="51"/>
  <c r="N14" i="51" s="1"/>
  <c r="Z19" i="51" l="1"/>
  <c r="O19" i="51" s="1"/>
  <c r="O17" i="51"/>
  <c r="AA17" i="51"/>
  <c r="O9" i="51"/>
  <c r="AA9" i="51"/>
  <c r="AB12" i="51"/>
  <c r="Q12" i="51" s="1"/>
  <c r="Z24" i="51"/>
  <c r="O24" i="51" s="1"/>
  <c r="AA11" i="51"/>
  <c r="P11" i="51" s="1"/>
  <c r="Z16" i="51"/>
  <c r="O16" i="51" s="1"/>
  <c r="AA23" i="51"/>
  <c r="P23" i="51" s="1"/>
  <c r="Z6" i="51"/>
  <c r="O6" i="51" s="1"/>
  <c r="AA19" i="51"/>
  <c r="P19" i="51" s="1"/>
  <c r="Z14" i="51"/>
  <c r="O14" i="51" s="1"/>
  <c r="Z22" i="51"/>
  <c r="O22" i="51" s="1"/>
  <c r="AA5" i="51"/>
  <c r="P5" i="51" s="1"/>
  <c r="AA7" i="51"/>
  <c r="P7" i="51" s="1"/>
  <c r="Z8" i="51"/>
  <c r="O8" i="51" s="1"/>
  <c r="AA15" i="51"/>
  <c r="P15" i="51" s="1"/>
  <c r="Z21" i="51"/>
  <c r="O21" i="51" s="1"/>
  <c r="Z13" i="51"/>
  <c r="O13" i="51" s="1"/>
  <c r="AB20" i="51"/>
  <c r="Q20" i="51" s="1"/>
  <c r="AA10" i="51"/>
  <c r="P10" i="51" s="1"/>
  <c r="AA18" i="51"/>
  <c r="P18" i="51" s="1"/>
  <c r="P17" i="51" l="1"/>
  <c r="AB17" i="51"/>
  <c r="P9" i="51"/>
  <c r="AB9" i="51"/>
  <c r="AB11" i="51"/>
  <c r="Q11" i="51" s="1"/>
  <c r="AB5" i="51"/>
  <c r="Q5" i="51" s="1"/>
  <c r="AA6" i="51"/>
  <c r="P6" i="51" s="1"/>
  <c r="AA21" i="51"/>
  <c r="P21" i="51" s="1"/>
  <c r="AB19" i="51"/>
  <c r="Q19" i="51" s="1"/>
  <c r="AB10" i="51"/>
  <c r="Q10" i="51" s="1"/>
  <c r="AC20" i="51"/>
  <c r="R20" i="51" s="1"/>
  <c r="AB23" i="51"/>
  <c r="Q23" i="51" s="1"/>
  <c r="AB7" i="51"/>
  <c r="Q7" i="51" s="1"/>
  <c r="AC12" i="51"/>
  <c r="R12" i="51" s="1"/>
  <c r="AB18" i="51"/>
  <c r="Q18" i="51" s="1"/>
  <c r="AB15" i="51"/>
  <c r="Q15" i="51" s="1"/>
  <c r="AA8" i="51"/>
  <c r="P8" i="51" s="1"/>
  <c r="AA22" i="51"/>
  <c r="P22" i="51" s="1"/>
  <c r="AA24" i="51"/>
  <c r="P24" i="51" s="1"/>
  <c r="AA13" i="51"/>
  <c r="P13" i="51" s="1"/>
  <c r="AA14" i="51"/>
  <c r="P14" i="51" s="1"/>
  <c r="AA16" i="51"/>
  <c r="P16" i="51" s="1"/>
  <c r="Q9" i="51" l="1"/>
  <c r="AC9" i="51"/>
  <c r="Q17" i="51"/>
  <c r="AC17" i="51"/>
  <c r="AB22" i="51"/>
  <c r="Q22" i="51" s="1"/>
  <c r="AC7" i="51"/>
  <c r="R7" i="51" s="1"/>
  <c r="AC19" i="51"/>
  <c r="R19" i="51" s="1"/>
  <c r="AB14" i="51"/>
  <c r="Q14" i="51" s="1"/>
  <c r="AC5" i="51"/>
  <c r="R5" i="51" s="1"/>
  <c r="AC23" i="51"/>
  <c r="R23" i="51" s="1"/>
  <c r="AD20" i="51"/>
  <c r="S20" i="51" s="1"/>
  <c r="AD12" i="51"/>
  <c r="S12" i="51" s="1"/>
  <c r="AB6" i="51"/>
  <c r="Q6" i="51" s="1"/>
  <c r="AB16" i="51"/>
  <c r="Q16" i="51" s="1"/>
  <c r="AC10" i="51"/>
  <c r="R10" i="51" s="1"/>
  <c r="AB8" i="51"/>
  <c r="Q8" i="51" s="1"/>
  <c r="AC15" i="51"/>
  <c r="R15" i="51" s="1"/>
  <c r="AB13" i="51"/>
  <c r="Q13" i="51" s="1"/>
  <c r="AB21" i="51"/>
  <c r="Q21" i="51" s="1"/>
  <c r="AC11" i="51"/>
  <c r="R11" i="51" s="1"/>
  <c r="AB24" i="51"/>
  <c r="Q24" i="51" s="1"/>
  <c r="AC18" i="51"/>
  <c r="R18" i="51" s="1"/>
  <c r="R17" i="51" l="1"/>
  <c r="AD17" i="51"/>
  <c r="R9" i="51"/>
  <c r="AD9" i="51"/>
  <c r="AD18" i="51"/>
  <c r="S18" i="51" s="1"/>
  <c r="AC16" i="51"/>
  <c r="R16" i="51" s="1"/>
  <c r="AC6" i="51"/>
  <c r="R6" i="51" s="1"/>
  <c r="AE20" i="51"/>
  <c r="T20" i="51" s="1"/>
  <c r="AC14" i="51"/>
  <c r="R14" i="51" s="1"/>
  <c r="AC24" i="51"/>
  <c r="R24" i="51" s="1"/>
  <c r="AD11" i="51"/>
  <c r="S11" i="51" s="1"/>
  <c r="AC22" i="51"/>
  <c r="R22" i="51" s="1"/>
  <c r="AC13" i="51"/>
  <c r="R13" i="51" s="1"/>
  <c r="AD19" i="51"/>
  <c r="S19" i="51" s="1"/>
  <c r="AD15" i="51"/>
  <c r="S15" i="51" s="1"/>
  <c r="AC8" i="51"/>
  <c r="R8" i="51" s="1"/>
  <c r="AE12" i="51"/>
  <c r="T12" i="51" s="1"/>
  <c r="AD23" i="51"/>
  <c r="S23" i="51" s="1"/>
  <c r="AD7" i="51"/>
  <c r="S7" i="51" s="1"/>
  <c r="AC21" i="51"/>
  <c r="R21" i="51" s="1"/>
  <c r="AD10" i="51"/>
  <c r="S10" i="51" s="1"/>
  <c r="AD5" i="51"/>
  <c r="S5" i="51" s="1"/>
  <c r="S9" i="51" l="1"/>
  <c r="AE9" i="51"/>
  <c r="S17" i="51"/>
  <c r="AE17" i="51"/>
  <c r="AD22" i="51"/>
  <c r="S22" i="51" s="1"/>
  <c r="AE5" i="51"/>
  <c r="T5" i="51" s="1"/>
  <c r="AF20" i="51"/>
  <c r="U20" i="51" s="1"/>
  <c r="AD6" i="51"/>
  <c r="S6" i="51" s="1"/>
  <c r="AE23" i="51"/>
  <c r="T23" i="51" s="1"/>
  <c r="AE15" i="51"/>
  <c r="T15" i="51" s="1"/>
  <c r="AD16" i="51"/>
  <c r="S16" i="51" s="1"/>
  <c r="AE19" i="51"/>
  <c r="T19" i="51" s="1"/>
  <c r="AF12" i="51"/>
  <c r="U12" i="51" s="1"/>
  <c r="AD8" i="51"/>
  <c r="S8" i="51" s="1"/>
  <c r="AD14" i="51"/>
  <c r="S14" i="51" s="1"/>
  <c r="AE7" i="51"/>
  <c r="T7" i="51" s="1"/>
  <c r="AE11" i="51"/>
  <c r="T11" i="51" s="1"/>
  <c r="AE10" i="51"/>
  <c r="T10" i="51" s="1"/>
  <c r="AD24" i="51"/>
  <c r="S24" i="51" s="1"/>
  <c r="AD21" i="51"/>
  <c r="S21" i="51" s="1"/>
  <c r="AD13" i="51"/>
  <c r="S13" i="51" s="1"/>
  <c r="AE18" i="51"/>
  <c r="T18" i="51" s="1"/>
  <c r="T17" i="51" l="1"/>
  <c r="AF17" i="51"/>
  <c r="U17" i="51" s="1"/>
  <c r="T9" i="51"/>
  <c r="AF9" i="51"/>
  <c r="U9" i="51" s="1"/>
  <c r="AF19" i="51"/>
  <c r="U19" i="51" s="1"/>
  <c r="AE6" i="51"/>
  <c r="T6" i="51" s="1"/>
  <c r="AF7" i="51"/>
  <c r="U7" i="51" s="1"/>
  <c r="AE21" i="51"/>
  <c r="T21" i="51" s="1"/>
  <c r="AE16" i="51"/>
  <c r="T16" i="51" s="1"/>
  <c r="AF18" i="51"/>
  <c r="U18" i="51" s="1"/>
  <c r="AF10" i="51"/>
  <c r="U10" i="51" s="1"/>
  <c r="AE8" i="51"/>
  <c r="T8" i="51" s="1"/>
  <c r="AF5" i="51"/>
  <c r="U5" i="51" s="1"/>
  <c r="AF15" i="51"/>
  <c r="U15" i="51" s="1"/>
  <c r="AE14" i="51"/>
  <c r="T14" i="51" s="1"/>
  <c r="AE13" i="51"/>
  <c r="T13" i="51" s="1"/>
  <c r="AF11" i="51"/>
  <c r="U11" i="51" s="1"/>
  <c r="AE22" i="51"/>
  <c r="T22" i="51" s="1"/>
  <c r="AE24" i="51"/>
  <c r="T24" i="51" s="1"/>
  <c r="AF23" i="51"/>
  <c r="U23" i="51" s="1"/>
  <c r="AF8" i="51" l="1"/>
  <c r="U8" i="51" s="1"/>
  <c r="AF22" i="51"/>
  <c r="U22" i="51" s="1"/>
  <c r="AF6" i="51"/>
  <c r="U6" i="51" s="1"/>
  <c r="AF21" i="51"/>
  <c r="U21" i="51" s="1"/>
  <c r="AF13" i="51"/>
  <c r="U13" i="51" s="1"/>
  <c r="AF24" i="51"/>
  <c r="U24" i="51" s="1"/>
  <c r="AF16" i="51"/>
  <c r="U16" i="51" s="1"/>
  <c r="AF14" i="51"/>
  <c r="U14" i="51" s="1"/>
  <c r="D3" i="51"/>
  <c r="P11" i="50" l="1"/>
  <c r="P12" i="50"/>
  <c r="K24" i="52"/>
  <c r="P18" i="50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K11" i="52" l="1"/>
  <c r="K20" i="52"/>
  <c r="K19" i="52"/>
  <c r="K7" i="52"/>
  <c r="K18" i="52"/>
  <c r="K17" i="52"/>
  <c r="K6" i="52"/>
  <c r="K5" i="52"/>
  <c r="K23" i="52"/>
  <c r="K22" i="52"/>
  <c r="K21" i="52"/>
  <c r="K8" i="52"/>
  <c r="K10" i="52"/>
  <c r="K9" i="52"/>
  <c r="P13" i="50"/>
  <c r="P22" i="50"/>
  <c r="P17" i="50"/>
  <c r="P15" i="50"/>
  <c r="P5" i="50"/>
  <c r="L58" i="47"/>
  <c r="M58" i="47" s="1"/>
  <c r="N58" i="47" s="1"/>
  <c r="O58" i="47" s="1"/>
  <c r="P58" i="47" s="1"/>
  <c r="Q58" i="47" s="1"/>
  <c r="R58" i="47" s="1"/>
  <c r="S58" i="47" s="1"/>
  <c r="T58" i="47" s="1"/>
  <c r="U58" i="47" s="1"/>
  <c r="L59" i="47"/>
  <c r="M59" i="47" s="1"/>
  <c r="N59" i="47" s="1"/>
  <c r="O59" i="47" s="1"/>
  <c r="P59" i="47" s="1"/>
  <c r="Q59" i="47" s="1"/>
  <c r="R59" i="47" s="1"/>
  <c r="S59" i="47" s="1"/>
  <c r="T59" i="47" s="1"/>
  <c r="U59" i="47" s="1"/>
  <c r="L60" i="47"/>
  <c r="M60" i="47" s="1"/>
  <c r="N60" i="47" s="1"/>
  <c r="O60" i="47" s="1"/>
  <c r="P60" i="47" s="1"/>
  <c r="Q60" i="47" s="1"/>
  <c r="R60" i="47" s="1"/>
  <c r="S60" i="47" s="1"/>
  <c r="T60" i="47" s="1"/>
  <c r="U60" i="47" s="1"/>
  <c r="L61" i="47"/>
  <c r="M61" i="47" s="1"/>
  <c r="N61" i="47" s="1"/>
  <c r="O61" i="47" s="1"/>
  <c r="P61" i="47" s="1"/>
  <c r="Q61" i="47" s="1"/>
  <c r="R61" i="47" s="1"/>
  <c r="S61" i="47" s="1"/>
  <c r="T61" i="47" s="1"/>
  <c r="U61" i="47" s="1"/>
  <c r="L62" i="47"/>
  <c r="M62" i="47" s="1"/>
  <c r="N62" i="47" s="1"/>
  <c r="O62" i="47" s="1"/>
  <c r="P62" i="47" s="1"/>
  <c r="Q62" i="47" s="1"/>
  <c r="R62" i="47" s="1"/>
  <c r="S62" i="47" s="1"/>
  <c r="T62" i="47" s="1"/>
  <c r="U62" i="47" s="1"/>
  <c r="L63" i="47"/>
  <c r="M63" i="47" s="1"/>
  <c r="N63" i="47" s="1"/>
  <c r="O63" i="47" s="1"/>
  <c r="P63" i="47" s="1"/>
  <c r="Q63" i="47" s="1"/>
  <c r="R63" i="47" s="1"/>
  <c r="S63" i="47" s="1"/>
  <c r="T63" i="47" s="1"/>
  <c r="U63" i="47" s="1"/>
  <c r="L64" i="47"/>
  <c r="M64" i="47" s="1"/>
  <c r="N64" i="47" s="1"/>
  <c r="O64" i="47" s="1"/>
  <c r="P64" i="47" s="1"/>
  <c r="Q64" i="47" s="1"/>
  <c r="R64" i="47" s="1"/>
  <c r="S64" i="47" s="1"/>
  <c r="T64" i="47" s="1"/>
  <c r="U64" i="47" s="1"/>
  <c r="L65" i="47"/>
  <c r="M65" i="47" s="1"/>
  <c r="N65" i="47" s="1"/>
  <c r="O65" i="47" s="1"/>
  <c r="P65" i="47" s="1"/>
  <c r="Q65" i="47" s="1"/>
  <c r="R65" i="47" s="1"/>
  <c r="S65" i="47" s="1"/>
  <c r="T65" i="47" s="1"/>
  <c r="U65" i="47" s="1"/>
  <c r="L66" i="47"/>
  <c r="M66" i="47" s="1"/>
  <c r="N66" i="47" s="1"/>
  <c r="O66" i="47" s="1"/>
  <c r="P66" i="47" s="1"/>
  <c r="Q66" i="47" s="1"/>
  <c r="R66" i="47" s="1"/>
  <c r="S66" i="47" s="1"/>
  <c r="T66" i="47" s="1"/>
  <c r="U66" i="47" s="1"/>
  <c r="L67" i="47"/>
  <c r="M67" i="47" s="1"/>
  <c r="N67" i="47" s="1"/>
  <c r="O67" i="47" s="1"/>
  <c r="P67" i="47" s="1"/>
  <c r="Q67" i="47" s="1"/>
  <c r="R67" i="47" s="1"/>
  <c r="S67" i="47" s="1"/>
  <c r="T67" i="47" s="1"/>
  <c r="U67" i="47" s="1"/>
  <c r="L68" i="47"/>
  <c r="M68" i="47" s="1"/>
  <c r="N68" i="47" s="1"/>
  <c r="O68" i="47" s="1"/>
  <c r="P68" i="47" s="1"/>
  <c r="Q68" i="47" s="1"/>
  <c r="R68" i="47" s="1"/>
  <c r="S68" i="47" s="1"/>
  <c r="T68" i="47" s="1"/>
  <c r="U68" i="47" s="1"/>
  <c r="L69" i="47"/>
  <c r="M69" i="47" s="1"/>
  <c r="N69" i="47" s="1"/>
  <c r="O69" i="47" s="1"/>
  <c r="P69" i="47" s="1"/>
  <c r="Q69" i="47" s="1"/>
  <c r="R69" i="47" s="1"/>
  <c r="S69" i="47" s="1"/>
  <c r="T69" i="47" s="1"/>
  <c r="U69" i="47" s="1"/>
  <c r="L70" i="47"/>
  <c r="M70" i="47" s="1"/>
  <c r="N70" i="47" s="1"/>
  <c r="O70" i="47" s="1"/>
  <c r="P70" i="47" s="1"/>
  <c r="Q70" i="47" s="1"/>
  <c r="R70" i="47" s="1"/>
  <c r="S70" i="47" s="1"/>
  <c r="T70" i="47" s="1"/>
  <c r="U70" i="47" s="1"/>
  <c r="L71" i="47"/>
  <c r="M71" i="47" s="1"/>
  <c r="N71" i="47" s="1"/>
  <c r="O71" i="47" s="1"/>
  <c r="P71" i="47" s="1"/>
  <c r="Q71" i="47" s="1"/>
  <c r="R71" i="47" s="1"/>
  <c r="S71" i="47" s="1"/>
  <c r="T71" i="47" s="1"/>
  <c r="U71" i="47" s="1"/>
  <c r="L72" i="47"/>
  <c r="M72" i="47" s="1"/>
  <c r="N72" i="47" s="1"/>
  <c r="O72" i="47" s="1"/>
  <c r="P72" i="47" s="1"/>
  <c r="Q72" i="47" s="1"/>
  <c r="R72" i="47" s="1"/>
  <c r="S72" i="47" s="1"/>
  <c r="T72" i="47" s="1"/>
  <c r="U72" i="47" s="1"/>
  <c r="L73" i="47"/>
  <c r="M73" i="47" s="1"/>
  <c r="N73" i="47" s="1"/>
  <c r="O73" i="47" s="1"/>
  <c r="P73" i="47" s="1"/>
  <c r="Q73" i="47" s="1"/>
  <c r="R73" i="47" s="1"/>
  <c r="S73" i="47" s="1"/>
  <c r="T73" i="47" s="1"/>
  <c r="U73" i="47" s="1"/>
  <c r="L74" i="47"/>
  <c r="M74" i="47" s="1"/>
  <c r="N74" i="47" s="1"/>
  <c r="O74" i="47" s="1"/>
  <c r="P74" i="47" s="1"/>
  <c r="Q74" i="47" s="1"/>
  <c r="R74" i="47" s="1"/>
  <c r="S74" i="47" s="1"/>
  <c r="T74" i="47" s="1"/>
  <c r="U74" i="47" s="1"/>
  <c r="L75" i="47"/>
  <c r="M75" i="47" s="1"/>
  <c r="N75" i="47" s="1"/>
  <c r="O75" i="47" s="1"/>
  <c r="P75" i="47" s="1"/>
  <c r="Q75" i="47" s="1"/>
  <c r="R75" i="47" s="1"/>
  <c r="S75" i="47" s="1"/>
  <c r="T75" i="47" s="1"/>
  <c r="U75" i="47" s="1"/>
  <c r="L76" i="47"/>
  <c r="M76" i="47" s="1"/>
  <c r="N76" i="47" s="1"/>
  <c r="O76" i="47" s="1"/>
  <c r="P76" i="47" s="1"/>
  <c r="Q76" i="47" s="1"/>
  <c r="R76" i="47" s="1"/>
  <c r="S76" i="47" s="1"/>
  <c r="T76" i="47" s="1"/>
  <c r="U76" i="47" s="1"/>
  <c r="L77" i="47"/>
  <c r="M77" i="47" s="1"/>
  <c r="N77" i="47" s="1"/>
  <c r="O77" i="47" s="1"/>
  <c r="P77" i="47" s="1"/>
  <c r="Q77" i="47" s="1"/>
  <c r="R77" i="47" s="1"/>
  <c r="S77" i="47" s="1"/>
  <c r="T77" i="47" s="1"/>
  <c r="U77" i="47" s="1"/>
  <c r="L78" i="47"/>
  <c r="M78" i="47" s="1"/>
  <c r="N78" i="47" s="1"/>
  <c r="O78" i="47" s="1"/>
  <c r="P78" i="47" s="1"/>
  <c r="Q78" i="47" s="1"/>
  <c r="R78" i="47" s="1"/>
  <c r="S78" i="47" s="1"/>
  <c r="T78" i="47" s="1"/>
  <c r="U78" i="47" s="1"/>
  <c r="L79" i="47"/>
  <c r="M79" i="47" s="1"/>
  <c r="N79" i="47" s="1"/>
  <c r="O79" i="47" s="1"/>
  <c r="P79" i="47" s="1"/>
  <c r="Q79" i="47" s="1"/>
  <c r="R79" i="47" s="1"/>
  <c r="S79" i="47" s="1"/>
  <c r="T79" i="47" s="1"/>
  <c r="U79" i="47" s="1"/>
  <c r="L80" i="47"/>
  <c r="M80" i="47" s="1"/>
  <c r="N80" i="47" s="1"/>
  <c r="O80" i="47" s="1"/>
  <c r="P80" i="47" s="1"/>
  <c r="Q80" i="47" s="1"/>
  <c r="R80" i="47" s="1"/>
  <c r="S80" i="47" s="1"/>
  <c r="T80" i="47" s="1"/>
  <c r="U80" i="47" s="1"/>
  <c r="L81" i="47"/>
  <c r="M81" i="47" s="1"/>
  <c r="N81" i="47" s="1"/>
  <c r="O81" i="47" s="1"/>
  <c r="P81" i="47" s="1"/>
  <c r="Q81" i="47" s="1"/>
  <c r="R81" i="47" s="1"/>
  <c r="S81" i="47" s="1"/>
  <c r="T81" i="47" s="1"/>
  <c r="U81" i="47" s="1"/>
  <c r="L82" i="47"/>
  <c r="M82" i="47" s="1"/>
  <c r="N82" i="47" s="1"/>
  <c r="O82" i="47" s="1"/>
  <c r="P82" i="47" s="1"/>
  <c r="Q82" i="47" s="1"/>
  <c r="R82" i="47" s="1"/>
  <c r="S82" i="47" s="1"/>
  <c r="T82" i="47" s="1"/>
  <c r="U82" i="47" s="1"/>
  <c r="L83" i="47"/>
  <c r="M83" i="47" s="1"/>
  <c r="N83" i="47" s="1"/>
  <c r="O83" i="47" s="1"/>
  <c r="P83" i="47" s="1"/>
  <c r="Q83" i="47" s="1"/>
  <c r="R83" i="47" s="1"/>
  <c r="S83" i="47" s="1"/>
  <c r="T83" i="47" s="1"/>
  <c r="U83" i="47" s="1"/>
  <c r="L84" i="47"/>
  <c r="M84" i="47" s="1"/>
  <c r="N84" i="47" s="1"/>
  <c r="O84" i="47" s="1"/>
  <c r="P84" i="47" s="1"/>
  <c r="Q84" i="47" s="1"/>
  <c r="R84" i="47" s="1"/>
  <c r="S84" i="47" s="1"/>
  <c r="T84" i="47" s="1"/>
  <c r="U84" i="47" s="1"/>
  <c r="L85" i="47"/>
  <c r="M85" i="47" s="1"/>
  <c r="N85" i="47" s="1"/>
  <c r="O85" i="47" s="1"/>
  <c r="P85" i="47" s="1"/>
  <c r="Q85" i="47" s="1"/>
  <c r="R85" i="47" s="1"/>
  <c r="S85" i="47" s="1"/>
  <c r="T85" i="47" s="1"/>
  <c r="U85" i="47" s="1"/>
  <c r="L86" i="47"/>
  <c r="M86" i="47" s="1"/>
  <c r="N86" i="47" s="1"/>
  <c r="O86" i="47" s="1"/>
  <c r="P86" i="47" s="1"/>
  <c r="Q86" i="47" s="1"/>
  <c r="R86" i="47" s="1"/>
  <c r="S86" i="47" s="1"/>
  <c r="T86" i="47" s="1"/>
  <c r="U86" i="47" s="1"/>
  <c r="L87" i="47"/>
  <c r="M87" i="47" s="1"/>
  <c r="N87" i="47" s="1"/>
  <c r="O87" i="47" s="1"/>
  <c r="P87" i="47" s="1"/>
  <c r="Q87" i="47" s="1"/>
  <c r="R87" i="47" s="1"/>
  <c r="S87" i="47" s="1"/>
  <c r="T87" i="47" s="1"/>
  <c r="U87" i="47" s="1"/>
  <c r="L88" i="47"/>
  <c r="M88" i="47" s="1"/>
  <c r="N88" i="47" s="1"/>
  <c r="O88" i="47" s="1"/>
  <c r="P88" i="47" s="1"/>
  <c r="Q88" i="47" s="1"/>
  <c r="R88" i="47" s="1"/>
  <c r="S88" i="47" s="1"/>
  <c r="T88" i="47" s="1"/>
  <c r="U88" i="47" s="1"/>
  <c r="L89" i="47"/>
  <c r="M89" i="47" s="1"/>
  <c r="N89" i="47" s="1"/>
  <c r="O89" i="47" s="1"/>
  <c r="P89" i="47" s="1"/>
  <c r="Q89" i="47" s="1"/>
  <c r="R89" i="47" s="1"/>
  <c r="S89" i="47" s="1"/>
  <c r="T89" i="47" s="1"/>
  <c r="U89" i="47" s="1"/>
  <c r="L90" i="47"/>
  <c r="M90" i="47" s="1"/>
  <c r="N90" i="47" s="1"/>
  <c r="O90" i="47" s="1"/>
  <c r="P90" i="47" s="1"/>
  <c r="Q90" i="47" s="1"/>
  <c r="R90" i="47" s="1"/>
  <c r="S90" i="47" s="1"/>
  <c r="T90" i="47" s="1"/>
  <c r="U90" i="47" s="1"/>
  <c r="L91" i="47"/>
  <c r="M91" i="47" s="1"/>
  <c r="N91" i="47" s="1"/>
  <c r="O91" i="47" s="1"/>
  <c r="P91" i="47" s="1"/>
  <c r="Q91" i="47" s="1"/>
  <c r="R91" i="47" s="1"/>
  <c r="S91" i="47" s="1"/>
  <c r="T91" i="47" s="1"/>
  <c r="U91" i="47" s="1"/>
  <c r="L92" i="47"/>
  <c r="M92" i="47" s="1"/>
  <c r="N92" i="47" s="1"/>
  <c r="O92" i="47" s="1"/>
  <c r="P92" i="47" s="1"/>
  <c r="Q92" i="47" s="1"/>
  <c r="R92" i="47" s="1"/>
  <c r="S92" i="47" s="1"/>
  <c r="T92" i="47" s="1"/>
  <c r="U92" i="47" s="1"/>
  <c r="L93" i="47"/>
  <c r="M93" i="47" s="1"/>
  <c r="N93" i="47" s="1"/>
  <c r="O93" i="47" s="1"/>
  <c r="P93" i="47" s="1"/>
  <c r="Q93" i="47" s="1"/>
  <c r="R93" i="47" s="1"/>
  <c r="S93" i="47" s="1"/>
  <c r="T93" i="47" s="1"/>
  <c r="U93" i="47" s="1"/>
  <c r="L94" i="47"/>
  <c r="M94" i="47" s="1"/>
  <c r="N94" i="47" s="1"/>
  <c r="O94" i="47" s="1"/>
  <c r="P94" i="47" s="1"/>
  <c r="Q94" i="47" s="1"/>
  <c r="R94" i="47" s="1"/>
  <c r="S94" i="47" s="1"/>
  <c r="T94" i="47" s="1"/>
  <c r="U94" i="47" s="1"/>
  <c r="L95" i="47"/>
  <c r="M95" i="47" s="1"/>
  <c r="N95" i="47" s="1"/>
  <c r="O95" i="47" s="1"/>
  <c r="P95" i="47" s="1"/>
  <c r="Q95" i="47" s="1"/>
  <c r="R95" i="47" s="1"/>
  <c r="S95" i="47" s="1"/>
  <c r="T95" i="47" s="1"/>
  <c r="U95" i="47" s="1"/>
  <c r="L96" i="47"/>
  <c r="M96" i="47" s="1"/>
  <c r="N96" i="47" s="1"/>
  <c r="O96" i="47" s="1"/>
  <c r="P96" i="47" s="1"/>
  <c r="Q96" i="47" s="1"/>
  <c r="R96" i="47" s="1"/>
  <c r="S96" i="47" s="1"/>
  <c r="T96" i="47" s="1"/>
  <c r="U96" i="47" s="1"/>
  <c r="L97" i="47"/>
  <c r="M97" i="47" s="1"/>
  <c r="N97" i="47" s="1"/>
  <c r="O97" i="47" s="1"/>
  <c r="P97" i="47" s="1"/>
  <c r="Q97" i="47" s="1"/>
  <c r="R97" i="47" s="1"/>
  <c r="S97" i="47" s="1"/>
  <c r="T97" i="47" s="1"/>
  <c r="U97" i="47" s="1"/>
  <c r="L98" i="47"/>
  <c r="M98" i="47" s="1"/>
  <c r="N98" i="47" s="1"/>
  <c r="O98" i="47" s="1"/>
  <c r="P98" i="47" s="1"/>
  <c r="Q98" i="47" s="1"/>
  <c r="R98" i="47" s="1"/>
  <c r="S98" i="47" s="1"/>
  <c r="T98" i="47" s="1"/>
  <c r="U98" i="47" s="1"/>
  <c r="L99" i="47"/>
  <c r="M99" i="47" s="1"/>
  <c r="N99" i="47" s="1"/>
  <c r="O99" i="47" s="1"/>
  <c r="P99" i="47" s="1"/>
  <c r="Q99" i="47" s="1"/>
  <c r="R99" i="47" s="1"/>
  <c r="S99" i="47" s="1"/>
  <c r="T99" i="47" s="1"/>
  <c r="U99" i="47" s="1"/>
  <c r="L100" i="47"/>
  <c r="M100" i="47" s="1"/>
  <c r="N100" i="47" s="1"/>
  <c r="O100" i="47" s="1"/>
  <c r="P100" i="47" s="1"/>
  <c r="Q100" i="47" s="1"/>
  <c r="R100" i="47" s="1"/>
  <c r="S100" i="47" s="1"/>
  <c r="T100" i="47" s="1"/>
  <c r="U100" i="47" s="1"/>
  <c r="L101" i="47"/>
  <c r="M101" i="47" s="1"/>
  <c r="N101" i="47" s="1"/>
  <c r="O101" i="47" s="1"/>
  <c r="P101" i="47" s="1"/>
  <c r="Q101" i="47" s="1"/>
  <c r="R101" i="47" s="1"/>
  <c r="S101" i="47" s="1"/>
  <c r="T101" i="47" s="1"/>
  <c r="U101" i="47" s="1"/>
  <c r="L102" i="47"/>
  <c r="M102" i="47" s="1"/>
  <c r="N102" i="47" s="1"/>
  <c r="O102" i="47" s="1"/>
  <c r="P102" i="47" s="1"/>
  <c r="Q102" i="47" s="1"/>
  <c r="R102" i="47" s="1"/>
  <c r="S102" i="47" s="1"/>
  <c r="T102" i="47" s="1"/>
  <c r="U102" i="47" s="1"/>
  <c r="L103" i="47"/>
  <c r="M103" i="47" s="1"/>
  <c r="N103" i="47" s="1"/>
  <c r="O103" i="47" s="1"/>
  <c r="P103" i="47" s="1"/>
  <c r="Q103" i="47" s="1"/>
  <c r="R103" i="47" s="1"/>
  <c r="S103" i="47" s="1"/>
  <c r="T103" i="47" s="1"/>
  <c r="U103" i="47" s="1"/>
  <c r="L104" i="47"/>
  <c r="M104" i="47" s="1"/>
  <c r="N104" i="47" s="1"/>
  <c r="O104" i="47" s="1"/>
  <c r="P104" i="47" s="1"/>
  <c r="Q104" i="47" s="1"/>
  <c r="R104" i="47" s="1"/>
  <c r="S104" i="47" s="1"/>
  <c r="T104" i="47" s="1"/>
  <c r="U104" i="47" s="1"/>
  <c r="L105" i="47"/>
  <c r="M105" i="47" s="1"/>
  <c r="N105" i="47" s="1"/>
  <c r="O105" i="47" s="1"/>
  <c r="P105" i="47" s="1"/>
  <c r="Q105" i="47" s="1"/>
  <c r="R105" i="47" s="1"/>
  <c r="S105" i="47" s="1"/>
  <c r="T105" i="47" s="1"/>
  <c r="U105" i="47" s="1"/>
  <c r="L106" i="47"/>
  <c r="M106" i="47" s="1"/>
  <c r="N106" i="47" s="1"/>
  <c r="O106" i="47" s="1"/>
  <c r="P106" i="47" s="1"/>
  <c r="Q106" i="47" s="1"/>
  <c r="R106" i="47" s="1"/>
  <c r="S106" i="47" s="1"/>
  <c r="T106" i="47" s="1"/>
  <c r="U106" i="47" s="1"/>
  <c r="L107" i="47"/>
  <c r="M107" i="47" s="1"/>
  <c r="N107" i="47" s="1"/>
  <c r="O107" i="47" s="1"/>
  <c r="P107" i="47" s="1"/>
  <c r="Q107" i="47" s="1"/>
  <c r="R107" i="47" s="1"/>
  <c r="S107" i="47" s="1"/>
  <c r="T107" i="47" s="1"/>
  <c r="U107" i="47" s="1"/>
  <c r="L108" i="47"/>
  <c r="M108" i="47" s="1"/>
  <c r="N108" i="47" s="1"/>
  <c r="O108" i="47" s="1"/>
  <c r="P108" i="47" s="1"/>
  <c r="Q108" i="47" s="1"/>
  <c r="R108" i="47" s="1"/>
  <c r="S108" i="47" s="1"/>
  <c r="T108" i="47" s="1"/>
  <c r="U108" i="47" s="1"/>
  <c r="L109" i="47"/>
  <c r="M109" i="47" s="1"/>
  <c r="N109" i="47" s="1"/>
  <c r="O109" i="47" s="1"/>
  <c r="P109" i="47" s="1"/>
  <c r="Q109" i="47" s="1"/>
  <c r="R109" i="47" s="1"/>
  <c r="S109" i="47" s="1"/>
  <c r="T109" i="47" s="1"/>
  <c r="U109" i="47" s="1"/>
  <c r="L110" i="47"/>
  <c r="M110" i="47" s="1"/>
  <c r="N110" i="47" s="1"/>
  <c r="O110" i="47" s="1"/>
  <c r="P110" i="47" s="1"/>
  <c r="Q110" i="47" s="1"/>
  <c r="R110" i="47" s="1"/>
  <c r="S110" i="47" s="1"/>
  <c r="T110" i="47" s="1"/>
  <c r="U110" i="47" s="1"/>
  <c r="L111" i="47"/>
  <c r="M111" i="47" s="1"/>
  <c r="N111" i="47" s="1"/>
  <c r="O111" i="47" s="1"/>
  <c r="P111" i="47" s="1"/>
  <c r="Q111" i="47" s="1"/>
  <c r="R111" i="47" s="1"/>
  <c r="S111" i="47" s="1"/>
  <c r="T111" i="47" s="1"/>
  <c r="U111" i="47" s="1"/>
  <c r="L112" i="47"/>
  <c r="M112" i="47" s="1"/>
  <c r="N112" i="47" s="1"/>
  <c r="O112" i="47" s="1"/>
  <c r="P112" i="47" s="1"/>
  <c r="Q112" i="47" s="1"/>
  <c r="R112" i="47" s="1"/>
  <c r="S112" i="47" s="1"/>
  <c r="T112" i="47" s="1"/>
  <c r="U112" i="47" s="1"/>
  <c r="L113" i="47"/>
  <c r="M113" i="47" s="1"/>
  <c r="N113" i="47" s="1"/>
  <c r="O113" i="47" s="1"/>
  <c r="P113" i="47" s="1"/>
  <c r="Q113" i="47" s="1"/>
  <c r="R113" i="47" s="1"/>
  <c r="S113" i="47" s="1"/>
  <c r="T113" i="47" s="1"/>
  <c r="U113" i="47" s="1"/>
  <c r="L114" i="47"/>
  <c r="M114" i="47" s="1"/>
  <c r="N114" i="47" s="1"/>
  <c r="O114" i="47" s="1"/>
  <c r="P114" i="47" s="1"/>
  <c r="Q114" i="47" s="1"/>
  <c r="R114" i="47" s="1"/>
  <c r="S114" i="47" s="1"/>
  <c r="T114" i="47" s="1"/>
  <c r="U114" i="47" s="1"/>
  <c r="L115" i="47"/>
  <c r="M115" i="47" s="1"/>
  <c r="N115" i="47" s="1"/>
  <c r="O115" i="47" s="1"/>
  <c r="P115" i="47" s="1"/>
  <c r="Q115" i="47" s="1"/>
  <c r="R115" i="47" s="1"/>
  <c r="S115" i="47" s="1"/>
  <c r="T115" i="47" s="1"/>
  <c r="U115" i="47" s="1"/>
  <c r="L116" i="47"/>
  <c r="M116" i="47" s="1"/>
  <c r="N116" i="47" s="1"/>
  <c r="O116" i="47" s="1"/>
  <c r="P116" i="47" s="1"/>
  <c r="Q116" i="47" s="1"/>
  <c r="R116" i="47" s="1"/>
  <c r="S116" i="47" s="1"/>
  <c r="T116" i="47" s="1"/>
  <c r="U116" i="47" s="1"/>
  <c r="L117" i="47"/>
  <c r="M117" i="47" s="1"/>
  <c r="N117" i="47" s="1"/>
  <c r="O117" i="47" s="1"/>
  <c r="P117" i="47" s="1"/>
  <c r="Q117" i="47" s="1"/>
  <c r="R117" i="47" s="1"/>
  <c r="S117" i="47" s="1"/>
  <c r="T117" i="47" s="1"/>
  <c r="U117" i="47" s="1"/>
  <c r="L118" i="47"/>
  <c r="M118" i="47" s="1"/>
  <c r="N118" i="47" s="1"/>
  <c r="O118" i="47" s="1"/>
  <c r="P118" i="47" s="1"/>
  <c r="Q118" i="47" s="1"/>
  <c r="R118" i="47" s="1"/>
  <c r="S118" i="47" s="1"/>
  <c r="T118" i="47" s="1"/>
  <c r="U118" i="47" s="1"/>
  <c r="L119" i="47"/>
  <c r="M119" i="47" s="1"/>
  <c r="N119" i="47" s="1"/>
  <c r="O119" i="47" s="1"/>
  <c r="P119" i="47" s="1"/>
  <c r="Q119" i="47" s="1"/>
  <c r="R119" i="47" s="1"/>
  <c r="S119" i="47" s="1"/>
  <c r="T119" i="47" s="1"/>
  <c r="U119" i="47" s="1"/>
  <c r="L120" i="47"/>
  <c r="M120" i="47" s="1"/>
  <c r="N120" i="47" s="1"/>
  <c r="O120" i="47" s="1"/>
  <c r="P120" i="47" s="1"/>
  <c r="Q120" i="47" s="1"/>
  <c r="R120" i="47" s="1"/>
  <c r="S120" i="47" s="1"/>
  <c r="T120" i="47" s="1"/>
  <c r="U120" i="47" s="1"/>
  <c r="L121" i="47"/>
  <c r="M121" i="47" s="1"/>
  <c r="N121" i="47" s="1"/>
  <c r="O121" i="47" s="1"/>
  <c r="P121" i="47" s="1"/>
  <c r="Q121" i="47" s="1"/>
  <c r="R121" i="47" s="1"/>
  <c r="S121" i="47" s="1"/>
  <c r="T121" i="47" s="1"/>
  <c r="U121" i="47" s="1"/>
  <c r="L122" i="47"/>
  <c r="M122" i="47" s="1"/>
  <c r="N122" i="47" s="1"/>
  <c r="O122" i="47" s="1"/>
  <c r="P122" i="47" s="1"/>
  <c r="Q122" i="47" s="1"/>
  <c r="R122" i="47" s="1"/>
  <c r="S122" i="47" s="1"/>
  <c r="T122" i="47" s="1"/>
  <c r="U122" i="47" s="1"/>
  <c r="L123" i="47"/>
  <c r="M123" i="47" s="1"/>
  <c r="N123" i="47" s="1"/>
  <c r="O123" i="47" s="1"/>
  <c r="P123" i="47" s="1"/>
  <c r="Q123" i="47" s="1"/>
  <c r="R123" i="47" s="1"/>
  <c r="S123" i="47" s="1"/>
  <c r="T123" i="47" s="1"/>
  <c r="U123" i="47" s="1"/>
  <c r="L124" i="47"/>
  <c r="M124" i="47" s="1"/>
  <c r="N124" i="47" s="1"/>
  <c r="O124" i="47" s="1"/>
  <c r="P124" i="47" s="1"/>
  <c r="Q124" i="47" s="1"/>
  <c r="R124" i="47" s="1"/>
  <c r="S124" i="47" s="1"/>
  <c r="T124" i="47" s="1"/>
  <c r="U124" i="47" s="1"/>
  <c r="L125" i="47"/>
  <c r="M125" i="47" s="1"/>
  <c r="N125" i="47" s="1"/>
  <c r="O125" i="47" s="1"/>
  <c r="P125" i="47" s="1"/>
  <c r="Q125" i="47" s="1"/>
  <c r="R125" i="47" s="1"/>
  <c r="S125" i="47" s="1"/>
  <c r="T125" i="47" s="1"/>
  <c r="U125" i="47" s="1"/>
  <c r="L126" i="47"/>
  <c r="M126" i="47" s="1"/>
  <c r="N126" i="47" s="1"/>
  <c r="O126" i="47" s="1"/>
  <c r="P126" i="47" s="1"/>
  <c r="Q126" i="47" s="1"/>
  <c r="R126" i="47" s="1"/>
  <c r="S126" i="47" s="1"/>
  <c r="T126" i="47" s="1"/>
  <c r="U126" i="47" s="1"/>
  <c r="L127" i="47"/>
  <c r="M127" i="47" s="1"/>
  <c r="N127" i="47" s="1"/>
  <c r="O127" i="47" s="1"/>
  <c r="P127" i="47" s="1"/>
  <c r="Q127" i="47" s="1"/>
  <c r="R127" i="47" s="1"/>
  <c r="S127" i="47" s="1"/>
  <c r="T127" i="47" s="1"/>
  <c r="U127" i="47" s="1"/>
  <c r="L128" i="47"/>
  <c r="M128" i="47" s="1"/>
  <c r="N128" i="47" s="1"/>
  <c r="O128" i="47" s="1"/>
  <c r="P128" i="47" s="1"/>
  <c r="Q128" i="47" s="1"/>
  <c r="R128" i="47" s="1"/>
  <c r="S128" i="47" s="1"/>
  <c r="T128" i="47" s="1"/>
  <c r="U128" i="47" s="1"/>
  <c r="L129" i="47"/>
  <c r="M129" i="47" s="1"/>
  <c r="N129" i="47" s="1"/>
  <c r="O129" i="47" s="1"/>
  <c r="P129" i="47" s="1"/>
  <c r="Q129" i="47" s="1"/>
  <c r="R129" i="47" s="1"/>
  <c r="S129" i="47" s="1"/>
  <c r="T129" i="47" s="1"/>
  <c r="U129" i="47" s="1"/>
  <c r="L130" i="47"/>
  <c r="M130" i="47" s="1"/>
  <c r="N130" i="47" s="1"/>
  <c r="O130" i="47" s="1"/>
  <c r="P130" i="47" s="1"/>
  <c r="Q130" i="47" s="1"/>
  <c r="R130" i="47" s="1"/>
  <c r="S130" i="47" s="1"/>
  <c r="T130" i="47" s="1"/>
  <c r="U130" i="47" s="1"/>
  <c r="L131" i="47"/>
  <c r="M131" i="47" s="1"/>
  <c r="N131" i="47" s="1"/>
  <c r="O131" i="47" s="1"/>
  <c r="P131" i="47" s="1"/>
  <c r="Q131" i="47" s="1"/>
  <c r="R131" i="47" s="1"/>
  <c r="S131" i="47" s="1"/>
  <c r="T131" i="47" s="1"/>
  <c r="U131" i="47" s="1"/>
  <c r="L132" i="47"/>
  <c r="M132" i="47" s="1"/>
  <c r="N132" i="47" s="1"/>
  <c r="O132" i="47" s="1"/>
  <c r="P132" i="47" s="1"/>
  <c r="Q132" i="47" s="1"/>
  <c r="R132" i="47" s="1"/>
  <c r="S132" i="47" s="1"/>
  <c r="T132" i="47" s="1"/>
  <c r="U132" i="47" s="1"/>
  <c r="L133" i="47"/>
  <c r="M133" i="47" s="1"/>
  <c r="N133" i="47" s="1"/>
  <c r="O133" i="47" s="1"/>
  <c r="P133" i="47" s="1"/>
  <c r="Q133" i="47" s="1"/>
  <c r="R133" i="47" s="1"/>
  <c r="S133" i="47" s="1"/>
  <c r="T133" i="47" s="1"/>
  <c r="U133" i="47" s="1"/>
  <c r="L134" i="47"/>
  <c r="M134" i="47" s="1"/>
  <c r="N134" i="47" s="1"/>
  <c r="O134" i="47" s="1"/>
  <c r="P134" i="47" s="1"/>
  <c r="Q134" i="47" s="1"/>
  <c r="R134" i="47" s="1"/>
  <c r="S134" i="47" s="1"/>
  <c r="T134" i="47" s="1"/>
  <c r="U134" i="47" s="1"/>
  <c r="L135" i="47"/>
  <c r="M135" i="47" s="1"/>
  <c r="N135" i="47" s="1"/>
  <c r="O135" i="47" s="1"/>
  <c r="P135" i="47" s="1"/>
  <c r="Q135" i="47" s="1"/>
  <c r="R135" i="47" s="1"/>
  <c r="S135" i="47" s="1"/>
  <c r="T135" i="47" s="1"/>
  <c r="U135" i="47" s="1"/>
  <c r="L136" i="47"/>
  <c r="M136" i="47" s="1"/>
  <c r="N136" i="47" s="1"/>
  <c r="O136" i="47" s="1"/>
  <c r="P136" i="47" s="1"/>
  <c r="Q136" i="47" s="1"/>
  <c r="R136" i="47" s="1"/>
  <c r="S136" i="47" s="1"/>
  <c r="T136" i="47" s="1"/>
  <c r="U136" i="47" s="1"/>
  <c r="L137" i="47"/>
  <c r="M137" i="47" s="1"/>
  <c r="N137" i="47" s="1"/>
  <c r="O137" i="47" s="1"/>
  <c r="P137" i="47" s="1"/>
  <c r="Q137" i="47" s="1"/>
  <c r="R137" i="47" s="1"/>
  <c r="S137" i="47" s="1"/>
  <c r="T137" i="47" s="1"/>
  <c r="U137" i="47" s="1"/>
  <c r="L138" i="47"/>
  <c r="M138" i="47" s="1"/>
  <c r="N138" i="47" s="1"/>
  <c r="O138" i="47" s="1"/>
  <c r="P138" i="47" s="1"/>
  <c r="Q138" i="47" s="1"/>
  <c r="R138" i="47" s="1"/>
  <c r="S138" i="47" s="1"/>
  <c r="T138" i="47" s="1"/>
  <c r="U138" i="47" s="1"/>
  <c r="L139" i="47"/>
  <c r="M139" i="47" s="1"/>
  <c r="N139" i="47" s="1"/>
  <c r="O139" i="47" s="1"/>
  <c r="P139" i="47" s="1"/>
  <c r="Q139" i="47" s="1"/>
  <c r="R139" i="47" s="1"/>
  <c r="S139" i="47" s="1"/>
  <c r="T139" i="47" s="1"/>
  <c r="U139" i="47" s="1"/>
  <c r="L140" i="47"/>
  <c r="M140" i="47" s="1"/>
  <c r="N140" i="47" s="1"/>
  <c r="O140" i="47" s="1"/>
  <c r="P140" i="47" s="1"/>
  <c r="Q140" i="47" s="1"/>
  <c r="R140" i="47" s="1"/>
  <c r="S140" i="47" s="1"/>
  <c r="T140" i="47" s="1"/>
  <c r="U140" i="47" s="1"/>
  <c r="L141" i="47"/>
  <c r="M141" i="47" s="1"/>
  <c r="N141" i="47" s="1"/>
  <c r="O141" i="47" s="1"/>
  <c r="P141" i="47" s="1"/>
  <c r="Q141" i="47" s="1"/>
  <c r="R141" i="47" s="1"/>
  <c r="S141" i="47" s="1"/>
  <c r="T141" i="47" s="1"/>
  <c r="U141" i="47" s="1"/>
  <c r="L142" i="47"/>
  <c r="M142" i="47" s="1"/>
  <c r="N142" i="47" s="1"/>
  <c r="O142" i="47" s="1"/>
  <c r="P142" i="47" s="1"/>
  <c r="Q142" i="47" s="1"/>
  <c r="R142" i="47" s="1"/>
  <c r="S142" i="47" s="1"/>
  <c r="T142" i="47" s="1"/>
  <c r="U142" i="47" s="1"/>
  <c r="L143" i="47"/>
  <c r="M143" i="47" s="1"/>
  <c r="N143" i="47" s="1"/>
  <c r="O143" i="47" s="1"/>
  <c r="P143" i="47" s="1"/>
  <c r="Q143" i="47" s="1"/>
  <c r="R143" i="47" s="1"/>
  <c r="S143" i="47" s="1"/>
  <c r="T143" i="47" s="1"/>
  <c r="U143" i="47" s="1"/>
  <c r="L144" i="47"/>
  <c r="M144" i="47" s="1"/>
  <c r="N144" i="47" s="1"/>
  <c r="O144" i="47" s="1"/>
  <c r="P144" i="47" s="1"/>
  <c r="Q144" i="47" s="1"/>
  <c r="R144" i="47" s="1"/>
  <c r="S144" i="47" s="1"/>
  <c r="T144" i="47" s="1"/>
  <c r="U144" i="47" s="1"/>
  <c r="L145" i="47"/>
  <c r="M145" i="47" s="1"/>
  <c r="N145" i="47" s="1"/>
  <c r="O145" i="47" s="1"/>
  <c r="P145" i="47" s="1"/>
  <c r="Q145" i="47" s="1"/>
  <c r="R145" i="47" s="1"/>
  <c r="S145" i="47" s="1"/>
  <c r="T145" i="47" s="1"/>
  <c r="U145" i="47" s="1"/>
  <c r="L146" i="47"/>
  <c r="M146" i="47" s="1"/>
  <c r="N146" i="47" s="1"/>
  <c r="O146" i="47" s="1"/>
  <c r="P146" i="47" s="1"/>
  <c r="Q146" i="47" s="1"/>
  <c r="R146" i="47" s="1"/>
  <c r="S146" i="47" s="1"/>
  <c r="T146" i="47" s="1"/>
  <c r="U146" i="47" s="1"/>
  <c r="L147" i="47"/>
  <c r="M147" i="47" s="1"/>
  <c r="N147" i="47" s="1"/>
  <c r="O147" i="47" s="1"/>
  <c r="P147" i="47" s="1"/>
  <c r="Q147" i="47" s="1"/>
  <c r="R147" i="47" s="1"/>
  <c r="S147" i="47" s="1"/>
  <c r="T147" i="47" s="1"/>
  <c r="U147" i="47" s="1"/>
  <c r="L148" i="47"/>
  <c r="M148" i="47" s="1"/>
  <c r="N148" i="47" s="1"/>
  <c r="O148" i="47" s="1"/>
  <c r="P148" i="47" s="1"/>
  <c r="Q148" i="47" s="1"/>
  <c r="R148" i="47" s="1"/>
  <c r="S148" i="47" s="1"/>
  <c r="T148" i="47" s="1"/>
  <c r="U148" i="47" s="1"/>
  <c r="L149" i="47"/>
  <c r="M149" i="47" s="1"/>
  <c r="N149" i="47" s="1"/>
  <c r="O149" i="47" s="1"/>
  <c r="P149" i="47" s="1"/>
  <c r="Q149" i="47" s="1"/>
  <c r="R149" i="47" s="1"/>
  <c r="S149" i="47" s="1"/>
  <c r="T149" i="47" s="1"/>
  <c r="U149" i="47" s="1"/>
  <c r="L150" i="47"/>
  <c r="M150" i="47" s="1"/>
  <c r="N150" i="47" s="1"/>
  <c r="O150" i="47" s="1"/>
  <c r="P150" i="47" s="1"/>
  <c r="Q150" i="47" s="1"/>
  <c r="R150" i="47" s="1"/>
  <c r="S150" i="47" s="1"/>
  <c r="T150" i="47" s="1"/>
  <c r="U150" i="47" s="1"/>
  <c r="L151" i="47"/>
  <c r="M151" i="47" s="1"/>
  <c r="N151" i="47" s="1"/>
  <c r="O151" i="47" s="1"/>
  <c r="P151" i="47" s="1"/>
  <c r="Q151" i="47" s="1"/>
  <c r="R151" i="47" s="1"/>
  <c r="S151" i="47" s="1"/>
  <c r="T151" i="47" s="1"/>
  <c r="U151" i="47" s="1"/>
  <c r="L152" i="47"/>
  <c r="M152" i="47" s="1"/>
  <c r="N152" i="47" s="1"/>
  <c r="O152" i="47" s="1"/>
  <c r="P152" i="47" s="1"/>
  <c r="Q152" i="47" s="1"/>
  <c r="R152" i="47" s="1"/>
  <c r="S152" i="47" s="1"/>
  <c r="T152" i="47" s="1"/>
  <c r="U152" i="47" s="1"/>
  <c r="L153" i="47"/>
  <c r="M153" i="47" s="1"/>
  <c r="N153" i="47" s="1"/>
  <c r="O153" i="47" s="1"/>
  <c r="P153" i="47" s="1"/>
  <c r="Q153" i="47" s="1"/>
  <c r="R153" i="47" s="1"/>
  <c r="S153" i="47" s="1"/>
  <c r="T153" i="47" s="1"/>
  <c r="U153" i="47" s="1"/>
  <c r="L154" i="47"/>
  <c r="M154" i="47" s="1"/>
  <c r="N154" i="47" s="1"/>
  <c r="O154" i="47" s="1"/>
  <c r="P154" i="47" s="1"/>
  <c r="Q154" i="47" s="1"/>
  <c r="R154" i="47" s="1"/>
  <c r="S154" i="47" s="1"/>
  <c r="T154" i="47" s="1"/>
  <c r="U154" i="47" s="1"/>
  <c r="L155" i="47"/>
  <c r="M155" i="47" s="1"/>
  <c r="N155" i="47" s="1"/>
  <c r="O155" i="47" s="1"/>
  <c r="P155" i="47" s="1"/>
  <c r="Q155" i="47" s="1"/>
  <c r="R155" i="47" s="1"/>
  <c r="S155" i="47" s="1"/>
  <c r="T155" i="47" s="1"/>
  <c r="U155" i="47" s="1"/>
  <c r="L156" i="47"/>
  <c r="M156" i="47" s="1"/>
  <c r="N156" i="47" s="1"/>
  <c r="O156" i="47" s="1"/>
  <c r="P156" i="47" s="1"/>
  <c r="Q156" i="47" s="1"/>
  <c r="R156" i="47" s="1"/>
  <c r="S156" i="47" s="1"/>
  <c r="T156" i="47" s="1"/>
  <c r="U156" i="47" s="1"/>
  <c r="L157" i="47"/>
  <c r="M157" i="47" s="1"/>
  <c r="N157" i="47" s="1"/>
  <c r="O157" i="47" s="1"/>
  <c r="P157" i="47" s="1"/>
  <c r="Q157" i="47" s="1"/>
  <c r="R157" i="47" s="1"/>
  <c r="S157" i="47" s="1"/>
  <c r="T157" i="47" s="1"/>
  <c r="U157" i="47" s="1"/>
  <c r="L158" i="47"/>
  <c r="M158" i="47" s="1"/>
  <c r="N158" i="47" s="1"/>
  <c r="O158" i="47" s="1"/>
  <c r="P158" i="47" s="1"/>
  <c r="Q158" i="47" s="1"/>
  <c r="R158" i="47" s="1"/>
  <c r="S158" i="47" s="1"/>
  <c r="T158" i="47" s="1"/>
  <c r="U158" i="47" s="1"/>
  <c r="L159" i="47"/>
  <c r="M159" i="47" s="1"/>
  <c r="N159" i="47" s="1"/>
  <c r="O159" i="47" s="1"/>
  <c r="P159" i="47" s="1"/>
  <c r="Q159" i="47" s="1"/>
  <c r="R159" i="47" s="1"/>
  <c r="S159" i="47" s="1"/>
  <c r="T159" i="47" s="1"/>
  <c r="U159" i="47" s="1"/>
  <c r="L160" i="47"/>
  <c r="M160" i="47" s="1"/>
  <c r="N160" i="47" s="1"/>
  <c r="O160" i="47" s="1"/>
  <c r="P160" i="47" s="1"/>
  <c r="Q160" i="47" s="1"/>
  <c r="R160" i="47" s="1"/>
  <c r="S160" i="47" s="1"/>
  <c r="T160" i="47" s="1"/>
  <c r="U160" i="47" s="1"/>
  <c r="L161" i="47"/>
  <c r="M161" i="47" s="1"/>
  <c r="N161" i="47" s="1"/>
  <c r="O161" i="47" s="1"/>
  <c r="P161" i="47" s="1"/>
  <c r="Q161" i="47" s="1"/>
  <c r="R161" i="47" s="1"/>
  <c r="S161" i="47" s="1"/>
  <c r="T161" i="47" s="1"/>
  <c r="U161" i="47" s="1"/>
  <c r="L162" i="47"/>
  <c r="M162" i="47" s="1"/>
  <c r="N162" i="47" s="1"/>
  <c r="O162" i="47" s="1"/>
  <c r="P162" i="47" s="1"/>
  <c r="Q162" i="47" s="1"/>
  <c r="R162" i="47" s="1"/>
  <c r="S162" i="47" s="1"/>
  <c r="T162" i="47" s="1"/>
  <c r="U162" i="47" s="1"/>
  <c r="L163" i="47"/>
  <c r="M163" i="47" s="1"/>
  <c r="N163" i="47" s="1"/>
  <c r="O163" i="47" s="1"/>
  <c r="P163" i="47" s="1"/>
  <c r="Q163" i="47" s="1"/>
  <c r="R163" i="47" s="1"/>
  <c r="S163" i="47" s="1"/>
  <c r="T163" i="47" s="1"/>
  <c r="U163" i="47" s="1"/>
  <c r="L164" i="47"/>
  <c r="M164" i="47" s="1"/>
  <c r="N164" i="47" s="1"/>
  <c r="O164" i="47" s="1"/>
  <c r="P164" i="47" s="1"/>
  <c r="Q164" i="47" s="1"/>
  <c r="R164" i="47" s="1"/>
  <c r="S164" i="47" s="1"/>
  <c r="T164" i="47" s="1"/>
  <c r="U164" i="47" s="1"/>
  <c r="L165" i="47"/>
  <c r="M165" i="47" s="1"/>
  <c r="N165" i="47" s="1"/>
  <c r="O165" i="47" s="1"/>
  <c r="P165" i="47" s="1"/>
  <c r="Q165" i="47" s="1"/>
  <c r="R165" i="47" s="1"/>
  <c r="S165" i="47" s="1"/>
  <c r="T165" i="47" s="1"/>
  <c r="U165" i="47" s="1"/>
  <c r="L166" i="47"/>
  <c r="M166" i="47" s="1"/>
  <c r="N166" i="47" s="1"/>
  <c r="O166" i="47" s="1"/>
  <c r="P166" i="47" s="1"/>
  <c r="Q166" i="47" s="1"/>
  <c r="R166" i="47" s="1"/>
  <c r="S166" i="47" s="1"/>
  <c r="T166" i="47" s="1"/>
  <c r="U166" i="47" s="1"/>
  <c r="L167" i="47"/>
  <c r="M167" i="47" s="1"/>
  <c r="N167" i="47" s="1"/>
  <c r="O167" i="47" s="1"/>
  <c r="P167" i="47" s="1"/>
  <c r="Q167" i="47" s="1"/>
  <c r="R167" i="47" s="1"/>
  <c r="S167" i="47" s="1"/>
  <c r="T167" i="47" s="1"/>
  <c r="U167" i="47" s="1"/>
  <c r="L168" i="47"/>
  <c r="M168" i="47" s="1"/>
  <c r="N168" i="47" s="1"/>
  <c r="O168" i="47" s="1"/>
  <c r="P168" i="47" s="1"/>
  <c r="Q168" i="47" s="1"/>
  <c r="R168" i="47" s="1"/>
  <c r="S168" i="47" s="1"/>
  <c r="T168" i="47" s="1"/>
  <c r="U168" i="47" s="1"/>
  <c r="L169" i="47"/>
  <c r="M169" i="47" s="1"/>
  <c r="N169" i="47" s="1"/>
  <c r="O169" i="47" s="1"/>
  <c r="P169" i="47" s="1"/>
  <c r="Q169" i="47" s="1"/>
  <c r="R169" i="47" s="1"/>
  <c r="S169" i="47" s="1"/>
  <c r="T169" i="47" s="1"/>
  <c r="U169" i="47" s="1"/>
  <c r="L170" i="47"/>
  <c r="M170" i="47" s="1"/>
  <c r="N170" i="47" s="1"/>
  <c r="O170" i="47" s="1"/>
  <c r="P170" i="47" s="1"/>
  <c r="Q170" i="47" s="1"/>
  <c r="R170" i="47" s="1"/>
  <c r="S170" i="47" s="1"/>
  <c r="T170" i="47" s="1"/>
  <c r="U170" i="47" s="1"/>
  <c r="L171" i="47"/>
  <c r="M171" i="47" s="1"/>
  <c r="N171" i="47" s="1"/>
  <c r="O171" i="47" s="1"/>
  <c r="P171" i="47" s="1"/>
  <c r="Q171" i="47" s="1"/>
  <c r="R171" i="47" s="1"/>
  <c r="S171" i="47" s="1"/>
  <c r="T171" i="47" s="1"/>
  <c r="U171" i="47" s="1"/>
  <c r="L172" i="47"/>
  <c r="M172" i="47" s="1"/>
  <c r="N172" i="47" s="1"/>
  <c r="O172" i="47" s="1"/>
  <c r="P172" i="47" s="1"/>
  <c r="Q172" i="47" s="1"/>
  <c r="R172" i="47" s="1"/>
  <c r="S172" i="47" s="1"/>
  <c r="T172" i="47" s="1"/>
  <c r="U172" i="47" s="1"/>
  <c r="L173" i="47"/>
  <c r="M173" i="47" s="1"/>
  <c r="N173" i="47" s="1"/>
  <c r="O173" i="47" s="1"/>
  <c r="P173" i="47" s="1"/>
  <c r="Q173" i="47" s="1"/>
  <c r="R173" i="47" s="1"/>
  <c r="S173" i="47" s="1"/>
  <c r="T173" i="47" s="1"/>
  <c r="U173" i="47" s="1"/>
  <c r="L174" i="47"/>
  <c r="M174" i="47" s="1"/>
  <c r="N174" i="47" s="1"/>
  <c r="O174" i="47" s="1"/>
  <c r="P174" i="47" s="1"/>
  <c r="Q174" i="47" s="1"/>
  <c r="R174" i="47" s="1"/>
  <c r="S174" i="47" s="1"/>
  <c r="T174" i="47" s="1"/>
  <c r="U174" i="47" s="1"/>
  <c r="L175" i="47"/>
  <c r="M175" i="47" s="1"/>
  <c r="N175" i="47" s="1"/>
  <c r="O175" i="47" s="1"/>
  <c r="P175" i="47" s="1"/>
  <c r="Q175" i="47" s="1"/>
  <c r="R175" i="47" s="1"/>
  <c r="S175" i="47" s="1"/>
  <c r="T175" i="47" s="1"/>
  <c r="U175" i="47" s="1"/>
  <c r="L176" i="47"/>
  <c r="M176" i="47" s="1"/>
  <c r="N176" i="47" s="1"/>
  <c r="O176" i="47" s="1"/>
  <c r="P176" i="47" s="1"/>
  <c r="Q176" i="47" s="1"/>
  <c r="R176" i="47" s="1"/>
  <c r="S176" i="47" s="1"/>
  <c r="T176" i="47" s="1"/>
  <c r="U176" i="47" s="1"/>
  <c r="L177" i="47"/>
  <c r="M177" i="47" s="1"/>
  <c r="N177" i="47" s="1"/>
  <c r="O177" i="47" s="1"/>
  <c r="P177" i="47" s="1"/>
  <c r="Q177" i="47" s="1"/>
  <c r="R177" i="47" s="1"/>
  <c r="S177" i="47" s="1"/>
  <c r="T177" i="47" s="1"/>
  <c r="U177" i="47" s="1"/>
  <c r="L178" i="47"/>
  <c r="M178" i="47" s="1"/>
  <c r="N178" i="47" s="1"/>
  <c r="O178" i="47" s="1"/>
  <c r="P178" i="47" s="1"/>
  <c r="Q178" i="47" s="1"/>
  <c r="R178" i="47" s="1"/>
  <c r="S178" i="47" s="1"/>
  <c r="T178" i="47" s="1"/>
  <c r="U178" i="47" s="1"/>
  <c r="L179" i="47"/>
  <c r="M179" i="47" s="1"/>
  <c r="N179" i="47" s="1"/>
  <c r="O179" i="47" s="1"/>
  <c r="P179" i="47" s="1"/>
  <c r="Q179" i="47" s="1"/>
  <c r="R179" i="47" s="1"/>
  <c r="S179" i="47" s="1"/>
  <c r="T179" i="47" s="1"/>
  <c r="U179" i="47" s="1"/>
  <c r="L180" i="47"/>
  <c r="M180" i="47" s="1"/>
  <c r="N180" i="47" s="1"/>
  <c r="O180" i="47" s="1"/>
  <c r="P180" i="47" s="1"/>
  <c r="Q180" i="47" s="1"/>
  <c r="R180" i="47" s="1"/>
  <c r="S180" i="47" s="1"/>
  <c r="T180" i="47" s="1"/>
  <c r="U180" i="47" s="1"/>
  <c r="L181" i="47"/>
  <c r="M181" i="47" s="1"/>
  <c r="N181" i="47" s="1"/>
  <c r="O181" i="47" s="1"/>
  <c r="P181" i="47" s="1"/>
  <c r="Q181" i="47" s="1"/>
  <c r="R181" i="47" s="1"/>
  <c r="S181" i="47" s="1"/>
  <c r="T181" i="47" s="1"/>
  <c r="U181" i="47" s="1"/>
  <c r="L182" i="47"/>
  <c r="M182" i="47" s="1"/>
  <c r="N182" i="47" s="1"/>
  <c r="O182" i="47" s="1"/>
  <c r="P182" i="47" s="1"/>
  <c r="Q182" i="47" s="1"/>
  <c r="R182" i="47" s="1"/>
  <c r="S182" i="47" s="1"/>
  <c r="T182" i="47" s="1"/>
  <c r="U182" i="47" s="1"/>
  <c r="L183" i="47"/>
  <c r="M183" i="47" s="1"/>
  <c r="N183" i="47" s="1"/>
  <c r="O183" i="47" s="1"/>
  <c r="P183" i="47" s="1"/>
  <c r="Q183" i="47" s="1"/>
  <c r="R183" i="47" s="1"/>
  <c r="S183" i="47" s="1"/>
  <c r="T183" i="47" s="1"/>
  <c r="U183" i="47" s="1"/>
  <c r="L184" i="47"/>
  <c r="M184" i="47" s="1"/>
  <c r="N184" i="47" s="1"/>
  <c r="O184" i="47" s="1"/>
  <c r="P184" i="47" s="1"/>
  <c r="Q184" i="47" s="1"/>
  <c r="R184" i="47" s="1"/>
  <c r="S184" i="47" s="1"/>
  <c r="T184" i="47" s="1"/>
  <c r="U184" i="47" s="1"/>
  <c r="L34" i="47"/>
  <c r="M34" i="47" s="1"/>
  <c r="N34" i="47" s="1"/>
  <c r="O34" i="47" s="1"/>
  <c r="P34" i="47" s="1"/>
  <c r="Q34" i="47" s="1"/>
  <c r="R34" i="47" s="1"/>
  <c r="S34" i="47" s="1"/>
  <c r="T34" i="47" s="1"/>
  <c r="U34" i="47" s="1"/>
  <c r="L35" i="47"/>
  <c r="M35" i="47" s="1"/>
  <c r="N35" i="47" s="1"/>
  <c r="O35" i="47" s="1"/>
  <c r="P35" i="47" s="1"/>
  <c r="Q35" i="47" s="1"/>
  <c r="R35" i="47" s="1"/>
  <c r="S35" i="47" s="1"/>
  <c r="T35" i="47" s="1"/>
  <c r="U35" i="47" s="1"/>
  <c r="L36" i="47"/>
  <c r="M36" i="47" s="1"/>
  <c r="N36" i="47" s="1"/>
  <c r="O36" i="47" s="1"/>
  <c r="P36" i="47" s="1"/>
  <c r="Q36" i="47" s="1"/>
  <c r="R36" i="47" s="1"/>
  <c r="S36" i="47" s="1"/>
  <c r="T36" i="47" s="1"/>
  <c r="U36" i="47" s="1"/>
  <c r="L37" i="47"/>
  <c r="M37" i="47" s="1"/>
  <c r="N37" i="47" s="1"/>
  <c r="O37" i="47" s="1"/>
  <c r="P37" i="47" s="1"/>
  <c r="Q37" i="47" s="1"/>
  <c r="R37" i="47" s="1"/>
  <c r="S37" i="47" s="1"/>
  <c r="T37" i="47" s="1"/>
  <c r="U37" i="47" s="1"/>
  <c r="L38" i="47"/>
  <c r="M38" i="47" s="1"/>
  <c r="N38" i="47" s="1"/>
  <c r="O38" i="47" s="1"/>
  <c r="P38" i="47" s="1"/>
  <c r="Q38" i="47" s="1"/>
  <c r="R38" i="47" s="1"/>
  <c r="S38" i="47" s="1"/>
  <c r="T38" i="47" s="1"/>
  <c r="U38" i="47" s="1"/>
  <c r="L39" i="47"/>
  <c r="M39" i="47" s="1"/>
  <c r="N39" i="47" s="1"/>
  <c r="O39" i="47" s="1"/>
  <c r="P39" i="47" s="1"/>
  <c r="Q39" i="47" s="1"/>
  <c r="R39" i="47" s="1"/>
  <c r="S39" i="47" s="1"/>
  <c r="T39" i="47" s="1"/>
  <c r="U39" i="47" s="1"/>
  <c r="L40" i="47"/>
  <c r="M40" i="47" s="1"/>
  <c r="N40" i="47" s="1"/>
  <c r="O40" i="47" s="1"/>
  <c r="P40" i="47" s="1"/>
  <c r="Q40" i="47" s="1"/>
  <c r="R40" i="47" s="1"/>
  <c r="S40" i="47" s="1"/>
  <c r="T40" i="47" s="1"/>
  <c r="U40" i="47" s="1"/>
  <c r="L41" i="47"/>
  <c r="M41" i="47" s="1"/>
  <c r="N41" i="47" s="1"/>
  <c r="O41" i="47" s="1"/>
  <c r="P41" i="47" s="1"/>
  <c r="Q41" i="47" s="1"/>
  <c r="R41" i="47" s="1"/>
  <c r="S41" i="47" s="1"/>
  <c r="T41" i="47" s="1"/>
  <c r="U41" i="47" s="1"/>
  <c r="L42" i="47"/>
  <c r="M42" i="47" s="1"/>
  <c r="N42" i="47" s="1"/>
  <c r="O42" i="47" s="1"/>
  <c r="P42" i="47" s="1"/>
  <c r="Q42" i="47" s="1"/>
  <c r="R42" i="47" s="1"/>
  <c r="S42" i="47" s="1"/>
  <c r="T42" i="47" s="1"/>
  <c r="U42" i="47" s="1"/>
  <c r="L43" i="47"/>
  <c r="M43" i="47" s="1"/>
  <c r="N43" i="47" s="1"/>
  <c r="O43" i="47" s="1"/>
  <c r="P43" i="47" s="1"/>
  <c r="Q43" i="47" s="1"/>
  <c r="R43" i="47" s="1"/>
  <c r="S43" i="47" s="1"/>
  <c r="T43" i="47" s="1"/>
  <c r="U43" i="47" s="1"/>
  <c r="L44" i="47"/>
  <c r="M44" i="47" s="1"/>
  <c r="N44" i="47" s="1"/>
  <c r="O44" i="47" s="1"/>
  <c r="P44" i="47" s="1"/>
  <c r="Q44" i="47" s="1"/>
  <c r="R44" i="47" s="1"/>
  <c r="S44" i="47" s="1"/>
  <c r="T44" i="47" s="1"/>
  <c r="U44" i="47" s="1"/>
  <c r="L45" i="47"/>
  <c r="M45" i="47" s="1"/>
  <c r="N45" i="47" s="1"/>
  <c r="O45" i="47" s="1"/>
  <c r="P45" i="47" s="1"/>
  <c r="Q45" i="47" s="1"/>
  <c r="R45" i="47" s="1"/>
  <c r="S45" i="47" s="1"/>
  <c r="T45" i="47" s="1"/>
  <c r="U45" i="47" s="1"/>
  <c r="L46" i="47"/>
  <c r="M46" i="47" s="1"/>
  <c r="N46" i="47" s="1"/>
  <c r="O46" i="47" s="1"/>
  <c r="P46" i="47" s="1"/>
  <c r="Q46" i="47" s="1"/>
  <c r="R46" i="47" s="1"/>
  <c r="S46" i="47" s="1"/>
  <c r="T46" i="47" s="1"/>
  <c r="U46" i="47" s="1"/>
  <c r="L47" i="47"/>
  <c r="M47" i="47" s="1"/>
  <c r="N47" i="47" s="1"/>
  <c r="O47" i="47" s="1"/>
  <c r="P47" i="47" s="1"/>
  <c r="Q47" i="47" s="1"/>
  <c r="R47" i="47" s="1"/>
  <c r="S47" i="47" s="1"/>
  <c r="T47" i="47" s="1"/>
  <c r="U47" i="47" s="1"/>
  <c r="L48" i="47"/>
  <c r="M48" i="47" s="1"/>
  <c r="N48" i="47" s="1"/>
  <c r="O48" i="47" s="1"/>
  <c r="P48" i="47" s="1"/>
  <c r="Q48" i="47" s="1"/>
  <c r="R48" i="47" s="1"/>
  <c r="S48" i="47" s="1"/>
  <c r="T48" i="47" s="1"/>
  <c r="U48" i="47" s="1"/>
  <c r="L49" i="47"/>
  <c r="M49" i="47" s="1"/>
  <c r="N49" i="47" s="1"/>
  <c r="O49" i="47" s="1"/>
  <c r="P49" i="47" s="1"/>
  <c r="Q49" i="47" s="1"/>
  <c r="R49" i="47" s="1"/>
  <c r="S49" i="47" s="1"/>
  <c r="T49" i="47" s="1"/>
  <c r="U49" i="47" s="1"/>
  <c r="L50" i="47"/>
  <c r="M50" i="47" s="1"/>
  <c r="N50" i="47" s="1"/>
  <c r="O50" i="47" s="1"/>
  <c r="P50" i="47" s="1"/>
  <c r="Q50" i="47" s="1"/>
  <c r="R50" i="47" s="1"/>
  <c r="S50" i="47" s="1"/>
  <c r="T50" i="47" s="1"/>
  <c r="U50" i="47" s="1"/>
  <c r="L51" i="47"/>
  <c r="M51" i="47" s="1"/>
  <c r="N51" i="47" s="1"/>
  <c r="O51" i="47" s="1"/>
  <c r="P51" i="47" s="1"/>
  <c r="Q51" i="47" s="1"/>
  <c r="R51" i="47" s="1"/>
  <c r="S51" i="47" s="1"/>
  <c r="T51" i="47" s="1"/>
  <c r="U51" i="47" s="1"/>
  <c r="L52" i="47"/>
  <c r="M52" i="47" s="1"/>
  <c r="N52" i="47" s="1"/>
  <c r="O52" i="47" s="1"/>
  <c r="P52" i="47" s="1"/>
  <c r="Q52" i="47" s="1"/>
  <c r="R52" i="47" s="1"/>
  <c r="S52" i="47" s="1"/>
  <c r="T52" i="47" s="1"/>
  <c r="U52" i="47" s="1"/>
  <c r="L53" i="47"/>
  <c r="M53" i="47" s="1"/>
  <c r="N53" i="47" s="1"/>
  <c r="O53" i="47" s="1"/>
  <c r="P53" i="47" s="1"/>
  <c r="Q53" i="47" s="1"/>
  <c r="R53" i="47" s="1"/>
  <c r="S53" i="47" s="1"/>
  <c r="T53" i="47" s="1"/>
  <c r="U53" i="47" s="1"/>
  <c r="L54" i="47"/>
  <c r="M54" i="47" s="1"/>
  <c r="N54" i="47" s="1"/>
  <c r="O54" i="47" s="1"/>
  <c r="P54" i="47" s="1"/>
  <c r="Q54" i="47" s="1"/>
  <c r="R54" i="47" s="1"/>
  <c r="S54" i="47" s="1"/>
  <c r="T54" i="47" s="1"/>
  <c r="U54" i="47" s="1"/>
  <c r="L55" i="47"/>
  <c r="M55" i="47" s="1"/>
  <c r="N55" i="47" s="1"/>
  <c r="O55" i="47" s="1"/>
  <c r="P55" i="47" s="1"/>
  <c r="Q55" i="47" s="1"/>
  <c r="R55" i="47" s="1"/>
  <c r="S55" i="47" s="1"/>
  <c r="T55" i="47" s="1"/>
  <c r="U55" i="47" s="1"/>
  <c r="L56" i="47"/>
  <c r="M56" i="47" s="1"/>
  <c r="N56" i="47" s="1"/>
  <c r="O56" i="47" s="1"/>
  <c r="P56" i="47" s="1"/>
  <c r="Q56" i="47" s="1"/>
  <c r="R56" i="47" s="1"/>
  <c r="S56" i="47" s="1"/>
  <c r="T56" i="47" s="1"/>
  <c r="U56" i="47" s="1"/>
  <c r="L57" i="47"/>
  <c r="M57" i="47" s="1"/>
  <c r="N57" i="47" s="1"/>
  <c r="O57" i="47" s="1"/>
  <c r="P57" i="47" s="1"/>
  <c r="Q57" i="47" s="1"/>
  <c r="R57" i="47" s="1"/>
  <c r="S57" i="47" s="1"/>
  <c r="T57" i="47" s="1"/>
  <c r="U57" i="47" s="1"/>
  <c r="L16" i="47"/>
  <c r="M16" i="47" s="1"/>
  <c r="N16" i="47" s="1"/>
  <c r="O16" i="47" s="1"/>
  <c r="P16" i="47" s="1"/>
  <c r="Q16" i="47" s="1"/>
  <c r="R16" i="47" s="1"/>
  <c r="S16" i="47" s="1"/>
  <c r="T16" i="47" s="1"/>
  <c r="U16" i="47" s="1"/>
  <c r="L17" i="47"/>
  <c r="M17" i="47" s="1"/>
  <c r="N17" i="47" s="1"/>
  <c r="O17" i="47" s="1"/>
  <c r="P17" i="47" s="1"/>
  <c r="Q17" i="47" s="1"/>
  <c r="R17" i="47" s="1"/>
  <c r="S17" i="47" s="1"/>
  <c r="T17" i="47" s="1"/>
  <c r="U17" i="47" s="1"/>
  <c r="L18" i="47"/>
  <c r="M18" i="47" s="1"/>
  <c r="N18" i="47" s="1"/>
  <c r="O18" i="47" s="1"/>
  <c r="P18" i="47" s="1"/>
  <c r="Q18" i="47" s="1"/>
  <c r="R18" i="47" s="1"/>
  <c r="S18" i="47" s="1"/>
  <c r="T18" i="47" s="1"/>
  <c r="U18" i="47" s="1"/>
  <c r="L19" i="47"/>
  <c r="M19" i="47" s="1"/>
  <c r="N19" i="47" s="1"/>
  <c r="O19" i="47" s="1"/>
  <c r="P19" i="47" s="1"/>
  <c r="Q19" i="47" s="1"/>
  <c r="R19" i="47" s="1"/>
  <c r="S19" i="47" s="1"/>
  <c r="T19" i="47" s="1"/>
  <c r="U19" i="47" s="1"/>
  <c r="L20" i="47"/>
  <c r="M20" i="47" s="1"/>
  <c r="N20" i="47" s="1"/>
  <c r="O20" i="47" s="1"/>
  <c r="P20" i="47" s="1"/>
  <c r="Q20" i="47" s="1"/>
  <c r="R20" i="47" s="1"/>
  <c r="S20" i="47" s="1"/>
  <c r="T20" i="47" s="1"/>
  <c r="U20" i="47" s="1"/>
  <c r="L21" i="47"/>
  <c r="M21" i="47" s="1"/>
  <c r="N21" i="47" s="1"/>
  <c r="O21" i="47" s="1"/>
  <c r="P21" i="47" s="1"/>
  <c r="Q21" i="47" s="1"/>
  <c r="R21" i="47" s="1"/>
  <c r="S21" i="47" s="1"/>
  <c r="T21" i="47" s="1"/>
  <c r="U21" i="47" s="1"/>
  <c r="L22" i="47"/>
  <c r="M22" i="47" s="1"/>
  <c r="N22" i="47" s="1"/>
  <c r="O22" i="47" s="1"/>
  <c r="P22" i="47" s="1"/>
  <c r="Q22" i="47" s="1"/>
  <c r="R22" i="47" s="1"/>
  <c r="S22" i="47" s="1"/>
  <c r="T22" i="47" s="1"/>
  <c r="U22" i="47" s="1"/>
  <c r="L23" i="47"/>
  <c r="M23" i="47" s="1"/>
  <c r="N23" i="47" s="1"/>
  <c r="O23" i="47" s="1"/>
  <c r="P23" i="47" s="1"/>
  <c r="Q23" i="47" s="1"/>
  <c r="R23" i="47" s="1"/>
  <c r="S23" i="47" s="1"/>
  <c r="T23" i="47" s="1"/>
  <c r="U23" i="47" s="1"/>
  <c r="L24" i="47"/>
  <c r="M24" i="47" s="1"/>
  <c r="N24" i="47" s="1"/>
  <c r="O24" i="47" s="1"/>
  <c r="P24" i="47" s="1"/>
  <c r="Q24" i="47" s="1"/>
  <c r="R24" i="47" s="1"/>
  <c r="S24" i="47" s="1"/>
  <c r="T24" i="47" s="1"/>
  <c r="U24" i="47" s="1"/>
  <c r="L25" i="47"/>
  <c r="M25" i="47" s="1"/>
  <c r="N25" i="47" s="1"/>
  <c r="O25" i="47" s="1"/>
  <c r="P25" i="47" s="1"/>
  <c r="Q25" i="47" s="1"/>
  <c r="R25" i="47" s="1"/>
  <c r="S25" i="47" s="1"/>
  <c r="T25" i="47" s="1"/>
  <c r="U25" i="47" s="1"/>
  <c r="L26" i="47"/>
  <c r="M26" i="47" s="1"/>
  <c r="N26" i="47" s="1"/>
  <c r="O26" i="47" s="1"/>
  <c r="P26" i="47" s="1"/>
  <c r="Q26" i="47" s="1"/>
  <c r="R26" i="47" s="1"/>
  <c r="S26" i="47" s="1"/>
  <c r="T26" i="47" s="1"/>
  <c r="U26" i="47" s="1"/>
  <c r="L27" i="47"/>
  <c r="M27" i="47" s="1"/>
  <c r="N27" i="47" s="1"/>
  <c r="O27" i="47" s="1"/>
  <c r="P27" i="47" s="1"/>
  <c r="Q27" i="47" s="1"/>
  <c r="R27" i="47" s="1"/>
  <c r="S27" i="47" s="1"/>
  <c r="T27" i="47" s="1"/>
  <c r="U27" i="47" s="1"/>
  <c r="L28" i="47"/>
  <c r="M28" i="47" s="1"/>
  <c r="N28" i="47" s="1"/>
  <c r="O28" i="47" s="1"/>
  <c r="P28" i="47" s="1"/>
  <c r="Q28" i="47" s="1"/>
  <c r="R28" i="47" s="1"/>
  <c r="S28" i="47" s="1"/>
  <c r="T28" i="47" s="1"/>
  <c r="U28" i="47" s="1"/>
  <c r="L29" i="47"/>
  <c r="M29" i="47" s="1"/>
  <c r="N29" i="47" s="1"/>
  <c r="O29" i="47" s="1"/>
  <c r="P29" i="47" s="1"/>
  <c r="Q29" i="47" s="1"/>
  <c r="R29" i="47" s="1"/>
  <c r="S29" i="47" s="1"/>
  <c r="T29" i="47" s="1"/>
  <c r="U29" i="47" s="1"/>
  <c r="L30" i="47"/>
  <c r="M30" i="47" s="1"/>
  <c r="N30" i="47" s="1"/>
  <c r="O30" i="47" s="1"/>
  <c r="P30" i="47" s="1"/>
  <c r="Q30" i="47" s="1"/>
  <c r="R30" i="47" s="1"/>
  <c r="S30" i="47" s="1"/>
  <c r="T30" i="47" s="1"/>
  <c r="U30" i="47" s="1"/>
  <c r="L31" i="47"/>
  <c r="M31" i="47" s="1"/>
  <c r="N31" i="47" s="1"/>
  <c r="O31" i="47" s="1"/>
  <c r="P31" i="47" s="1"/>
  <c r="Q31" i="47" s="1"/>
  <c r="R31" i="47" s="1"/>
  <c r="S31" i="47" s="1"/>
  <c r="T31" i="47" s="1"/>
  <c r="U31" i="47" s="1"/>
  <c r="L32" i="47"/>
  <c r="M32" i="47" s="1"/>
  <c r="N32" i="47" s="1"/>
  <c r="O32" i="47" s="1"/>
  <c r="P32" i="47" s="1"/>
  <c r="Q32" i="47" s="1"/>
  <c r="R32" i="47" s="1"/>
  <c r="S32" i="47" s="1"/>
  <c r="T32" i="47" s="1"/>
  <c r="U32" i="47" s="1"/>
  <c r="L33" i="47"/>
  <c r="M33" i="47" s="1"/>
  <c r="N33" i="47" s="1"/>
  <c r="O33" i="47" s="1"/>
  <c r="P33" i="47" s="1"/>
  <c r="Q33" i="47" s="1"/>
  <c r="R33" i="47" s="1"/>
  <c r="S33" i="47" s="1"/>
  <c r="T33" i="47" s="1"/>
  <c r="U33" i="47" s="1"/>
  <c r="L6" i="47"/>
  <c r="M6" i="47" s="1"/>
  <c r="N6" i="47" s="1"/>
  <c r="O6" i="47" s="1"/>
  <c r="P6" i="47" s="1"/>
  <c r="Q6" i="47" s="1"/>
  <c r="R6" i="47" s="1"/>
  <c r="S6" i="47" s="1"/>
  <c r="T6" i="47" s="1"/>
  <c r="U6" i="47" s="1"/>
  <c r="L7" i="47"/>
  <c r="M7" i="47" s="1"/>
  <c r="N7" i="47" s="1"/>
  <c r="O7" i="47" s="1"/>
  <c r="P7" i="47" s="1"/>
  <c r="Q7" i="47" s="1"/>
  <c r="R7" i="47" s="1"/>
  <c r="S7" i="47" s="1"/>
  <c r="T7" i="47" s="1"/>
  <c r="U7" i="47" s="1"/>
  <c r="L8" i="47"/>
  <c r="M8" i="47" s="1"/>
  <c r="N8" i="47" s="1"/>
  <c r="O8" i="47" s="1"/>
  <c r="P8" i="47" s="1"/>
  <c r="Q8" i="47" s="1"/>
  <c r="R8" i="47" s="1"/>
  <c r="S8" i="47" s="1"/>
  <c r="T8" i="47" s="1"/>
  <c r="U8" i="47" s="1"/>
  <c r="L9" i="47"/>
  <c r="M9" i="47" s="1"/>
  <c r="N9" i="47" s="1"/>
  <c r="O9" i="47" s="1"/>
  <c r="P9" i="47" s="1"/>
  <c r="Q9" i="47" s="1"/>
  <c r="R9" i="47" s="1"/>
  <c r="S9" i="47" s="1"/>
  <c r="T9" i="47" s="1"/>
  <c r="U9" i="47" s="1"/>
  <c r="L10" i="47"/>
  <c r="M10" i="47" s="1"/>
  <c r="N10" i="47" s="1"/>
  <c r="O10" i="47" s="1"/>
  <c r="P10" i="47" s="1"/>
  <c r="Q10" i="47" s="1"/>
  <c r="R10" i="47" s="1"/>
  <c r="S10" i="47" s="1"/>
  <c r="T10" i="47" s="1"/>
  <c r="U10" i="47" s="1"/>
  <c r="L11" i="47"/>
  <c r="M11" i="47" s="1"/>
  <c r="N11" i="47" s="1"/>
  <c r="O11" i="47" s="1"/>
  <c r="P11" i="47" s="1"/>
  <c r="Q11" i="47" s="1"/>
  <c r="R11" i="47" s="1"/>
  <c r="S11" i="47" s="1"/>
  <c r="T11" i="47" s="1"/>
  <c r="U11" i="47" s="1"/>
  <c r="L12" i="47"/>
  <c r="M12" i="47" s="1"/>
  <c r="N12" i="47" s="1"/>
  <c r="O12" i="47" s="1"/>
  <c r="P12" i="47" s="1"/>
  <c r="Q12" i="47" s="1"/>
  <c r="R12" i="47" s="1"/>
  <c r="S12" i="47" s="1"/>
  <c r="T12" i="47" s="1"/>
  <c r="U12" i="47" s="1"/>
  <c r="L13" i="47"/>
  <c r="M13" i="47" s="1"/>
  <c r="N13" i="47" s="1"/>
  <c r="O13" i="47" s="1"/>
  <c r="P13" i="47" s="1"/>
  <c r="Q13" i="47" s="1"/>
  <c r="R13" i="47" s="1"/>
  <c r="S13" i="47" s="1"/>
  <c r="T13" i="47" s="1"/>
  <c r="U13" i="47" s="1"/>
  <c r="L14" i="47"/>
  <c r="M14" i="47" s="1"/>
  <c r="N14" i="47" s="1"/>
  <c r="O14" i="47" s="1"/>
  <c r="P14" i="47" s="1"/>
  <c r="Q14" i="47" s="1"/>
  <c r="R14" i="47" s="1"/>
  <c r="S14" i="47" s="1"/>
  <c r="T14" i="47" s="1"/>
  <c r="U14" i="47" s="1"/>
  <c r="L15" i="47"/>
  <c r="M15" i="47" s="1"/>
  <c r="N15" i="47" s="1"/>
  <c r="O15" i="47" s="1"/>
  <c r="P15" i="47" s="1"/>
  <c r="Q15" i="47" s="1"/>
  <c r="R15" i="47" s="1"/>
  <c r="S15" i="47" s="1"/>
  <c r="T15" i="47" s="1"/>
  <c r="U15" i="47" s="1"/>
  <c r="L5" i="47"/>
  <c r="M5" i="47" s="1"/>
  <c r="N5" i="47" s="1"/>
  <c r="O5" i="47" s="1"/>
  <c r="P5" i="47" s="1"/>
  <c r="Q5" i="47" s="1"/>
  <c r="R5" i="47" s="1"/>
  <c r="S5" i="47" s="1"/>
  <c r="T5" i="47" s="1"/>
  <c r="U5" i="47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7" i="42"/>
  <c r="M7" i="42" s="1"/>
  <c r="N7" i="42" s="1"/>
  <c r="O7" i="42" s="1"/>
  <c r="P7" i="42" s="1"/>
  <c r="Q7" i="42" s="1"/>
  <c r="R7" i="42" s="1"/>
  <c r="S7" i="42" s="1"/>
  <c r="T7" i="42" s="1"/>
  <c r="U7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8" i="66"/>
  <c r="I9" i="66" s="1"/>
  <c r="I7" i="66"/>
  <c r="I6" i="66"/>
  <c r="I5" i="66"/>
  <c r="J25" i="65"/>
  <c r="J26" i="65"/>
  <c r="J27" i="65"/>
  <c r="J28" i="65"/>
  <c r="J29" i="65"/>
  <c r="J30" i="65"/>
  <c r="J31" i="65"/>
  <c r="J32" i="65"/>
  <c r="J33" i="65"/>
  <c r="J34" i="65"/>
  <c r="J35" i="65"/>
  <c r="J36" i="65"/>
  <c r="J37" i="65"/>
  <c r="J38" i="65"/>
  <c r="J39" i="65"/>
  <c r="J40" i="65"/>
  <c r="J41" i="65"/>
  <c r="J42" i="65"/>
  <c r="J43" i="65"/>
  <c r="J44" i="65"/>
  <c r="J45" i="65"/>
  <c r="J46" i="65"/>
  <c r="J47" i="65"/>
  <c r="J48" i="65"/>
  <c r="J49" i="65"/>
  <c r="J50" i="65"/>
  <c r="J51" i="65"/>
  <c r="J52" i="65"/>
  <c r="J53" i="65"/>
  <c r="J54" i="65"/>
  <c r="J55" i="65"/>
  <c r="J56" i="65"/>
  <c r="J57" i="65"/>
  <c r="J58" i="65"/>
  <c r="I7" i="65"/>
  <c r="J7" i="65" s="1"/>
  <c r="K7" i="65" s="1"/>
  <c r="L7" i="65" s="1"/>
  <c r="M7" i="65" s="1"/>
  <c r="N7" i="65" s="1"/>
  <c r="O7" i="65" s="1"/>
  <c r="P7" i="65" s="1"/>
  <c r="Q7" i="65" s="1"/>
  <c r="R7" i="65" s="1"/>
  <c r="S7" i="65" s="1"/>
  <c r="I9" i="65"/>
  <c r="J9" i="65" s="1"/>
  <c r="K9" i="65" s="1"/>
  <c r="L9" i="65" s="1"/>
  <c r="M9" i="65" s="1"/>
  <c r="N9" i="65" s="1"/>
  <c r="O9" i="65" s="1"/>
  <c r="P9" i="65" s="1"/>
  <c r="Q9" i="65" s="1"/>
  <c r="R9" i="65" s="1"/>
  <c r="S9" i="65" s="1"/>
  <c r="I10" i="65"/>
  <c r="J10" i="65" s="1"/>
  <c r="K10" i="65" s="1"/>
  <c r="L10" i="65" s="1"/>
  <c r="M10" i="65" s="1"/>
  <c r="N10" i="65" s="1"/>
  <c r="O10" i="65" s="1"/>
  <c r="P10" i="65" s="1"/>
  <c r="Q10" i="65" s="1"/>
  <c r="R10" i="65" s="1"/>
  <c r="S10" i="65" s="1"/>
  <c r="I12" i="65"/>
  <c r="J12" i="65" s="1"/>
  <c r="K12" i="65" s="1"/>
  <c r="L12" i="65" s="1"/>
  <c r="M12" i="65" s="1"/>
  <c r="N12" i="65" s="1"/>
  <c r="O12" i="65" s="1"/>
  <c r="P12" i="65" s="1"/>
  <c r="Q12" i="65" s="1"/>
  <c r="R12" i="65" s="1"/>
  <c r="S12" i="65" s="1"/>
  <c r="I13" i="65"/>
  <c r="J13" i="65" s="1"/>
  <c r="K13" i="65" s="1"/>
  <c r="L13" i="65" s="1"/>
  <c r="M13" i="65" s="1"/>
  <c r="N13" i="65" s="1"/>
  <c r="O13" i="65" s="1"/>
  <c r="P13" i="65" s="1"/>
  <c r="Q13" i="65" s="1"/>
  <c r="R13" i="65" s="1"/>
  <c r="S13" i="65" s="1"/>
  <c r="I14" i="65"/>
  <c r="J14" i="65" s="1"/>
  <c r="K14" i="65" s="1"/>
  <c r="L14" i="65" s="1"/>
  <c r="M14" i="65" s="1"/>
  <c r="N14" i="65" s="1"/>
  <c r="O14" i="65" s="1"/>
  <c r="P14" i="65" s="1"/>
  <c r="Q14" i="65" s="1"/>
  <c r="R14" i="65" s="1"/>
  <c r="S14" i="65" s="1"/>
  <c r="I16" i="65"/>
  <c r="J16" i="65" s="1"/>
  <c r="K16" i="65" s="1"/>
  <c r="L16" i="65" s="1"/>
  <c r="M16" i="65" s="1"/>
  <c r="N16" i="65" s="1"/>
  <c r="O16" i="65" s="1"/>
  <c r="P16" i="65" s="1"/>
  <c r="Q16" i="65" s="1"/>
  <c r="R16" i="65" s="1"/>
  <c r="S16" i="65" s="1"/>
  <c r="I17" i="65"/>
  <c r="J17" i="65" s="1"/>
  <c r="K17" i="65" s="1"/>
  <c r="L17" i="65" s="1"/>
  <c r="M17" i="65" s="1"/>
  <c r="N17" i="65" s="1"/>
  <c r="O17" i="65" s="1"/>
  <c r="P17" i="65" s="1"/>
  <c r="Q17" i="65" s="1"/>
  <c r="R17" i="65" s="1"/>
  <c r="S17" i="65" s="1"/>
  <c r="I18" i="65"/>
  <c r="J18" i="65" s="1"/>
  <c r="K18" i="65" s="1"/>
  <c r="L18" i="65" s="1"/>
  <c r="M18" i="65" s="1"/>
  <c r="N18" i="65" s="1"/>
  <c r="O18" i="65" s="1"/>
  <c r="P18" i="65" s="1"/>
  <c r="Q18" i="65" s="1"/>
  <c r="R18" i="65" s="1"/>
  <c r="S18" i="65" s="1"/>
  <c r="I20" i="65"/>
  <c r="J20" i="65" s="1"/>
  <c r="K20" i="65" s="1"/>
  <c r="L20" i="65" s="1"/>
  <c r="M20" i="65" s="1"/>
  <c r="N20" i="65" s="1"/>
  <c r="O20" i="65" s="1"/>
  <c r="P20" i="65" s="1"/>
  <c r="Q20" i="65" s="1"/>
  <c r="R20" i="65" s="1"/>
  <c r="S20" i="65" s="1"/>
  <c r="I21" i="65"/>
  <c r="J21" i="65" s="1"/>
  <c r="K21" i="65" s="1"/>
  <c r="L21" i="65" s="1"/>
  <c r="M21" i="65" s="1"/>
  <c r="N21" i="65" s="1"/>
  <c r="O21" i="65" s="1"/>
  <c r="P21" i="65" s="1"/>
  <c r="Q21" i="65" s="1"/>
  <c r="R21" i="65" s="1"/>
  <c r="S21" i="65" s="1"/>
  <c r="I22" i="65"/>
  <c r="J22" i="65" s="1"/>
  <c r="K22" i="65" s="1"/>
  <c r="L22" i="65" s="1"/>
  <c r="M22" i="65" s="1"/>
  <c r="N22" i="65" s="1"/>
  <c r="O22" i="65" s="1"/>
  <c r="P22" i="65" s="1"/>
  <c r="Q22" i="65" s="1"/>
  <c r="R22" i="65" s="1"/>
  <c r="S22" i="65" s="1"/>
  <c r="I24" i="65"/>
  <c r="J24" i="65" s="1"/>
  <c r="K24" i="65" s="1"/>
  <c r="L24" i="65" s="1"/>
  <c r="M24" i="65" s="1"/>
  <c r="N24" i="65" s="1"/>
  <c r="O24" i="65" s="1"/>
  <c r="P24" i="65" s="1"/>
  <c r="Q24" i="65" s="1"/>
  <c r="R24" i="65" s="1"/>
  <c r="S24" i="65" s="1"/>
  <c r="I5" i="65"/>
  <c r="J5" i="65" s="1"/>
  <c r="K5" i="65" s="1"/>
  <c r="L5" i="65" s="1"/>
  <c r="M5" i="65" s="1"/>
  <c r="N5" i="65" s="1"/>
  <c r="O5" i="65" s="1"/>
  <c r="P5" i="65" s="1"/>
  <c r="Q5" i="65" s="1"/>
  <c r="R5" i="65" s="1"/>
  <c r="S5" i="65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L11" i="63"/>
  <c r="I10" i="6"/>
  <c r="I11" i="6" s="1"/>
  <c r="I9" i="6"/>
  <c r="I8" i="6"/>
  <c r="I6" i="6"/>
  <c r="I7" i="6" s="1"/>
  <c r="I5" i="6"/>
  <c r="I11" i="4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I10" i="4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I9" i="4"/>
  <c r="J9" i="4" s="1"/>
  <c r="K9" i="4" s="1"/>
  <c r="L9" i="4" s="1"/>
  <c r="M9" i="4" s="1"/>
  <c r="N9" i="4" s="1"/>
  <c r="O9" i="4" s="1"/>
  <c r="P9" i="4" s="1"/>
  <c r="Q9" i="4" s="1"/>
  <c r="R9" i="4" s="1"/>
  <c r="S9" i="4" s="1"/>
  <c r="I8" i="4"/>
  <c r="J8" i="4" s="1"/>
  <c r="K8" i="4" s="1"/>
  <c r="L8" i="4" s="1"/>
  <c r="M8" i="4" s="1"/>
  <c r="N8" i="4" s="1"/>
  <c r="O8" i="4" s="1"/>
  <c r="P8" i="4" s="1"/>
  <c r="Q8" i="4" s="1"/>
  <c r="R8" i="4" s="1"/>
  <c r="S8" i="4" s="1"/>
  <c r="I7" i="4"/>
  <c r="J7" i="4" s="1"/>
  <c r="K7" i="4" s="1"/>
  <c r="L7" i="4" s="1"/>
  <c r="M7" i="4" s="1"/>
  <c r="N7" i="4" s="1"/>
  <c r="O7" i="4" s="1"/>
  <c r="P7" i="4" s="1"/>
  <c r="Q7" i="4" s="1"/>
  <c r="R7" i="4" s="1"/>
  <c r="S7" i="4" s="1"/>
  <c r="I6" i="4"/>
  <c r="J6" i="4" s="1"/>
  <c r="K6" i="4" s="1"/>
  <c r="L6" i="4" s="1"/>
  <c r="M6" i="4" s="1"/>
  <c r="N6" i="4" s="1"/>
  <c r="O6" i="4" s="1"/>
  <c r="P6" i="4" s="1"/>
  <c r="Q6" i="4" s="1"/>
  <c r="R6" i="4" s="1"/>
  <c r="S6" i="4" s="1"/>
  <c r="I5" i="4"/>
  <c r="J5" i="4" s="1"/>
  <c r="K5" i="4" s="1"/>
  <c r="L5" i="4" s="1"/>
  <c r="M5" i="4" s="1"/>
  <c r="N5" i="4" s="1"/>
  <c r="O5" i="4" s="1"/>
  <c r="P5" i="4" s="1"/>
  <c r="Q5" i="4" s="1"/>
  <c r="R5" i="4" s="1"/>
  <c r="S5" i="4" s="1"/>
  <c r="L13" i="3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D3" i="69"/>
  <c r="D3" i="67"/>
  <c r="D3" i="48"/>
  <c r="F3" i="49"/>
  <c r="D3" i="49"/>
  <c r="I12" i="37" l="1"/>
  <c r="J12" i="37" s="1"/>
  <c r="K12" i="37" s="1"/>
  <c r="L12" i="37" s="1"/>
  <c r="M12" i="37" s="1"/>
  <c r="N12" i="37" s="1"/>
  <c r="O12" i="37" s="1"/>
  <c r="P12" i="37" s="1"/>
  <c r="I9" i="37"/>
  <c r="J9" i="37" s="1"/>
  <c r="K9" i="37" s="1"/>
  <c r="L9" i="37" s="1"/>
  <c r="M9" i="37" s="1"/>
  <c r="N9" i="37" s="1"/>
  <c r="O9" i="37" s="1"/>
  <c r="P9" i="37" s="1"/>
  <c r="K5" i="37"/>
  <c r="L5" i="37" s="1"/>
  <c r="M5" i="37" s="1"/>
  <c r="N5" i="37" s="1"/>
  <c r="O5" i="37" s="1"/>
  <c r="P5" i="37" s="1"/>
  <c r="I5" i="37"/>
  <c r="D3" i="62"/>
  <c r="F3" i="44"/>
  <c r="D3" i="52"/>
  <c r="O3" i="39"/>
  <c r="D3" i="33"/>
  <c r="H3" i="44"/>
  <c r="D3" i="44"/>
  <c r="H3" i="62"/>
  <c r="D3" i="29"/>
  <c r="H3" i="49"/>
  <c r="D3" i="66"/>
  <c r="J3" i="62"/>
  <c r="D3" i="28"/>
  <c r="K3" i="39"/>
  <c r="D3" i="31"/>
  <c r="J3" i="1"/>
  <c r="D3" i="43"/>
  <c r="D2" i="3"/>
  <c r="H3" i="1"/>
  <c r="D3" i="47"/>
  <c r="D3" i="1"/>
  <c r="K3" i="29"/>
  <c r="F3" i="62"/>
  <c r="J3" i="44"/>
  <c r="D3" i="32"/>
  <c r="F3" i="39"/>
  <c r="L3" i="44"/>
  <c r="J3" i="49"/>
  <c r="H3" i="39"/>
  <c r="H3" i="29"/>
  <c r="D3" i="36"/>
  <c r="D3" i="39"/>
  <c r="M3" i="29"/>
  <c r="F3" i="1"/>
  <c r="F3" i="29"/>
  <c r="M3" i="39"/>
  <c r="D3" i="6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P6" i="50" l="1"/>
  <c r="P7" i="50"/>
  <c r="P8" i="50"/>
  <c r="P9" i="50"/>
  <c r="P10" i="50"/>
  <c r="P14" i="50"/>
  <c r="P16" i="50"/>
  <c r="P19" i="50"/>
  <c r="P20" i="50"/>
  <c r="P21" i="50"/>
  <c r="P23" i="50"/>
  <c r="P24" i="50"/>
  <c r="P25" i="50"/>
  <c r="D3" i="50"/>
  <c r="Q12" i="37" l="1"/>
  <c r="L5" i="40" l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10" i="3"/>
  <c r="L11" i="3"/>
  <c r="L12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T8" i="32" l="1"/>
  <c r="W118" i="47"/>
  <c r="W127" i="47"/>
  <c r="W119" i="47"/>
  <c r="W121" i="47" l="1"/>
  <c r="W123" i="47" s="1"/>
  <c r="L185" i="47" l="1"/>
  <c r="M185" i="47" s="1"/>
  <c r="N185" i="47" s="1"/>
  <c r="O185" i="47" s="1"/>
  <c r="P185" i="47" s="1"/>
  <c r="Q185" i="47" s="1"/>
  <c r="R185" i="47" s="1"/>
  <c r="S185" i="47" s="1"/>
  <c r="T185" i="47" s="1"/>
  <c r="U185" i="47" s="1"/>
  <c r="L186" i="47"/>
  <c r="M186" i="47" s="1"/>
  <c r="N186" i="47" s="1"/>
  <c r="O186" i="47" s="1"/>
  <c r="P186" i="47" s="1"/>
  <c r="Q186" i="47" s="1"/>
  <c r="R186" i="47" s="1"/>
  <c r="S186" i="47" s="1"/>
  <c r="T186" i="47" s="1"/>
  <c r="U186" i="47" s="1"/>
  <c r="L187" i="47"/>
  <c r="M187" i="47" s="1"/>
  <c r="N187" i="47" s="1"/>
  <c r="O187" i="47" s="1"/>
  <c r="P187" i="47" s="1"/>
  <c r="Q187" i="47" s="1"/>
  <c r="R187" i="47" s="1"/>
  <c r="S187" i="47" s="1"/>
  <c r="T187" i="47" s="1"/>
  <c r="U187" i="47" s="1"/>
  <c r="L188" i="47"/>
  <c r="M188" i="47" s="1"/>
  <c r="N188" i="47" s="1"/>
  <c r="O188" i="47" s="1"/>
  <c r="P188" i="47" s="1"/>
  <c r="Q188" i="47" s="1"/>
  <c r="R188" i="47" s="1"/>
  <c r="S188" i="47" s="1"/>
  <c r="T188" i="47" s="1"/>
  <c r="U188" i="47" s="1"/>
  <c r="L189" i="47"/>
  <c r="M189" i="47" s="1"/>
  <c r="N189" i="47" s="1"/>
  <c r="O189" i="47" s="1"/>
  <c r="P189" i="47" s="1"/>
  <c r="Q189" i="47" s="1"/>
  <c r="R189" i="47" s="1"/>
  <c r="S189" i="47" s="1"/>
  <c r="T189" i="47" s="1"/>
  <c r="U189" i="47" s="1"/>
  <c r="L190" i="47"/>
  <c r="M190" i="47" s="1"/>
  <c r="N190" i="47" s="1"/>
  <c r="O190" i="47" s="1"/>
  <c r="P190" i="47" s="1"/>
  <c r="Q190" i="47" s="1"/>
  <c r="R190" i="47" s="1"/>
  <c r="S190" i="47" s="1"/>
  <c r="T190" i="47" s="1"/>
  <c r="U190" i="47" s="1"/>
  <c r="L191" i="47"/>
  <c r="M191" i="47" s="1"/>
  <c r="N191" i="47" s="1"/>
  <c r="O191" i="47" s="1"/>
  <c r="P191" i="47" s="1"/>
  <c r="Q191" i="47" s="1"/>
  <c r="R191" i="47" s="1"/>
  <c r="S191" i="47" s="1"/>
  <c r="T191" i="47" s="1"/>
  <c r="U191" i="47" s="1"/>
  <c r="L192" i="47"/>
  <c r="M192" i="47" s="1"/>
  <c r="N192" i="47" s="1"/>
  <c r="O192" i="47" s="1"/>
  <c r="P192" i="47" s="1"/>
  <c r="Q192" i="47" s="1"/>
  <c r="R192" i="47" s="1"/>
  <c r="S192" i="47" s="1"/>
  <c r="T192" i="47" s="1"/>
  <c r="U192" i="47" s="1"/>
  <c r="L193" i="47"/>
  <c r="M193" i="47" s="1"/>
  <c r="N193" i="47" s="1"/>
  <c r="O193" i="47" s="1"/>
  <c r="P193" i="47" s="1"/>
  <c r="Q193" i="47" s="1"/>
  <c r="R193" i="47" s="1"/>
  <c r="S193" i="47" s="1"/>
  <c r="T193" i="47" s="1"/>
  <c r="U193" i="47" s="1"/>
  <c r="L194" i="47"/>
  <c r="M194" i="47" s="1"/>
  <c r="N194" i="47" s="1"/>
  <c r="O194" i="47" s="1"/>
  <c r="P194" i="47" s="1"/>
  <c r="Q194" i="47" s="1"/>
  <c r="R194" i="47" s="1"/>
  <c r="S194" i="47" s="1"/>
  <c r="T194" i="47" s="1"/>
  <c r="U194" i="47" s="1"/>
  <c r="L195" i="47"/>
  <c r="M195" i="47" s="1"/>
  <c r="N195" i="47" s="1"/>
  <c r="O195" i="47" s="1"/>
  <c r="P195" i="47" s="1"/>
  <c r="Q195" i="47" s="1"/>
  <c r="R195" i="47" s="1"/>
  <c r="S195" i="47" s="1"/>
  <c r="T195" i="47" s="1"/>
  <c r="U195" i="47" s="1"/>
  <c r="L196" i="47"/>
  <c r="M196" i="47" s="1"/>
  <c r="N196" i="47" s="1"/>
  <c r="O196" i="47" s="1"/>
  <c r="P196" i="47" s="1"/>
  <c r="Q196" i="47" s="1"/>
  <c r="R196" i="47" s="1"/>
  <c r="S196" i="47" s="1"/>
  <c r="T196" i="47" s="1"/>
  <c r="U196" i="47" s="1"/>
  <c r="L197" i="47"/>
  <c r="M197" i="47" s="1"/>
  <c r="N197" i="47" s="1"/>
  <c r="O197" i="47" s="1"/>
  <c r="P197" i="47" s="1"/>
  <c r="Q197" i="47" s="1"/>
  <c r="R197" i="47" s="1"/>
  <c r="S197" i="47" s="1"/>
  <c r="T197" i="47" s="1"/>
  <c r="U197" i="47" s="1"/>
  <c r="Q9" i="37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5" i="45"/>
  <c r="D3" i="45"/>
  <c r="L9" i="3" l="1"/>
  <c r="D7" i="3"/>
  <c r="N5" i="44" l="1"/>
  <c r="N3" i="44"/>
  <c r="L199" i="47" l="1"/>
  <c r="M199" i="47" s="1"/>
  <c r="N199" i="47" s="1"/>
  <c r="O199" i="47" s="1"/>
  <c r="P199" i="47" s="1"/>
  <c r="Q199" i="47" s="1"/>
  <c r="R199" i="47" s="1"/>
  <c r="S199" i="47" s="1"/>
  <c r="T199" i="47" s="1"/>
  <c r="U199" i="47" s="1"/>
  <c r="L200" i="47"/>
  <c r="M200" i="47" s="1"/>
  <c r="N200" i="47" s="1"/>
  <c r="O200" i="47" s="1"/>
  <c r="P200" i="47" s="1"/>
  <c r="Q200" i="47" s="1"/>
  <c r="R200" i="47" s="1"/>
  <c r="S200" i="47" s="1"/>
  <c r="T200" i="47" s="1"/>
  <c r="U200" i="47" s="1"/>
  <c r="L201" i="47"/>
  <c r="M201" i="47" s="1"/>
  <c r="N201" i="47" s="1"/>
  <c r="O201" i="47" s="1"/>
  <c r="P201" i="47" s="1"/>
  <c r="Q201" i="47" s="1"/>
  <c r="R201" i="47" s="1"/>
  <c r="S201" i="47" s="1"/>
  <c r="T201" i="47" s="1"/>
  <c r="U201" i="47" s="1"/>
  <c r="L202" i="47"/>
  <c r="M202" i="47" s="1"/>
  <c r="N202" i="47" s="1"/>
  <c r="O202" i="47" s="1"/>
  <c r="P202" i="47" s="1"/>
  <c r="Q202" i="47" s="1"/>
  <c r="R202" i="47" s="1"/>
  <c r="S202" i="47" s="1"/>
  <c r="T202" i="47" s="1"/>
  <c r="U202" i="47" s="1"/>
  <c r="L203" i="47"/>
  <c r="M203" i="47" s="1"/>
  <c r="N203" i="47" s="1"/>
  <c r="O203" i="47" s="1"/>
  <c r="P203" i="47" s="1"/>
  <c r="Q203" i="47" s="1"/>
  <c r="R203" i="47" s="1"/>
  <c r="S203" i="47" s="1"/>
  <c r="T203" i="47" s="1"/>
  <c r="U203" i="47" s="1"/>
  <c r="L204" i="47"/>
  <c r="M204" i="47" s="1"/>
  <c r="N204" i="47" s="1"/>
  <c r="O204" i="47" s="1"/>
  <c r="P204" i="47" s="1"/>
  <c r="Q204" i="47" s="1"/>
  <c r="R204" i="47" s="1"/>
  <c r="S204" i="47" s="1"/>
  <c r="T204" i="47" s="1"/>
  <c r="U204" i="47" s="1"/>
  <c r="L205" i="47"/>
  <c r="M205" i="47" s="1"/>
  <c r="N205" i="47" s="1"/>
  <c r="O205" i="47" s="1"/>
  <c r="P205" i="47" s="1"/>
  <c r="Q205" i="47" s="1"/>
  <c r="R205" i="47" s="1"/>
  <c r="S205" i="47" s="1"/>
  <c r="T205" i="47" s="1"/>
  <c r="U205" i="47" s="1"/>
  <c r="L206" i="47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198" i="47"/>
  <c r="M198" i="47" s="1"/>
  <c r="N198" i="47" s="1"/>
  <c r="O198" i="47" s="1"/>
  <c r="P198" i="47" s="1"/>
  <c r="Q198" i="47" s="1"/>
  <c r="R198" i="47" s="1"/>
  <c r="S198" i="47" s="1"/>
  <c r="T198" i="47" s="1"/>
  <c r="U198" i="47" s="1"/>
  <c r="K25" i="65" l="1"/>
  <c r="L25" i="65" s="1"/>
  <c r="M25" i="65" s="1"/>
  <c r="N25" i="65" s="1"/>
  <c r="O25" i="65" s="1"/>
  <c r="P25" i="65" s="1"/>
  <c r="Q25" i="65" s="1"/>
  <c r="R25" i="65" s="1"/>
  <c r="S25" i="65" s="1"/>
  <c r="K26" i="65"/>
  <c r="L26" i="65" s="1"/>
  <c r="M26" i="65" s="1"/>
  <c r="N26" i="65" s="1"/>
  <c r="O26" i="65" s="1"/>
  <c r="P26" i="65" s="1"/>
  <c r="Q26" i="65" s="1"/>
  <c r="R26" i="65" s="1"/>
  <c r="S26" i="65" s="1"/>
  <c r="K27" i="65"/>
  <c r="L27" i="65" s="1"/>
  <c r="M27" i="65" s="1"/>
  <c r="N27" i="65" s="1"/>
  <c r="O27" i="65" s="1"/>
  <c r="P27" i="65" s="1"/>
  <c r="Q27" i="65" s="1"/>
  <c r="R27" i="65" s="1"/>
  <c r="S27" i="65" s="1"/>
  <c r="K28" i="65"/>
  <c r="L28" i="65" s="1"/>
  <c r="M28" i="65" s="1"/>
  <c r="N28" i="65" s="1"/>
  <c r="O28" i="65" s="1"/>
  <c r="P28" i="65" s="1"/>
  <c r="Q28" i="65" s="1"/>
  <c r="R28" i="65" s="1"/>
  <c r="S28" i="65" s="1"/>
  <c r="K29" i="65"/>
  <c r="L29" i="65" s="1"/>
  <c r="M29" i="65" s="1"/>
  <c r="N29" i="65" s="1"/>
  <c r="O29" i="65" s="1"/>
  <c r="P29" i="65" s="1"/>
  <c r="Q29" i="65" s="1"/>
  <c r="R29" i="65" s="1"/>
  <c r="S29" i="65" s="1"/>
  <c r="K30" i="65"/>
  <c r="L30" i="65" s="1"/>
  <c r="M30" i="65" s="1"/>
  <c r="N30" i="65" s="1"/>
  <c r="O30" i="65" s="1"/>
  <c r="P30" i="65" s="1"/>
  <c r="Q30" i="65" s="1"/>
  <c r="R30" i="65" s="1"/>
  <c r="S30" i="65" s="1"/>
  <c r="K31" i="65"/>
  <c r="L31" i="65" s="1"/>
  <c r="M31" i="65" s="1"/>
  <c r="N31" i="65" s="1"/>
  <c r="O31" i="65" s="1"/>
  <c r="P31" i="65" s="1"/>
  <c r="Q31" i="65" s="1"/>
  <c r="R31" i="65" s="1"/>
  <c r="S31" i="65" s="1"/>
  <c r="K32" i="65"/>
  <c r="L32" i="65" s="1"/>
  <c r="M32" i="65" s="1"/>
  <c r="N32" i="65" s="1"/>
  <c r="O32" i="65" s="1"/>
  <c r="P32" i="65" s="1"/>
  <c r="Q32" i="65" s="1"/>
  <c r="R32" i="65" s="1"/>
  <c r="S32" i="65" s="1"/>
  <c r="K33" i="65"/>
  <c r="L33" i="65" s="1"/>
  <c r="M33" i="65" s="1"/>
  <c r="N33" i="65" s="1"/>
  <c r="O33" i="65" s="1"/>
  <c r="P33" i="65" s="1"/>
  <c r="Q33" i="65" s="1"/>
  <c r="R33" i="65" s="1"/>
  <c r="S33" i="65" s="1"/>
  <c r="K34" i="65"/>
  <c r="L34" i="65" s="1"/>
  <c r="M34" i="65" s="1"/>
  <c r="N34" i="65" s="1"/>
  <c r="O34" i="65" s="1"/>
  <c r="P34" i="65" s="1"/>
  <c r="Q34" i="65" s="1"/>
  <c r="R34" i="65" s="1"/>
  <c r="S34" i="65" s="1"/>
  <c r="K35" i="65"/>
  <c r="L35" i="65" s="1"/>
  <c r="M35" i="65" s="1"/>
  <c r="N35" i="65" s="1"/>
  <c r="O35" i="65" s="1"/>
  <c r="P35" i="65" s="1"/>
  <c r="Q35" i="65" s="1"/>
  <c r="R35" i="65" s="1"/>
  <c r="S35" i="65" s="1"/>
  <c r="K36" i="65"/>
  <c r="L36" i="65" s="1"/>
  <c r="M36" i="65" s="1"/>
  <c r="N36" i="65" s="1"/>
  <c r="O36" i="65" s="1"/>
  <c r="P36" i="65" s="1"/>
  <c r="Q36" i="65" s="1"/>
  <c r="R36" i="65" s="1"/>
  <c r="S36" i="65" s="1"/>
  <c r="K37" i="65"/>
  <c r="L37" i="65" s="1"/>
  <c r="M37" i="65" s="1"/>
  <c r="N37" i="65" s="1"/>
  <c r="O37" i="65" s="1"/>
  <c r="P37" i="65" s="1"/>
  <c r="Q37" i="65" s="1"/>
  <c r="R37" i="65" s="1"/>
  <c r="S37" i="65" s="1"/>
  <c r="K38" i="65"/>
  <c r="L38" i="65" s="1"/>
  <c r="M38" i="65" s="1"/>
  <c r="N38" i="65" s="1"/>
  <c r="O38" i="65" s="1"/>
  <c r="P38" i="65" s="1"/>
  <c r="Q38" i="65" s="1"/>
  <c r="R38" i="65" s="1"/>
  <c r="S38" i="65" s="1"/>
  <c r="K39" i="65"/>
  <c r="L39" i="65" s="1"/>
  <c r="M39" i="65" s="1"/>
  <c r="N39" i="65" s="1"/>
  <c r="O39" i="65" s="1"/>
  <c r="P39" i="65" s="1"/>
  <c r="Q39" i="65" s="1"/>
  <c r="R39" i="65" s="1"/>
  <c r="S39" i="65" s="1"/>
  <c r="K40" i="65"/>
  <c r="L40" i="65" s="1"/>
  <c r="M40" i="65" s="1"/>
  <c r="N40" i="65" s="1"/>
  <c r="O40" i="65" s="1"/>
  <c r="P40" i="65" s="1"/>
  <c r="Q40" i="65" s="1"/>
  <c r="R40" i="65" s="1"/>
  <c r="S40" i="65" s="1"/>
  <c r="K41" i="65"/>
  <c r="L41" i="65" s="1"/>
  <c r="M41" i="65" s="1"/>
  <c r="N41" i="65" s="1"/>
  <c r="O41" i="65" s="1"/>
  <c r="P41" i="65" s="1"/>
  <c r="Q41" i="65" s="1"/>
  <c r="R41" i="65" s="1"/>
  <c r="S41" i="65" s="1"/>
  <c r="K42" i="65"/>
  <c r="L42" i="65" s="1"/>
  <c r="M42" i="65" s="1"/>
  <c r="N42" i="65" s="1"/>
  <c r="O42" i="65" s="1"/>
  <c r="P42" i="65" s="1"/>
  <c r="Q42" i="65" s="1"/>
  <c r="R42" i="65" s="1"/>
  <c r="S42" i="65" s="1"/>
  <c r="K43" i="65"/>
  <c r="L43" i="65" s="1"/>
  <c r="M43" i="65" s="1"/>
  <c r="N43" i="65" s="1"/>
  <c r="O43" i="65" s="1"/>
  <c r="P43" i="65" s="1"/>
  <c r="Q43" i="65" s="1"/>
  <c r="R43" i="65" s="1"/>
  <c r="S43" i="65" s="1"/>
  <c r="K44" i="65"/>
  <c r="L44" i="65" s="1"/>
  <c r="M44" i="65" s="1"/>
  <c r="N44" i="65" s="1"/>
  <c r="O44" i="65" s="1"/>
  <c r="P44" i="65" s="1"/>
  <c r="Q44" i="65" s="1"/>
  <c r="R44" i="65" s="1"/>
  <c r="S44" i="65" s="1"/>
  <c r="K45" i="65"/>
  <c r="L45" i="65" s="1"/>
  <c r="M45" i="65" s="1"/>
  <c r="N45" i="65" s="1"/>
  <c r="O45" i="65" s="1"/>
  <c r="P45" i="65" s="1"/>
  <c r="Q45" i="65" s="1"/>
  <c r="R45" i="65" s="1"/>
  <c r="S45" i="65" s="1"/>
  <c r="K46" i="65"/>
  <c r="L46" i="65" s="1"/>
  <c r="M46" i="65" s="1"/>
  <c r="N46" i="65" s="1"/>
  <c r="O46" i="65" s="1"/>
  <c r="P46" i="65" s="1"/>
  <c r="Q46" i="65" s="1"/>
  <c r="R46" i="65" s="1"/>
  <c r="S46" i="65" s="1"/>
  <c r="K47" i="65"/>
  <c r="L47" i="65" s="1"/>
  <c r="M47" i="65" s="1"/>
  <c r="N47" i="65" s="1"/>
  <c r="O47" i="65" s="1"/>
  <c r="P47" i="65" s="1"/>
  <c r="Q47" i="65" s="1"/>
  <c r="R47" i="65" s="1"/>
  <c r="S47" i="65" s="1"/>
  <c r="K48" i="65"/>
  <c r="L48" i="65" s="1"/>
  <c r="M48" i="65" s="1"/>
  <c r="N48" i="65" s="1"/>
  <c r="O48" i="65" s="1"/>
  <c r="P48" i="65" s="1"/>
  <c r="Q48" i="65" s="1"/>
  <c r="R48" i="65" s="1"/>
  <c r="S48" i="65" s="1"/>
  <c r="K49" i="65"/>
  <c r="L49" i="65" s="1"/>
  <c r="M49" i="65" s="1"/>
  <c r="N49" i="65" s="1"/>
  <c r="O49" i="65" s="1"/>
  <c r="P49" i="65" s="1"/>
  <c r="Q49" i="65" s="1"/>
  <c r="R49" i="65" s="1"/>
  <c r="S49" i="65" s="1"/>
  <c r="K50" i="65"/>
  <c r="L50" i="65" s="1"/>
  <c r="M50" i="65" s="1"/>
  <c r="N50" i="65" s="1"/>
  <c r="O50" i="65" s="1"/>
  <c r="P50" i="65" s="1"/>
  <c r="Q50" i="65" s="1"/>
  <c r="R50" i="65" s="1"/>
  <c r="S50" i="65" s="1"/>
  <c r="K51" i="65"/>
  <c r="L51" i="65" s="1"/>
  <c r="M51" i="65" s="1"/>
  <c r="N51" i="65" s="1"/>
  <c r="O51" i="65" s="1"/>
  <c r="P51" i="65" s="1"/>
  <c r="Q51" i="65" s="1"/>
  <c r="R51" i="65" s="1"/>
  <c r="S51" i="65" s="1"/>
  <c r="K52" i="65"/>
  <c r="L52" i="65" s="1"/>
  <c r="M52" i="65" s="1"/>
  <c r="N52" i="65" s="1"/>
  <c r="O52" i="65" s="1"/>
  <c r="P52" i="65" s="1"/>
  <c r="Q52" i="65" s="1"/>
  <c r="R52" i="65" s="1"/>
  <c r="S52" i="65" s="1"/>
  <c r="K53" i="65"/>
  <c r="L53" i="65" s="1"/>
  <c r="M53" i="65" s="1"/>
  <c r="N53" i="65" s="1"/>
  <c r="O53" i="65" s="1"/>
  <c r="P53" i="65" s="1"/>
  <c r="Q53" i="65" s="1"/>
  <c r="R53" i="65" s="1"/>
  <c r="S53" i="65" s="1"/>
  <c r="K54" i="65"/>
  <c r="L54" i="65" s="1"/>
  <c r="M54" i="65" s="1"/>
  <c r="N54" i="65" s="1"/>
  <c r="O54" i="65" s="1"/>
  <c r="P54" i="65" s="1"/>
  <c r="Q54" i="65" s="1"/>
  <c r="R54" i="65" s="1"/>
  <c r="S54" i="65" s="1"/>
  <c r="K55" i="65"/>
  <c r="L55" i="65" s="1"/>
  <c r="M55" i="65" s="1"/>
  <c r="N55" i="65" s="1"/>
  <c r="O55" i="65" s="1"/>
  <c r="P55" i="65" s="1"/>
  <c r="Q55" i="65" s="1"/>
  <c r="R55" i="65" s="1"/>
  <c r="S55" i="65" s="1"/>
  <c r="K56" i="65"/>
  <c r="L56" i="65" s="1"/>
  <c r="M56" i="65" s="1"/>
  <c r="N56" i="65" s="1"/>
  <c r="O56" i="65" s="1"/>
  <c r="P56" i="65" s="1"/>
  <c r="Q56" i="65" s="1"/>
  <c r="R56" i="65" s="1"/>
  <c r="S56" i="65" s="1"/>
  <c r="K57" i="65"/>
  <c r="L57" i="65" s="1"/>
  <c r="M57" i="65" s="1"/>
  <c r="N57" i="65" s="1"/>
  <c r="O57" i="65" s="1"/>
  <c r="P57" i="65" s="1"/>
  <c r="Q57" i="65" s="1"/>
  <c r="R57" i="65" s="1"/>
  <c r="S57" i="65" s="1"/>
  <c r="K58" i="65"/>
  <c r="L58" i="65" s="1"/>
  <c r="M58" i="65" s="1"/>
  <c r="N58" i="65" s="1"/>
  <c r="O58" i="65" s="1"/>
  <c r="P58" i="65" s="1"/>
  <c r="Q58" i="65" s="1"/>
  <c r="R58" i="65" s="1"/>
  <c r="S58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D3" i="65"/>
  <c r="M6" i="30" l="1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5" i="30"/>
  <c r="L6" i="63"/>
  <c r="L7" i="63"/>
  <c r="L8" i="63"/>
  <c r="L9" i="63"/>
  <c r="L10" i="63"/>
  <c r="L12" i="63"/>
  <c r="L13" i="63"/>
  <c r="L14" i="63"/>
  <c r="L15" i="63"/>
  <c r="L16" i="63"/>
  <c r="L17" i="63"/>
  <c r="L5" i="63"/>
  <c r="D3" i="30"/>
  <c r="D3" i="63"/>
  <c r="D3" i="40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Q5" i="37"/>
  <c r="D3" i="46"/>
  <c r="L32" i="42" l="1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8" i="42"/>
  <c r="M28" i="42" s="1"/>
  <c r="N28" i="42" s="1"/>
  <c r="O28" i="42" s="1"/>
  <c r="P28" i="42" s="1"/>
  <c r="Q28" i="42" s="1"/>
  <c r="R28" i="42" s="1"/>
  <c r="S28" i="42" s="1"/>
  <c r="T28" i="42" s="1"/>
  <c r="U28" i="42" s="1"/>
  <c r="L27" i="42"/>
  <c r="M27" i="42" s="1"/>
  <c r="N27" i="42" s="1"/>
  <c r="O27" i="42" s="1"/>
  <c r="P27" i="42" s="1"/>
  <c r="Q27" i="42" s="1"/>
  <c r="R27" i="42" s="1"/>
  <c r="S27" i="42" s="1"/>
  <c r="T27" i="42" s="1"/>
  <c r="U27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2" i="42"/>
  <c r="M22" i="42" s="1"/>
  <c r="N22" i="42" s="1"/>
  <c r="O22" i="42" s="1"/>
  <c r="P22" i="42" s="1"/>
  <c r="Q22" i="42" s="1"/>
  <c r="R22" i="42" s="1"/>
  <c r="S22" i="42" s="1"/>
  <c r="T22" i="42" s="1"/>
  <c r="U22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20" i="42"/>
  <c r="M20" i="42" s="1"/>
  <c r="N20" i="42" s="1"/>
  <c r="O20" i="42" s="1"/>
  <c r="P20" i="42" s="1"/>
  <c r="Q20" i="42" s="1"/>
  <c r="R20" i="42" s="1"/>
  <c r="S20" i="42" s="1"/>
  <c r="T20" i="42" s="1"/>
  <c r="U20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7" i="42"/>
  <c r="M17" i="42" s="1"/>
  <c r="N17" i="42" s="1"/>
  <c r="O17" i="42" s="1"/>
  <c r="P17" i="42" s="1"/>
  <c r="Q17" i="42" s="1"/>
  <c r="R17" i="42" s="1"/>
  <c r="S17" i="42" s="1"/>
  <c r="T17" i="42" s="1"/>
  <c r="U17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1"/>
  <c r="D3" i="42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D3" i="37"/>
  <c r="I40" i="32" l="1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23" i="32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T9" i="32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6" i="31"/>
  <c r="J16" i="31" s="1"/>
  <c r="K16" i="31" s="1"/>
  <c r="L16" i="31" s="1"/>
  <c r="M16" i="31" s="1"/>
  <c r="N16" i="31" s="1"/>
  <c r="O16" i="31" s="1"/>
  <c r="P16" i="31" s="1"/>
  <c r="Q16" i="31" s="1"/>
  <c r="R16" i="31" s="1"/>
  <c r="I15" i="31"/>
  <c r="J15" i="31" s="1"/>
  <c r="K15" i="31" s="1"/>
  <c r="L15" i="31" s="1"/>
  <c r="M15" i="31" s="1"/>
  <c r="N15" i="31" s="1"/>
  <c r="O15" i="31" s="1"/>
  <c r="P15" i="31" s="1"/>
  <c r="Q15" i="31" s="1"/>
  <c r="R15" i="31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5"/>
  <c r="D3" i="4"/>
</calcChain>
</file>

<file path=xl/comments1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<sst xmlns="http://schemas.openxmlformats.org/spreadsheetml/2006/main" count="3221" uniqueCount="417">
  <si>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</si>
  <si>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</si>
  <si>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</si>
  <si>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</si>
  <si>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</si>
  <si>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</si>
  <si>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</si>
  <si>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</si>
  <si>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</si>
  <si>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</si>
  <si>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</si>
  <si>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</si>
  <si>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</si>
  <si>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</si>
  <si>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</si>
  <si>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</si>
  <si>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</si>
  <si>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</si>
  <si>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</si>
  <si>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</si>
  <si>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</si>
  <si>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</si>
  <si>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</si>
  <si>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</si>
  <si>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</si>
  <si>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</si>
  <si>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</si>
  <si>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</si>
  <si>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</si>
  <si>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</si>
  <si>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</si>
  <si>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</si>
  <si>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</si>
  <si>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</si>
  <si>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</si>
  <si>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</si>
  <si>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</si>
  <si>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</si>
  <si>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</si>
  <si>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</si>
  <si>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</si>
  <si>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</si>
  <si>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</si>
  <si>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</si>
  <si>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</si>
  <si>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</si>
  <si>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</si>
  <si>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</si>
  <si>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</si>
  <si>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</si>
  <si>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</si>
  <si>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</si>
  <si>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</si>
  <si>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</si>
  <si>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</si>
  <si>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</si>
  <si>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</si>
  <si>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</si>
  <si>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</si>
  <si>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</si>
  <si>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</si>
  <si>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</si>
  <si>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</si>
  <si>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</si>
  <si>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</si>
  <si>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</si>
  <si>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</si>
  <si>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</si>
  <si>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</si>
  <si>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</si>
  <si>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</si>
  <si>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</si>
  <si>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</si>
  <si>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</si>
  <si>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</si>
  <si>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</si>
  <si>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</si>
  <si>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</si>
  <si>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</si>
  <si>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</si>
  <si>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</si>
  <si>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</si>
  <si>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</si>
  <si>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</si>
  <si>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</si>
  <si>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</si>
  <si>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</si>
  <si>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</si>
  <si>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</si>
  <si>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</si>
  <si>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</si>
  <si>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</si>
  <si>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</si>
  <si>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</si>
  <si>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</si>
  <si>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</si>
  <si>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</si>
  <si>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</si>
  <si>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</si>
  <si>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</si>
  <si>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</si>
  <si>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</si>
  <si>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</si>
  <si>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</si>
  <si>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</si>
  <si>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</si>
  <si>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</si>
  <si>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</si>
  <si>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</si>
  <si>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</si>
  <si>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</si>
  <si>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</si>
  <si>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</si>
  <si>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</si>
  <si>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</si>
  <si>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</si>
  <si>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</si>
  <si>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</si>
  <si>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</si>
  <si>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</si>
  <si>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</si>
  <si>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</si>
  <si>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</si>
  <si>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</si>
  <si>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</si>
  <si>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</si>
  <si>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</si>
  <si>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</si>
  <si>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</si>
  <si>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</si>
  <si>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</si>
  <si>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</si>
  <si>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</si>
  <si>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</si>
  <si>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</si>
  <si>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</si>
  <si>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</si>
  <si>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</si>
  <si>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</si>
  <si>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</si>
  <si>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</si>
  <si>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</si>
  <si>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</si>
  <si>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</si>
  <si>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</si>
  <si>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</si>
  <si>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</si>
  <si>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</si>
  <si>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</si>
  <si>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</si>
  <si>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</si>
  <si>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</si>
  <si>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</si>
  <si>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</si>
  <si>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</si>
  <si>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</si>
  <si>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</si>
  <si>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</si>
  <si>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</si>
  <si>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</si>
  <si>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</si>
  <si>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</si>
  <si>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</si>
  <si>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</si>
  <si>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</si>
  <si>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</si>
  <si>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</si>
  <si>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</si>
  <si>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</si>
  <si>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</si>
  <si>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</si>
  <si>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</si>
  <si>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</si>
  <si>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</si>
  <si>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</si>
  <si>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</si>
  <si>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</si>
  <si>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</si>
  <si>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</si>
  <si>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</si>
  <si>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</si>
  <si>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</si>
  <si>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</si>
  <si>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</si>
  <si>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</si>
  <si>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</si>
  <si>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</si>
  <si>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</si>
  <si>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</si>
  <si>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</si>
  <si>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</si>
  <si>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</si>
  <si>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</si>
  <si>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</si>
  <si>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</si>
  <si>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</si>
  <si>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</si>
  <si>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</si>
  <si>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</si>
  <si>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</si>
  <si>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</si>
  <si>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</si>
  <si>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</si>
  <si>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</si>
  <si>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</si>
  <si>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</si>
  <si>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</si>
  <si>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</si>
  <si>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</si>
  <si>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</si>
  <si>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</si>
  <si>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</si>
  <si>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</si>
  <si>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</si>
  <si>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</si>
  <si>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</si>
  <si>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</si>
  <si>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</si>
  <si>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</si>
  <si>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</si>
  <si>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</si>
  <si>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</si>
  <si>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</si>
  <si>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</si>
  <si>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</si>
  <si>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</si>
  <si>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</si>
  <si>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</si>
  <si>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</si>
  <si>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</si>
  <si>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</si>
  <si>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</si>
  <si>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PAP capex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</si>
  <si>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</si>
  <si>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</si>
  <si>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</si>
  <si>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</si>
  <si>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</si>
  <si>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</si>
  <si>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</si>
  <si>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</si>
  <si>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</si>
  <si>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</si>
  <si>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</si>
  <si>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</si>
  <si>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</si>
  <si>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</si>
  <si>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</si>
  <si>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</si>
  <si>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</si>
  <si>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</si>
  <si>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</si>
  <si>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</si>
  <si>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</si>
  <si>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</si>
  <si>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</si>
  <si>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</si>
  <si>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</si>
  <si>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</si>
  <si>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Electrical equipments</t>
  </si>
  <si>
    <t>Truck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</si>
  <si>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</si>
  <si>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</si>
  <si>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</si>
  <si>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</si>
  <si>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</si>
  <si>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</si>
  <si>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</si>
  <si>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</si>
  <si>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</si>
  <si>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</si>
  <si>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</si>
  <si>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</si>
  <si>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</si>
  <si>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</si>
  <si>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</si>
  <si>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</si>
  <si>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</si>
  <si>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</si>
  <si>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</si>
  <si>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</si>
  <si>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</si>
  <si>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</si>
  <si>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</si>
  <si>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</si>
  <si>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</si>
  <si>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</si>
  <si>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</si>
  <si>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</si>
  <si>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</si>
  <si>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</si>
  <si>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</si>
  <si>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</si>
  <si>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</si>
  <si>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</si>
  <si>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</si>
  <si>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</si>
  <si>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</si>
  <si>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</si>
  <si>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</si>
  <si>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</si>
  <si>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</si>
  <si>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</si>
  <si>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</si>
  <si>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</si>
  <si>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</si>
  <si>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</si>
  <si>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</si>
  <si>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</si>
  <si>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</si>
  <si>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</si>
  <si>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</si>
  <si>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</si>
  <si>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</si>
  <si>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</si>
  <si>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</si>
  <si>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</si>
  <si>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</si>
  <si>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</si>
  <si>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</si>
  <si>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</si>
  <si>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</si>
  <si>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</si>
  <si>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</si>
  <si>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</si>
  <si>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</si>
  <si>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</si>
  <si>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</si>
  <si>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</si>
  <si>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</si>
  <si>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</si>
  <si>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</si>
  <si>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</si>
  <si>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</si>
  <si>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</si>
  <si>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</si>
  <si>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</si>
  <si>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</si>
  <si>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</si>
  <si>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</si>
  <si>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</si>
  <si>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</si>
  <si>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</si>
  <si>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</si>
  <si>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Monoproduit</t>
  </si>
  <si>
    <t>ProductionSite</t>
  </si>
  <si>
    <t>Morocco</t>
  </si>
  <si>
    <t>Multiproduits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</si>
  <si>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</si>
  <si>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</si>
  <si>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</si>
  <si>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</si>
  <si>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</si>
  <si>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</si>
  <si>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</si>
  <si>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</si>
  <si>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</si>
  <si>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</si>
  <si>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</si>
  <si>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</si>
  <si>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</si>
  <si>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</si>
  <si>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</si>
  <si>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</si>
  <si>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</si>
  <si>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</si>
  <si>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</si>
  <si>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</si>
  <si>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</si>
  <si>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</si>
  <si>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</si>
  <si>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</si>
  <si>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</si>
  <si>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</si>
  <si>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</si>
  <si>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</si>
  <si>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</si>
  <si>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</si>
  <si>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</si>
  <si>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WP2WP</t>
  </si>
  <si>
    <t>PipeT2BG5</t>
  </si>
  <si>
    <t>WP2PAP</t>
  </si>
  <si>
    <t>PipeBG2Yfia3</t>
  </si>
  <si>
    <t>PipeBG2Mz6</t>
  </si>
  <si>
    <t>ConvT2BG5</t>
  </si>
  <si>
    <t>ConvBG2Yfia3</t>
  </si>
  <si>
    <t>ConvBG2Mz6</t>
  </si>
  <si>
    <t>LayerToLayer</t>
  </si>
  <si>
    <t>ACP 29</t>
  </si>
  <si>
    <t>PAPLocation</t>
  </si>
  <si>
    <t>NA</t>
  </si>
  <si>
    <t>Mz</t>
  </si>
  <si>
    <t>Exist</t>
  </si>
  <si>
    <t>Conveyor</t>
  </si>
  <si>
    <t>PipeT2BG10</t>
  </si>
  <si>
    <t>PipeNz2BG5</t>
  </si>
  <si>
    <t>PipeBG2Mz9</t>
  </si>
  <si>
    <t>TrainSafi2Mz4</t>
  </si>
  <si>
    <t>TrainBG2Yfia3</t>
  </si>
  <si>
    <t>TrainBG2Yfia9</t>
  </si>
  <si>
    <t>TrainYfia2Safi7</t>
  </si>
  <si>
    <t>TrainYfia2Safi9</t>
  </si>
  <si>
    <t>ConvT2BG10</t>
  </si>
  <si>
    <t>ConvNz2BG5</t>
  </si>
  <si>
    <t>ConvL2Yfia4</t>
  </si>
  <si>
    <t>ConvBG2Mz9</t>
  </si>
  <si>
    <t>DB NAME</t>
  </si>
  <si>
    <t>DS HOST</t>
  </si>
  <si>
    <t>DS PORT</t>
  </si>
  <si>
    <t>my_case</t>
  </si>
  <si>
    <t>PAP2Granul</t>
  </si>
  <si>
    <t>PipeAcid1</t>
  </si>
  <si>
    <t>PipeAcid2</t>
  </si>
  <si>
    <t>PipeAcid3</t>
  </si>
  <si>
    <t>MtP2O5</t>
  </si>
  <si>
    <t>127.0.0.1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</si>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</sst>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"/>
    <numFmt numFmtId="165" formatCode="0.0"/>
    <numFmt numFmtId="166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6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43" fontId="0" fillId="2" borderId="0" xfId="2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43" fontId="0" fillId="4" borderId="4" xfId="2" applyFont="1" applyFill="1" applyBorder="1" applyAlignment="1">
      <alignment horizontal="center" vertical="center"/>
    </xf>
    <xf numFmtId="43" fontId="0" fillId="4" borderId="5" xfId="2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1" fontId="0" fillId="7" borderId="5" xfId="0" applyNumberFormat="1" applyFill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vertical="center" wrapText="1"/>
    </xf>
    <xf numFmtId="2" fontId="0" fillId="17" borderId="5" xfId="0" applyNumberFormat="1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4" fontId="0" fillId="17" borderId="5" xfId="0" applyNumberFormat="1" applyFill="1" applyBorder="1" applyAlignment="1">
      <alignment horizontal="center" vertical="center"/>
    </xf>
    <xf numFmtId="4" fontId="0" fillId="17" borderId="4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1" fontId="0" fillId="17" borderId="5" xfId="0" applyNumberFormat="1" applyFill="1" applyBorder="1" applyAlignment="1">
      <alignment horizontal="center" vertical="center"/>
    </xf>
    <xf numFmtId="165" fontId="0" fillId="17" borderId="5" xfId="0" applyNumberFormat="1" applyFill="1" applyBorder="1" applyAlignment="1">
      <alignment horizontal="center" vertical="center"/>
    </xf>
    <xf numFmtId="9" fontId="0" fillId="17" borderId="4" xfId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3">
    <cellStyle name="Milliers" xfId="2" builtinId="3"/>
    <cellStyle name="Normal" xfId="0" builtinId="0"/>
    <cellStyle name="Pourcentag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16692" cy="26942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12782" y="384088"/>
          <a:ext cx="1401452" cy="26266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23634" y="374229"/>
          <a:ext cx="1411200" cy="26365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726865" y="369009"/>
          <a:ext cx="1420726" cy="26417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222477" y="384088"/>
          <a:ext cx="1420726" cy="26266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711963" y="387898"/>
          <a:ext cx="1410342" cy="26254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752265" y="3122208"/>
          <a:ext cx="1775422" cy="131334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26348" y="3122208"/>
          <a:ext cx="1770341" cy="131334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6</xdr:row>
          <xdr:rowOff>180975</xdr:rowOff>
        </xdr:from>
        <xdr:to>
          <xdr:col>10</xdr:col>
          <xdr:colOff>161925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180975</xdr:rowOff>
        </xdr:from>
        <xdr:to>
          <xdr:col>10</xdr:col>
          <xdr:colOff>161925</xdr:colOff>
          <xdr:row>12</xdr:row>
          <xdr:rowOff>104775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265430</xdr:colOff>
      <xdr:row>0</xdr:row>
      <xdr:rowOff>251460</xdr:rowOff>
    </xdr:to>
    <xdr:grpSp>
      <xdr:nvGrpSpPr>
        <xdr:cNvPr id="7" name="Groupe 1"/>
        <xdr:cNvGrpSpPr/>
      </xdr:nvGrpSpPr>
      <xdr:grpSpPr>
        <a:xfrm>
          <a:off x="0" y="0"/>
          <a:ext cx="255905" cy="251460"/>
          <a:chOff x="9723120" y="510540"/>
          <a:chExt cx="830580" cy="830580"/>
        </a:xfrm>
      </xdr:grpSpPr>
      <xdr:sp macro="[0]!Home" textlink="">
        <xdr:nvSpPr>
          <xdr:cNvPr id="8" name="Rectangle 7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9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00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175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66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8"/>
  <sheetViews>
    <sheetView zoomScale="85" zoomScaleNormal="85" workbookViewId="0">
      <selection activeCell="M24" sqref="M24"/>
    </sheetView>
  </sheetViews>
  <sheetFormatPr baseColWidth="10" defaultColWidth="11.5703125" defaultRowHeight="15" x14ac:dyDescent="0.25"/>
  <cols>
    <col min="1" max="3" width="3.85546875" style="1" customWidth="1"/>
    <col min="4" max="15" width="11.5703125" style="1"/>
    <col min="16" max="16" width="12.42578125" style="1" bestFit="1" customWidth="1"/>
    <col min="17" max="16384" width="11.5703125" style="1"/>
  </cols>
  <sheetData>
    <row r="1" spans="2:15" s="25" customFormat="1" ht="24.95" customHeight="1" x14ac:dyDescent="0.25">
      <c r="B1" s="24" t="s">
        <v>91</v>
      </c>
    </row>
    <row r="16" spans="2:15" x14ac:dyDescent="0.25">
      <c r="O16"/>
    </row>
    <row r="17" spans="12:14" x14ac:dyDescent="0.25">
      <c r="L17" s="142"/>
      <c r="M17" s="142"/>
      <c r="N17" s="142"/>
    </row>
    <row r="18" spans="12:14" x14ac:dyDescent="0.25">
      <c r="L18" s="142"/>
      <c r="M18" s="142"/>
      <c r="N18" s="142"/>
    </row>
    <row r="19" spans="12:14" x14ac:dyDescent="0.25">
      <c r="L19" s="142"/>
      <c r="M19" s="142"/>
      <c r="N19" s="142"/>
    </row>
    <row r="20" spans="12:14" x14ac:dyDescent="0.25">
      <c r="L20" s="142"/>
      <c r="M20" s="142"/>
      <c r="N20" s="142"/>
    </row>
    <row r="21" spans="12:14" x14ac:dyDescent="0.25">
      <c r="L21" s="142"/>
      <c r="M21" s="142"/>
      <c r="N21" s="142"/>
    </row>
    <row r="22" spans="12:14" x14ac:dyDescent="0.25">
      <c r="L22" s="142"/>
      <c r="M22" s="142"/>
      <c r="N22" s="142"/>
    </row>
    <row r="23" spans="12:14" x14ac:dyDescent="0.25">
      <c r="L23" s="142"/>
      <c r="M23" s="142"/>
      <c r="N23" s="142"/>
    </row>
    <row r="24" spans="12:14" x14ac:dyDescent="0.25">
      <c r="L24" s="142" t="s">
        <v>406</v>
      </c>
      <c r="M24" s="143" t="s">
        <v>409</v>
      </c>
      <c r="N24" s="142"/>
    </row>
    <row r="25" spans="12:14" x14ac:dyDescent="0.25">
      <c r="L25" s="142"/>
      <c r="M25" s="142"/>
      <c r="N25" s="142"/>
    </row>
    <row r="26" spans="12:14" x14ac:dyDescent="0.25">
      <c r="L26" s="142" t="s">
        <v>407</v>
      </c>
      <c r="M26" s="143" t="s">
        <v>415</v>
      </c>
      <c r="N26" s="142"/>
    </row>
    <row r="27" spans="12:14" x14ac:dyDescent="0.25">
      <c r="L27" s="142" t="s">
        <v>408</v>
      </c>
      <c r="M27" s="143">
        <v>5001</v>
      </c>
      <c r="N27" s="142"/>
    </row>
    <row r="28" spans="12:14" x14ac:dyDescent="0.25">
      <c r="L28" s="142"/>
      <c r="M28" s="142"/>
      <c r="N28" s="142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AB51"/>
  <sheetViews>
    <sheetView zoomScaleNormal="100" workbookViewId="0">
      <selection activeCell="M18" sqref="M18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28" s="25" customFormat="1" ht="24.95" customHeight="1" x14ac:dyDescent="0.25">
      <c r="B1" s="24" t="s">
        <v>181</v>
      </c>
    </row>
    <row r="3" spans="2:28" ht="15.75" thickBot="1" x14ac:dyDescent="0.3">
      <c r="D3" s="38" t="str">
        <f>JESA_UploadTable("sales_plan",D4:Q15,db)</f>
        <v>sales_plan @16:45:56</v>
      </c>
      <c r="E3" s="38"/>
    </row>
    <row r="4" spans="2:28" ht="30" customHeight="1" thickBot="1" x14ac:dyDescent="0.3">
      <c r="D4" s="57" t="s">
        <v>160</v>
      </c>
      <c r="E4" s="57" t="s">
        <v>24</v>
      </c>
      <c r="F4" s="57" t="s">
        <v>17</v>
      </c>
      <c r="G4" s="74" t="s">
        <v>37</v>
      </c>
      <c r="H4" s="74" t="s">
        <v>38</v>
      </c>
      <c r="I4" s="74" t="s">
        <v>39</v>
      </c>
      <c r="J4" s="74" t="s">
        <v>40</v>
      </c>
      <c r="K4" s="74" t="s">
        <v>41</v>
      </c>
      <c r="L4" s="74" t="s">
        <v>42</v>
      </c>
      <c r="M4" s="74" t="s">
        <v>43</v>
      </c>
      <c r="N4" s="74" t="s">
        <v>44</v>
      </c>
      <c r="O4" s="74" t="s">
        <v>45</v>
      </c>
      <c r="P4" s="74" t="s">
        <v>46</v>
      </c>
      <c r="Q4" s="74" t="s">
        <v>47</v>
      </c>
    </row>
    <row r="5" spans="2:28" x14ac:dyDescent="0.25">
      <c r="D5" s="8" t="s">
        <v>186</v>
      </c>
      <c r="E5" s="8" t="s">
        <v>288</v>
      </c>
      <c r="F5" s="8" t="s">
        <v>335</v>
      </c>
      <c r="G5" s="18">
        <v>500</v>
      </c>
      <c r="H5" s="17">
        <v>500</v>
      </c>
      <c r="I5" s="17">
        <f>IF(H5="","",H5)</f>
        <v>500</v>
      </c>
      <c r="J5" s="17">
        <v>2500</v>
      </c>
      <c r="K5" s="17">
        <f t="shared" ref="K5:Q5" si="0">IF(J5="","",J5)</f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28" x14ac:dyDescent="0.25">
      <c r="D6" s="9" t="s">
        <v>233</v>
      </c>
      <c r="E6" s="9" t="s">
        <v>388</v>
      </c>
      <c r="F6" s="9" t="s">
        <v>335</v>
      </c>
      <c r="G6" s="18">
        <v>1000</v>
      </c>
      <c r="H6" s="18">
        <v>1000</v>
      </c>
      <c r="I6" s="18">
        <v>1000</v>
      </c>
      <c r="J6" s="18">
        <v>1500</v>
      </c>
      <c r="K6" s="18">
        <v>2000</v>
      </c>
      <c r="L6" s="18">
        <v>2500</v>
      </c>
      <c r="M6" s="18">
        <v>2500</v>
      </c>
      <c r="N6" s="18">
        <v>2500</v>
      </c>
      <c r="O6" s="18">
        <v>2500</v>
      </c>
      <c r="P6" s="18">
        <v>2500</v>
      </c>
      <c r="Q6" s="18">
        <v>2500</v>
      </c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</row>
    <row r="7" spans="2:28" x14ac:dyDescent="0.25">
      <c r="D7" s="9" t="s">
        <v>234</v>
      </c>
      <c r="E7" s="9" t="s">
        <v>81</v>
      </c>
      <c r="F7" s="9" t="s">
        <v>335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400</v>
      </c>
      <c r="N7" s="18">
        <v>800</v>
      </c>
      <c r="O7" s="18">
        <v>1200</v>
      </c>
      <c r="P7" s="18">
        <v>1700</v>
      </c>
      <c r="Q7" s="18">
        <v>2500</v>
      </c>
    </row>
    <row r="8" spans="2:28" x14ac:dyDescent="0.25">
      <c r="D8" s="9" t="s">
        <v>234</v>
      </c>
      <c r="E8" s="9" t="s">
        <v>82</v>
      </c>
      <c r="F8" s="9" t="s">
        <v>335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500</v>
      </c>
      <c r="N8" s="18">
        <v>1100</v>
      </c>
      <c r="O8" s="18">
        <v>1600</v>
      </c>
      <c r="P8" s="18">
        <v>2200</v>
      </c>
      <c r="Q8" s="18">
        <v>2800</v>
      </c>
    </row>
    <row r="9" spans="2:28" x14ac:dyDescent="0.25">
      <c r="D9" s="9" t="s">
        <v>234</v>
      </c>
      <c r="E9" s="9" t="s">
        <v>244</v>
      </c>
      <c r="F9" s="9" t="s">
        <v>335</v>
      </c>
      <c r="G9" s="18">
        <v>150</v>
      </c>
      <c r="H9" s="18">
        <v>150</v>
      </c>
      <c r="I9" s="18">
        <f t="shared" ref="I9:Q9" si="1">IF(H9="","",H9)</f>
        <v>150</v>
      </c>
      <c r="J9" s="18">
        <f t="shared" si="1"/>
        <v>150</v>
      </c>
      <c r="K9" s="18">
        <f t="shared" si="1"/>
        <v>150</v>
      </c>
      <c r="L9" s="18">
        <f t="shared" si="1"/>
        <v>150</v>
      </c>
      <c r="M9" s="18">
        <f t="shared" si="1"/>
        <v>150</v>
      </c>
      <c r="N9" s="18">
        <f t="shared" si="1"/>
        <v>150</v>
      </c>
      <c r="O9" s="18">
        <f t="shared" si="1"/>
        <v>150</v>
      </c>
      <c r="P9" s="18">
        <f t="shared" si="1"/>
        <v>150</v>
      </c>
      <c r="Q9" s="18">
        <f t="shared" si="1"/>
        <v>150</v>
      </c>
    </row>
    <row r="10" spans="2:28" x14ac:dyDescent="0.25">
      <c r="D10" s="9" t="s">
        <v>234</v>
      </c>
      <c r="E10" s="9" t="s">
        <v>85</v>
      </c>
      <c r="F10" s="9" t="s">
        <v>335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28" x14ac:dyDescent="0.25">
      <c r="D11" s="9" t="s">
        <v>234</v>
      </c>
      <c r="E11" s="9" t="s">
        <v>83</v>
      </c>
      <c r="F11" s="9" t="s">
        <v>335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28" x14ac:dyDescent="0.25">
      <c r="D12" s="9" t="s">
        <v>234</v>
      </c>
      <c r="E12" s="9" t="s">
        <v>84</v>
      </c>
      <c r="F12" s="9" t="s">
        <v>335</v>
      </c>
      <c r="G12" s="18">
        <v>830</v>
      </c>
      <c r="H12" s="18">
        <v>830</v>
      </c>
      <c r="I12" s="18">
        <f t="shared" ref="I12:Q12" si="2">H12</f>
        <v>830</v>
      </c>
      <c r="J12" s="18">
        <f t="shared" si="2"/>
        <v>830</v>
      </c>
      <c r="K12" s="18">
        <f t="shared" si="2"/>
        <v>830</v>
      </c>
      <c r="L12" s="18">
        <f t="shared" si="2"/>
        <v>830</v>
      </c>
      <c r="M12" s="18">
        <f t="shared" si="2"/>
        <v>830</v>
      </c>
      <c r="N12" s="18">
        <f t="shared" si="2"/>
        <v>830</v>
      </c>
      <c r="O12" s="18">
        <f t="shared" si="2"/>
        <v>830</v>
      </c>
      <c r="P12" s="18">
        <f t="shared" si="2"/>
        <v>830</v>
      </c>
      <c r="Q12" s="18">
        <f t="shared" si="2"/>
        <v>830</v>
      </c>
    </row>
    <row r="13" spans="2:28" x14ac:dyDescent="0.25">
      <c r="D13" s="9"/>
      <c r="E13" s="9"/>
      <c r="F13" s="9"/>
      <c r="G13" s="18"/>
      <c r="H13" s="18" t="str">
        <f t="shared" ref="H13:Q22" si="3">IF(G13="","",G13)</f>
        <v/>
      </c>
      <c r="I13" s="18" t="str">
        <f t="shared" si="3"/>
        <v/>
      </c>
      <c r="J13" s="18" t="str">
        <f t="shared" si="3"/>
        <v/>
      </c>
      <c r="K13" s="18" t="str">
        <f t="shared" si="3"/>
        <v/>
      </c>
      <c r="L13" s="18" t="str">
        <f t="shared" si="3"/>
        <v/>
      </c>
      <c r="M13" s="18" t="str">
        <f t="shared" si="3"/>
        <v/>
      </c>
      <c r="N13" s="18" t="str">
        <f t="shared" si="3"/>
        <v/>
      </c>
      <c r="O13" s="18" t="str">
        <f t="shared" si="3"/>
        <v/>
      </c>
      <c r="P13" s="18" t="str">
        <f t="shared" si="3"/>
        <v/>
      </c>
      <c r="Q13" s="18" t="str">
        <f t="shared" si="3"/>
        <v/>
      </c>
    </row>
    <row r="14" spans="2:28" x14ac:dyDescent="0.25">
      <c r="D14" s="9"/>
      <c r="E14" s="9"/>
      <c r="F14" s="9"/>
      <c r="G14" s="18"/>
      <c r="H14" s="18" t="str">
        <f t="shared" si="3"/>
        <v/>
      </c>
      <c r="I14" s="18" t="str">
        <f t="shared" si="3"/>
        <v/>
      </c>
      <c r="J14" s="18" t="str">
        <f t="shared" si="3"/>
        <v/>
      </c>
      <c r="K14" s="18" t="str">
        <f t="shared" si="3"/>
        <v/>
      </c>
      <c r="L14" s="18" t="str">
        <f t="shared" si="3"/>
        <v/>
      </c>
      <c r="M14" s="18" t="str">
        <f t="shared" si="3"/>
        <v/>
      </c>
      <c r="N14" s="18" t="str">
        <f t="shared" si="3"/>
        <v/>
      </c>
      <c r="O14" s="18" t="str">
        <f t="shared" si="3"/>
        <v/>
      </c>
      <c r="P14" s="18" t="str">
        <f t="shared" si="3"/>
        <v/>
      </c>
      <c r="Q14" s="18" t="str">
        <f t="shared" si="3"/>
        <v/>
      </c>
    </row>
    <row r="15" spans="2:28" x14ac:dyDescent="0.25">
      <c r="D15" s="9"/>
      <c r="E15" s="9"/>
      <c r="F15" s="9"/>
      <c r="G15" s="18"/>
      <c r="H15" s="18" t="str">
        <f t="shared" si="3"/>
        <v/>
      </c>
      <c r="I15" s="18" t="str">
        <f t="shared" si="3"/>
        <v/>
      </c>
      <c r="J15" s="18" t="str">
        <f t="shared" si="3"/>
        <v/>
      </c>
      <c r="K15" s="18" t="str">
        <f t="shared" si="3"/>
        <v/>
      </c>
      <c r="L15" s="18" t="str">
        <f t="shared" si="3"/>
        <v/>
      </c>
      <c r="M15" s="18" t="str">
        <f t="shared" si="3"/>
        <v/>
      </c>
      <c r="N15" s="18" t="str">
        <f t="shared" si="3"/>
        <v/>
      </c>
      <c r="O15" s="18" t="str">
        <f t="shared" si="3"/>
        <v/>
      </c>
      <c r="P15" s="18" t="str">
        <f t="shared" si="3"/>
        <v/>
      </c>
      <c r="Q15" s="18" t="str">
        <f t="shared" si="3"/>
        <v/>
      </c>
    </row>
    <row r="16" spans="2:28" x14ac:dyDescent="0.25">
      <c r="D16" s="9"/>
      <c r="E16" s="9"/>
      <c r="F16" s="9"/>
      <c r="G16" s="18"/>
      <c r="H16" s="18" t="str">
        <f t="shared" si="3"/>
        <v/>
      </c>
      <c r="I16" s="18" t="str">
        <f t="shared" si="3"/>
        <v/>
      </c>
      <c r="J16" s="18" t="str">
        <f t="shared" si="3"/>
        <v/>
      </c>
      <c r="K16" s="18" t="str">
        <f t="shared" si="3"/>
        <v/>
      </c>
      <c r="L16" s="18" t="str">
        <f t="shared" si="3"/>
        <v/>
      </c>
      <c r="M16" s="18" t="str">
        <f t="shared" si="3"/>
        <v/>
      </c>
      <c r="N16" s="18" t="str">
        <f t="shared" si="3"/>
        <v/>
      </c>
      <c r="O16" s="18" t="str">
        <f t="shared" si="3"/>
        <v/>
      </c>
      <c r="P16" s="18" t="str">
        <f t="shared" si="3"/>
        <v/>
      </c>
      <c r="Q16" s="18" t="str">
        <f t="shared" si="3"/>
        <v/>
      </c>
    </row>
    <row r="17" spans="4:17" x14ac:dyDescent="0.25">
      <c r="D17" s="9"/>
      <c r="E17" s="9"/>
      <c r="F17" s="9"/>
      <c r="G17" s="18"/>
      <c r="H17" s="18" t="str">
        <f t="shared" si="3"/>
        <v/>
      </c>
      <c r="I17" s="18" t="str">
        <f t="shared" si="3"/>
        <v/>
      </c>
      <c r="J17" s="18" t="str">
        <f t="shared" si="3"/>
        <v/>
      </c>
      <c r="K17" s="18" t="str">
        <f t="shared" si="3"/>
        <v/>
      </c>
      <c r="L17" s="18" t="str">
        <f t="shared" si="3"/>
        <v/>
      </c>
      <c r="M17" s="18" t="str">
        <f t="shared" si="3"/>
        <v/>
      </c>
      <c r="N17" s="18" t="str">
        <f t="shared" si="3"/>
        <v/>
      </c>
      <c r="O17" s="18" t="str">
        <f t="shared" si="3"/>
        <v/>
      </c>
      <c r="P17" s="18" t="str">
        <f t="shared" si="3"/>
        <v/>
      </c>
      <c r="Q17" s="18" t="str">
        <f t="shared" si="3"/>
        <v/>
      </c>
    </row>
    <row r="18" spans="4:17" x14ac:dyDescent="0.25">
      <c r="D18" s="9"/>
      <c r="E18" s="9"/>
      <c r="F18" s="9"/>
      <c r="G18" s="18"/>
      <c r="H18" s="18" t="str">
        <f t="shared" si="3"/>
        <v/>
      </c>
      <c r="I18" s="18" t="str">
        <f t="shared" si="3"/>
        <v/>
      </c>
      <c r="J18" s="18" t="str">
        <f t="shared" si="3"/>
        <v/>
      </c>
      <c r="K18" s="18" t="str">
        <f t="shared" si="3"/>
        <v/>
      </c>
      <c r="L18" s="18" t="str">
        <f t="shared" si="3"/>
        <v/>
      </c>
      <c r="M18" s="18" t="str">
        <f t="shared" si="3"/>
        <v/>
      </c>
      <c r="N18" s="18" t="str">
        <f t="shared" si="3"/>
        <v/>
      </c>
      <c r="O18" s="18" t="str">
        <f t="shared" si="3"/>
        <v/>
      </c>
      <c r="P18" s="18" t="str">
        <f t="shared" si="3"/>
        <v/>
      </c>
      <c r="Q18" s="18" t="str">
        <f t="shared" si="3"/>
        <v/>
      </c>
    </row>
    <row r="19" spans="4:17" x14ac:dyDescent="0.25">
      <c r="D19" s="9"/>
      <c r="E19" s="9"/>
      <c r="F19" s="9"/>
      <c r="G19" s="18"/>
      <c r="H19" s="18" t="str">
        <f t="shared" si="3"/>
        <v/>
      </c>
      <c r="I19" s="18" t="str">
        <f t="shared" si="3"/>
        <v/>
      </c>
      <c r="J19" s="18" t="str">
        <f t="shared" si="3"/>
        <v/>
      </c>
      <c r="K19" s="18" t="str">
        <f t="shared" si="3"/>
        <v/>
      </c>
      <c r="L19" s="18" t="str">
        <f t="shared" si="3"/>
        <v/>
      </c>
      <c r="M19" s="18" t="str">
        <f t="shared" si="3"/>
        <v/>
      </c>
      <c r="N19" s="18" t="str">
        <f t="shared" si="3"/>
        <v/>
      </c>
      <c r="O19" s="18" t="str">
        <f t="shared" si="3"/>
        <v/>
      </c>
      <c r="P19" s="18" t="str">
        <f t="shared" si="3"/>
        <v/>
      </c>
      <c r="Q19" s="18" t="str">
        <f t="shared" si="3"/>
        <v/>
      </c>
    </row>
    <row r="20" spans="4:17" x14ac:dyDescent="0.25">
      <c r="D20" s="9"/>
      <c r="E20" s="9"/>
      <c r="F20" s="9"/>
      <c r="G20" s="18"/>
      <c r="H20" s="18" t="str">
        <f t="shared" si="3"/>
        <v/>
      </c>
      <c r="I20" s="18" t="str">
        <f t="shared" si="3"/>
        <v/>
      </c>
      <c r="J20" s="18" t="str">
        <f t="shared" si="3"/>
        <v/>
      </c>
      <c r="K20" s="18" t="str">
        <f t="shared" si="3"/>
        <v/>
      </c>
      <c r="L20" s="18" t="str">
        <f t="shared" si="3"/>
        <v/>
      </c>
      <c r="M20" s="18" t="str">
        <f t="shared" si="3"/>
        <v/>
      </c>
      <c r="N20" s="18" t="str">
        <f t="shared" si="3"/>
        <v/>
      </c>
      <c r="O20" s="18" t="str">
        <f t="shared" si="3"/>
        <v/>
      </c>
      <c r="P20" s="18" t="str">
        <f t="shared" si="3"/>
        <v/>
      </c>
      <c r="Q20" s="18" t="str">
        <f t="shared" si="3"/>
        <v/>
      </c>
    </row>
    <row r="21" spans="4:17" x14ac:dyDescent="0.25">
      <c r="D21" s="9"/>
      <c r="E21" s="9"/>
      <c r="F21" s="9"/>
      <c r="G21" s="18"/>
      <c r="H21" s="18" t="str">
        <f t="shared" si="3"/>
        <v/>
      </c>
      <c r="I21" s="18" t="str">
        <f t="shared" si="3"/>
        <v/>
      </c>
      <c r="J21" s="18" t="str">
        <f t="shared" si="3"/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</row>
    <row r="22" spans="4:17" x14ac:dyDescent="0.25">
      <c r="D22" s="9"/>
      <c r="E22" s="9"/>
      <c r="F22" s="9"/>
      <c r="G22" s="18"/>
      <c r="H22" s="18" t="str">
        <f t="shared" si="3"/>
        <v/>
      </c>
      <c r="I22" s="18" t="str">
        <f t="shared" si="3"/>
        <v/>
      </c>
      <c r="J22" s="18" t="str">
        <f t="shared" si="3"/>
        <v/>
      </c>
      <c r="K22" s="18" t="str">
        <f t="shared" si="3"/>
        <v/>
      </c>
      <c r="L22" s="18" t="str">
        <f t="shared" si="3"/>
        <v/>
      </c>
      <c r="M22" s="18" t="str">
        <f t="shared" si="3"/>
        <v/>
      </c>
      <c r="N22" s="18" t="str">
        <f t="shared" si="3"/>
        <v/>
      </c>
      <c r="O22" s="18" t="str">
        <f t="shared" si="3"/>
        <v/>
      </c>
      <c r="P22" s="18" t="str">
        <f t="shared" si="3"/>
        <v/>
      </c>
      <c r="Q22" s="18" t="str">
        <f t="shared" si="3"/>
        <v/>
      </c>
    </row>
    <row r="23" spans="4:17" x14ac:dyDescent="0.25">
      <c r="D23" s="9"/>
      <c r="E23" s="9"/>
      <c r="F23" s="9"/>
      <c r="G23" s="18"/>
      <c r="H23" s="18" t="str">
        <f t="shared" ref="H23:Q38" si="4">IF(G23="","",G23)</f>
        <v/>
      </c>
      <c r="I23" s="18" t="str">
        <f t="shared" si="4"/>
        <v/>
      </c>
      <c r="J23" s="18" t="str">
        <f t="shared" si="4"/>
        <v/>
      </c>
      <c r="K23" s="18" t="str">
        <f t="shared" si="4"/>
        <v/>
      </c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</row>
    <row r="24" spans="4:17" x14ac:dyDescent="0.25">
      <c r="D24" s="9"/>
      <c r="E24" s="9"/>
      <c r="F24" s="9"/>
      <c r="G24" s="18"/>
      <c r="H24" s="18" t="str">
        <f t="shared" si="4"/>
        <v/>
      </c>
      <c r="I24" s="18" t="str">
        <f t="shared" si="4"/>
        <v/>
      </c>
      <c r="J24" s="18" t="str">
        <f t="shared" si="4"/>
        <v/>
      </c>
      <c r="K24" s="18" t="str">
        <f t="shared" si="4"/>
        <v/>
      </c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</row>
    <row r="25" spans="4:17" x14ac:dyDescent="0.25">
      <c r="D25" s="9"/>
      <c r="E25" s="9"/>
      <c r="F25" s="9"/>
      <c r="G25" s="18"/>
      <c r="H25" s="18" t="str">
        <f t="shared" si="4"/>
        <v/>
      </c>
      <c r="I25" s="18" t="str">
        <f t="shared" si="4"/>
        <v/>
      </c>
      <c r="J25" s="18" t="str">
        <f t="shared" si="4"/>
        <v/>
      </c>
      <c r="K25" s="18" t="str">
        <f t="shared" si="4"/>
        <v/>
      </c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</row>
    <row r="26" spans="4:17" x14ac:dyDescent="0.25">
      <c r="D26" s="9"/>
      <c r="E26" s="9"/>
      <c r="F26" s="9"/>
      <c r="G26" s="18"/>
      <c r="H26" s="18" t="str">
        <f t="shared" si="4"/>
        <v/>
      </c>
      <c r="I26" s="18" t="str">
        <f t="shared" si="4"/>
        <v/>
      </c>
      <c r="J26" s="18" t="str">
        <f t="shared" si="4"/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</row>
    <row r="27" spans="4:17" x14ac:dyDescent="0.25">
      <c r="D27" s="9"/>
      <c r="E27" s="9"/>
      <c r="F27" s="9"/>
      <c r="G27" s="18"/>
      <c r="H27" s="18" t="str">
        <f t="shared" si="4"/>
        <v/>
      </c>
      <c r="I27" s="18" t="str">
        <f t="shared" si="4"/>
        <v/>
      </c>
      <c r="J27" s="18" t="str">
        <f t="shared" si="4"/>
        <v/>
      </c>
      <c r="K27" s="18" t="str">
        <f t="shared" si="4"/>
        <v/>
      </c>
      <c r="L27" s="18" t="str">
        <f t="shared" si="4"/>
        <v/>
      </c>
      <c r="M27" s="18" t="str">
        <f t="shared" si="4"/>
        <v/>
      </c>
      <c r="N27" s="18" t="str">
        <f t="shared" si="4"/>
        <v/>
      </c>
      <c r="O27" s="18" t="str">
        <f t="shared" si="4"/>
        <v/>
      </c>
      <c r="P27" s="18" t="str">
        <f t="shared" si="4"/>
        <v/>
      </c>
      <c r="Q27" s="18" t="str">
        <f t="shared" si="4"/>
        <v/>
      </c>
    </row>
    <row r="28" spans="4:17" x14ac:dyDescent="0.25">
      <c r="D28" s="9"/>
      <c r="E28" s="9"/>
      <c r="F28" s="9"/>
      <c r="G28" s="18"/>
      <c r="H28" s="18" t="str">
        <f t="shared" si="4"/>
        <v/>
      </c>
      <c r="I28" s="18" t="str">
        <f t="shared" si="4"/>
        <v/>
      </c>
      <c r="J28" s="18" t="str">
        <f t="shared" si="4"/>
        <v/>
      </c>
      <c r="K28" s="18" t="str">
        <f t="shared" si="4"/>
        <v/>
      </c>
      <c r="L28" s="18" t="str">
        <f t="shared" si="4"/>
        <v/>
      </c>
      <c r="M28" s="18" t="str">
        <f t="shared" si="4"/>
        <v/>
      </c>
      <c r="N28" s="18" t="str">
        <f t="shared" si="4"/>
        <v/>
      </c>
      <c r="O28" s="18" t="str">
        <f t="shared" si="4"/>
        <v/>
      </c>
      <c r="P28" s="18" t="str">
        <f t="shared" si="4"/>
        <v/>
      </c>
      <c r="Q28" s="18" t="str">
        <f t="shared" si="4"/>
        <v/>
      </c>
    </row>
    <row r="29" spans="4:17" x14ac:dyDescent="0.25">
      <c r="D29" s="9"/>
      <c r="E29" s="9"/>
      <c r="F29" s="9"/>
      <c r="G29" s="18"/>
      <c r="H29" s="18" t="str">
        <f t="shared" si="4"/>
        <v/>
      </c>
      <c r="I29" s="18" t="str">
        <f t="shared" si="4"/>
        <v/>
      </c>
      <c r="J29" s="18" t="str">
        <f t="shared" si="4"/>
        <v/>
      </c>
      <c r="K29" s="18" t="str">
        <f t="shared" si="4"/>
        <v/>
      </c>
      <c r="L29" s="18" t="str">
        <f t="shared" si="4"/>
        <v/>
      </c>
      <c r="M29" s="18" t="str">
        <f t="shared" si="4"/>
        <v/>
      </c>
      <c r="N29" s="18" t="str">
        <f t="shared" si="4"/>
        <v/>
      </c>
      <c r="O29" s="18" t="str">
        <f t="shared" si="4"/>
        <v/>
      </c>
      <c r="P29" s="18" t="str">
        <f t="shared" si="4"/>
        <v/>
      </c>
      <c r="Q29" s="18" t="str">
        <f t="shared" si="4"/>
        <v/>
      </c>
    </row>
    <row r="30" spans="4:17" x14ac:dyDescent="0.25">
      <c r="D30" s="9"/>
      <c r="E30" s="9"/>
      <c r="F30" s="9"/>
      <c r="G30" s="18"/>
      <c r="H30" s="18" t="str">
        <f t="shared" si="4"/>
        <v/>
      </c>
      <c r="I30" s="18" t="str">
        <f t="shared" si="4"/>
        <v/>
      </c>
      <c r="J30" s="18" t="str">
        <f t="shared" si="4"/>
        <v/>
      </c>
      <c r="K30" s="18" t="str">
        <f t="shared" si="4"/>
        <v/>
      </c>
      <c r="L30" s="18" t="str">
        <f t="shared" si="4"/>
        <v/>
      </c>
      <c r="M30" s="18" t="str">
        <f t="shared" si="4"/>
        <v/>
      </c>
      <c r="N30" s="18" t="str">
        <f t="shared" si="4"/>
        <v/>
      </c>
      <c r="O30" s="18" t="str">
        <f t="shared" si="4"/>
        <v/>
      </c>
      <c r="P30" s="18" t="str">
        <f t="shared" si="4"/>
        <v/>
      </c>
      <c r="Q30" s="18" t="str">
        <f t="shared" si="4"/>
        <v/>
      </c>
    </row>
    <row r="31" spans="4:17" x14ac:dyDescent="0.25">
      <c r="D31" s="9"/>
      <c r="E31" s="9"/>
      <c r="F31" s="9"/>
      <c r="G31" s="18"/>
      <c r="H31" s="18" t="str">
        <f t="shared" si="4"/>
        <v/>
      </c>
      <c r="I31" s="18" t="str">
        <f t="shared" si="4"/>
        <v/>
      </c>
      <c r="J31" s="18" t="str">
        <f t="shared" si="4"/>
        <v/>
      </c>
      <c r="K31" s="18" t="str">
        <f t="shared" si="4"/>
        <v/>
      </c>
      <c r="L31" s="18" t="str">
        <f t="shared" si="4"/>
        <v/>
      </c>
      <c r="M31" s="18" t="str">
        <f t="shared" si="4"/>
        <v/>
      </c>
      <c r="N31" s="18" t="str">
        <f t="shared" si="4"/>
        <v/>
      </c>
      <c r="O31" s="18" t="str">
        <f t="shared" si="4"/>
        <v/>
      </c>
      <c r="P31" s="18" t="str">
        <f t="shared" si="4"/>
        <v/>
      </c>
      <c r="Q31" s="18" t="str">
        <f t="shared" si="4"/>
        <v/>
      </c>
    </row>
    <row r="32" spans="4:17" x14ac:dyDescent="0.25">
      <c r="D32" s="9"/>
      <c r="E32" s="9"/>
      <c r="F32" s="9"/>
      <c r="G32" s="18"/>
      <c r="H32" s="18" t="str">
        <f t="shared" si="4"/>
        <v/>
      </c>
      <c r="I32" s="18" t="str">
        <f t="shared" si="4"/>
        <v/>
      </c>
      <c r="J32" s="18" t="str">
        <f t="shared" si="4"/>
        <v/>
      </c>
      <c r="K32" s="18" t="str">
        <f t="shared" si="4"/>
        <v/>
      </c>
      <c r="L32" s="18" t="str">
        <f t="shared" si="4"/>
        <v/>
      </c>
      <c r="M32" s="18" t="str">
        <f t="shared" si="4"/>
        <v/>
      </c>
      <c r="N32" s="18" t="str">
        <f t="shared" si="4"/>
        <v/>
      </c>
      <c r="O32" s="18" t="str">
        <f t="shared" si="4"/>
        <v/>
      </c>
      <c r="P32" s="18" t="str">
        <f t="shared" si="4"/>
        <v/>
      </c>
      <c r="Q32" s="18" t="str">
        <f t="shared" si="4"/>
        <v/>
      </c>
    </row>
    <row r="33" spans="4:17" x14ac:dyDescent="0.25">
      <c r="D33" s="9"/>
      <c r="E33" s="9"/>
      <c r="F33" s="9"/>
      <c r="G33" s="18"/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  <c r="L33" s="18" t="str">
        <f t="shared" si="4"/>
        <v/>
      </c>
      <c r="M33" s="18" t="str">
        <f t="shared" si="4"/>
        <v/>
      </c>
      <c r="N33" s="18" t="str">
        <f t="shared" si="4"/>
        <v/>
      </c>
      <c r="O33" s="18" t="str">
        <f t="shared" si="4"/>
        <v/>
      </c>
      <c r="P33" s="18" t="str">
        <f t="shared" si="4"/>
        <v/>
      </c>
      <c r="Q33" s="18" t="str">
        <f t="shared" si="4"/>
        <v/>
      </c>
    </row>
    <row r="34" spans="4:17" x14ac:dyDescent="0.25">
      <c r="D34" s="9"/>
      <c r="E34" s="9"/>
      <c r="F34" s="9"/>
      <c r="G34" s="18"/>
      <c r="H34" s="18" t="str">
        <f t="shared" si="4"/>
        <v/>
      </c>
      <c r="I34" s="18" t="str">
        <f t="shared" si="4"/>
        <v/>
      </c>
      <c r="J34" s="18" t="str">
        <f t="shared" si="4"/>
        <v/>
      </c>
      <c r="K34" s="18" t="str">
        <f t="shared" si="4"/>
        <v/>
      </c>
      <c r="L34" s="18" t="str">
        <f t="shared" si="4"/>
        <v/>
      </c>
      <c r="M34" s="18" t="str">
        <f t="shared" si="4"/>
        <v/>
      </c>
      <c r="N34" s="18" t="str">
        <f t="shared" si="4"/>
        <v/>
      </c>
      <c r="O34" s="18" t="str">
        <f t="shared" si="4"/>
        <v/>
      </c>
      <c r="P34" s="18" t="str">
        <f t="shared" si="4"/>
        <v/>
      </c>
      <c r="Q34" s="18" t="str">
        <f t="shared" si="4"/>
        <v/>
      </c>
    </row>
    <row r="35" spans="4:17" x14ac:dyDescent="0.25">
      <c r="D35" s="9"/>
      <c r="E35" s="9"/>
      <c r="F35" s="9"/>
      <c r="G35" s="18"/>
      <c r="H35" s="18" t="str">
        <f t="shared" si="4"/>
        <v/>
      </c>
      <c r="I35" s="18" t="str">
        <f t="shared" si="4"/>
        <v/>
      </c>
      <c r="J35" s="18" t="str">
        <f t="shared" si="4"/>
        <v/>
      </c>
      <c r="K35" s="18" t="str">
        <f t="shared" si="4"/>
        <v/>
      </c>
      <c r="L35" s="18" t="str">
        <f t="shared" si="4"/>
        <v/>
      </c>
      <c r="M35" s="18" t="str">
        <f t="shared" si="4"/>
        <v/>
      </c>
      <c r="N35" s="18" t="str">
        <f t="shared" si="4"/>
        <v/>
      </c>
      <c r="O35" s="18" t="str">
        <f t="shared" si="4"/>
        <v/>
      </c>
      <c r="P35" s="18" t="str">
        <f t="shared" si="4"/>
        <v/>
      </c>
      <c r="Q35" s="18" t="str">
        <f t="shared" si="4"/>
        <v/>
      </c>
    </row>
    <row r="36" spans="4:17" x14ac:dyDescent="0.25">
      <c r="D36" s="9"/>
      <c r="E36" s="9"/>
      <c r="F36" s="9"/>
      <c r="G36" s="18"/>
      <c r="H36" s="18" t="str">
        <f t="shared" si="4"/>
        <v/>
      </c>
      <c r="I36" s="18" t="str">
        <f t="shared" si="4"/>
        <v/>
      </c>
      <c r="J36" s="18" t="str">
        <f t="shared" si="4"/>
        <v/>
      </c>
      <c r="K36" s="18" t="str">
        <f t="shared" si="4"/>
        <v/>
      </c>
      <c r="L36" s="18" t="str">
        <f t="shared" si="4"/>
        <v/>
      </c>
      <c r="M36" s="18" t="str">
        <f t="shared" si="4"/>
        <v/>
      </c>
      <c r="N36" s="18" t="str">
        <f t="shared" si="4"/>
        <v/>
      </c>
      <c r="O36" s="18" t="str">
        <f t="shared" si="4"/>
        <v/>
      </c>
      <c r="P36" s="18" t="str">
        <f t="shared" si="4"/>
        <v/>
      </c>
      <c r="Q36" s="18" t="str">
        <f t="shared" si="4"/>
        <v/>
      </c>
    </row>
    <row r="37" spans="4:17" x14ac:dyDescent="0.25">
      <c r="D37" s="9"/>
      <c r="E37" s="9"/>
      <c r="F37" s="9"/>
      <c r="G37" s="18"/>
      <c r="H37" s="18" t="str">
        <f t="shared" si="4"/>
        <v/>
      </c>
      <c r="I37" s="18" t="str">
        <f t="shared" si="4"/>
        <v/>
      </c>
      <c r="J37" s="18" t="str">
        <f t="shared" si="4"/>
        <v/>
      </c>
      <c r="K37" s="18" t="str">
        <f t="shared" si="4"/>
        <v/>
      </c>
      <c r="L37" s="18" t="str">
        <f t="shared" si="4"/>
        <v/>
      </c>
      <c r="M37" s="18" t="str">
        <f t="shared" si="4"/>
        <v/>
      </c>
      <c r="N37" s="18" t="str">
        <f t="shared" si="4"/>
        <v/>
      </c>
      <c r="O37" s="18" t="str">
        <f t="shared" si="4"/>
        <v/>
      </c>
      <c r="P37" s="18" t="str">
        <f t="shared" si="4"/>
        <v/>
      </c>
      <c r="Q37" s="18" t="str">
        <f t="shared" si="4"/>
        <v/>
      </c>
    </row>
    <row r="38" spans="4:17" x14ac:dyDescent="0.25">
      <c r="D38" s="9"/>
      <c r="E38" s="9"/>
      <c r="F38" s="9"/>
      <c r="G38" s="18"/>
      <c r="H38" s="18" t="str">
        <f t="shared" si="4"/>
        <v/>
      </c>
      <c r="I38" s="18" t="str">
        <f t="shared" si="4"/>
        <v/>
      </c>
      <c r="J38" s="18" t="str">
        <f t="shared" si="4"/>
        <v/>
      </c>
      <c r="K38" s="18" t="str">
        <f t="shared" si="4"/>
        <v/>
      </c>
      <c r="L38" s="18" t="str">
        <f t="shared" si="4"/>
        <v/>
      </c>
      <c r="M38" s="18" t="str">
        <f t="shared" si="4"/>
        <v/>
      </c>
      <c r="N38" s="18" t="str">
        <f t="shared" si="4"/>
        <v/>
      </c>
      <c r="O38" s="18" t="str">
        <f t="shared" si="4"/>
        <v/>
      </c>
      <c r="P38" s="18" t="str">
        <f t="shared" si="4"/>
        <v/>
      </c>
      <c r="Q38" s="18" t="str">
        <f t="shared" si="4"/>
        <v/>
      </c>
    </row>
    <row r="39" spans="4:17" x14ac:dyDescent="0.25">
      <c r="D39" s="9"/>
      <c r="E39" s="9"/>
      <c r="F39" s="9"/>
      <c r="G39" s="18"/>
      <c r="H39" s="18" t="str">
        <f t="shared" ref="H39:Q50" si="5">IF(G39="","",G39)</f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str">
        <f t="shared" si="5"/>
        <v/>
      </c>
      <c r="M39" s="18" t="str">
        <f t="shared" si="5"/>
        <v/>
      </c>
      <c r="N39" s="18" t="str">
        <f t="shared" si="5"/>
        <v/>
      </c>
      <c r="O39" s="18" t="str">
        <f t="shared" si="5"/>
        <v/>
      </c>
      <c r="P39" s="18" t="str">
        <f t="shared" si="5"/>
        <v/>
      </c>
      <c r="Q39" s="18" t="str">
        <f t="shared" si="5"/>
        <v/>
      </c>
    </row>
    <row r="40" spans="4:17" x14ac:dyDescent="0.25">
      <c r="D40" s="9"/>
      <c r="E40" s="9"/>
      <c r="F40" s="9"/>
      <c r="G40" s="18"/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str">
        <f t="shared" si="5"/>
        <v/>
      </c>
      <c r="M40" s="18" t="str">
        <f t="shared" si="5"/>
        <v/>
      </c>
      <c r="N40" s="18" t="str">
        <f t="shared" si="5"/>
        <v/>
      </c>
      <c r="O40" s="18" t="str">
        <f t="shared" si="5"/>
        <v/>
      </c>
      <c r="P40" s="18" t="str">
        <f t="shared" si="5"/>
        <v/>
      </c>
      <c r="Q40" s="18" t="str">
        <f t="shared" si="5"/>
        <v/>
      </c>
    </row>
    <row r="41" spans="4:17" x14ac:dyDescent="0.25">
      <c r="D41" s="9"/>
      <c r="E41" s="9"/>
      <c r="F41" s="9"/>
      <c r="G41" s="18"/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str">
        <f t="shared" si="5"/>
        <v/>
      </c>
      <c r="M41" s="18" t="str">
        <f t="shared" si="5"/>
        <v/>
      </c>
      <c r="N41" s="18" t="str">
        <f t="shared" si="5"/>
        <v/>
      </c>
      <c r="O41" s="18" t="str">
        <f t="shared" si="5"/>
        <v/>
      </c>
      <c r="P41" s="18" t="str">
        <f t="shared" si="5"/>
        <v/>
      </c>
      <c r="Q41" s="18" t="str">
        <f t="shared" si="5"/>
        <v/>
      </c>
    </row>
    <row r="42" spans="4:17" x14ac:dyDescent="0.25">
      <c r="D42" s="9"/>
      <c r="E42" s="9"/>
      <c r="F42" s="9"/>
      <c r="G42" s="18"/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</row>
    <row r="43" spans="4:17" x14ac:dyDescent="0.25">
      <c r="D43" s="9"/>
      <c r="E43" s="9"/>
      <c r="F43" s="9"/>
      <c r="G43" s="18"/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str">
        <f t="shared" si="5"/>
        <v/>
      </c>
      <c r="M43" s="18" t="str">
        <f t="shared" si="5"/>
        <v/>
      </c>
      <c r="N43" s="18" t="str">
        <f t="shared" si="5"/>
        <v/>
      </c>
      <c r="O43" s="18" t="str">
        <f t="shared" si="5"/>
        <v/>
      </c>
      <c r="P43" s="18" t="str">
        <f t="shared" si="5"/>
        <v/>
      </c>
      <c r="Q43" s="18" t="str">
        <f t="shared" si="5"/>
        <v/>
      </c>
    </row>
    <row r="44" spans="4:17" x14ac:dyDescent="0.25">
      <c r="D44" s="9"/>
      <c r="E44" s="9"/>
      <c r="F44" s="9"/>
      <c r="G44" s="18"/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str">
        <f t="shared" si="5"/>
        <v/>
      </c>
      <c r="M44" s="18" t="str">
        <f t="shared" si="5"/>
        <v/>
      </c>
      <c r="N44" s="18" t="str">
        <f t="shared" si="5"/>
        <v/>
      </c>
      <c r="O44" s="18" t="str">
        <f t="shared" si="5"/>
        <v/>
      </c>
      <c r="P44" s="18" t="str">
        <f t="shared" si="5"/>
        <v/>
      </c>
      <c r="Q44" s="18" t="str">
        <f t="shared" si="5"/>
        <v/>
      </c>
    </row>
    <row r="45" spans="4:17" x14ac:dyDescent="0.25">
      <c r="D45" s="9"/>
      <c r="E45" s="9"/>
      <c r="F45" s="9"/>
      <c r="G45" s="18"/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str">
        <f t="shared" si="5"/>
        <v/>
      </c>
      <c r="M45" s="18" t="str">
        <f t="shared" si="5"/>
        <v/>
      </c>
      <c r="N45" s="18" t="str">
        <f t="shared" si="5"/>
        <v/>
      </c>
      <c r="O45" s="18" t="str">
        <f t="shared" si="5"/>
        <v/>
      </c>
      <c r="P45" s="18" t="str">
        <f t="shared" si="5"/>
        <v/>
      </c>
      <c r="Q45" s="18" t="str">
        <f t="shared" si="5"/>
        <v/>
      </c>
    </row>
    <row r="46" spans="4:17" x14ac:dyDescent="0.25">
      <c r="D46" s="9"/>
      <c r="E46" s="9"/>
      <c r="F46" s="9"/>
      <c r="G46" s="18"/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str">
        <f t="shared" si="5"/>
        <v/>
      </c>
      <c r="M46" s="18" t="str">
        <f t="shared" si="5"/>
        <v/>
      </c>
      <c r="N46" s="18" t="str">
        <f t="shared" si="5"/>
        <v/>
      </c>
      <c r="O46" s="18" t="str">
        <f t="shared" si="5"/>
        <v/>
      </c>
      <c r="P46" s="18" t="str">
        <f t="shared" si="5"/>
        <v/>
      </c>
      <c r="Q46" s="18" t="str">
        <f t="shared" si="5"/>
        <v/>
      </c>
    </row>
    <row r="47" spans="4:17" x14ac:dyDescent="0.25">
      <c r="D47" s="9"/>
      <c r="E47" s="9"/>
      <c r="F47" s="9"/>
      <c r="G47" s="18"/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str">
        <f t="shared" si="5"/>
        <v/>
      </c>
      <c r="M47" s="18" t="str">
        <f t="shared" si="5"/>
        <v/>
      </c>
      <c r="N47" s="18" t="str">
        <f t="shared" si="5"/>
        <v/>
      </c>
      <c r="O47" s="18" t="str">
        <f t="shared" si="5"/>
        <v/>
      </c>
      <c r="P47" s="18" t="str">
        <f t="shared" si="5"/>
        <v/>
      </c>
      <c r="Q47" s="18" t="str">
        <f t="shared" si="5"/>
        <v/>
      </c>
    </row>
    <row r="48" spans="4:17" x14ac:dyDescent="0.25">
      <c r="D48" s="9"/>
      <c r="E48" s="9"/>
      <c r="F48" s="9"/>
      <c r="G48" s="18"/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str">
        <f t="shared" si="5"/>
        <v/>
      </c>
      <c r="M48" s="18" t="str">
        <f t="shared" si="5"/>
        <v/>
      </c>
      <c r="N48" s="18" t="str">
        <f t="shared" si="5"/>
        <v/>
      </c>
      <c r="O48" s="18" t="str">
        <f t="shared" si="5"/>
        <v/>
      </c>
      <c r="P48" s="18" t="str">
        <f t="shared" si="5"/>
        <v/>
      </c>
      <c r="Q48" s="18" t="str">
        <f t="shared" si="5"/>
        <v/>
      </c>
    </row>
    <row r="49" spans="4:17" x14ac:dyDescent="0.25">
      <c r="D49" s="9"/>
      <c r="E49" s="9"/>
      <c r="F49" s="9"/>
      <c r="G49" s="18"/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str">
        <f t="shared" si="5"/>
        <v/>
      </c>
      <c r="M49" s="18" t="str">
        <f t="shared" si="5"/>
        <v/>
      </c>
      <c r="N49" s="18" t="str">
        <f t="shared" si="5"/>
        <v/>
      </c>
      <c r="O49" s="18" t="str">
        <f t="shared" si="5"/>
        <v/>
      </c>
      <c r="P49" s="18" t="str">
        <f t="shared" si="5"/>
        <v/>
      </c>
      <c r="Q49" s="18" t="str">
        <f t="shared" si="5"/>
        <v/>
      </c>
    </row>
    <row r="50" spans="4:17" ht="15.75" thickBot="1" x14ac:dyDescent="0.3">
      <c r="D50" s="10"/>
      <c r="E50" s="10"/>
      <c r="F50" s="10"/>
      <c r="G50" s="43"/>
      <c r="H50" s="43" t="str">
        <f t="shared" si="5"/>
        <v/>
      </c>
      <c r="I50" s="43" t="str">
        <f t="shared" si="5"/>
        <v/>
      </c>
      <c r="J50" s="43" t="str">
        <f t="shared" si="5"/>
        <v/>
      </c>
      <c r="K50" s="43" t="str">
        <f t="shared" si="5"/>
        <v/>
      </c>
      <c r="L50" s="43" t="str">
        <f t="shared" si="5"/>
        <v/>
      </c>
      <c r="M50" s="43" t="str">
        <f t="shared" si="5"/>
        <v/>
      </c>
      <c r="N50" s="43" t="str">
        <f t="shared" si="5"/>
        <v/>
      </c>
      <c r="O50" s="43" t="str">
        <f t="shared" si="5"/>
        <v/>
      </c>
      <c r="P50" s="43" t="str">
        <f t="shared" si="5"/>
        <v/>
      </c>
      <c r="Q50" s="43" t="str">
        <f t="shared" si="5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E16" sqref="E16"/>
    </sheetView>
  </sheetViews>
  <sheetFormatPr baseColWidth="10" defaultColWidth="11.5703125" defaultRowHeight="15" x14ac:dyDescent="0.25"/>
  <cols>
    <col min="1" max="3" width="3.85546875" style="5" customWidth="1"/>
    <col min="4" max="4" width="17.140625" style="5" bestFit="1" customWidth="1"/>
    <col min="5" max="5" width="15.85546875" style="5" customWidth="1"/>
    <col min="6" max="16" width="8.85546875" style="5" customWidth="1"/>
    <col min="17" max="16384" width="11.5703125" style="5"/>
  </cols>
  <sheetData>
    <row r="1" spans="2:16" s="59" customFormat="1" ht="24.95" customHeight="1" x14ac:dyDescent="0.25">
      <c r="B1" s="58" t="s">
        <v>183</v>
      </c>
    </row>
    <row r="3" spans="2:16" ht="15.75" thickBot="1" x14ac:dyDescent="0.3">
      <c r="D3" s="38" t="str">
        <f>JESA_UploadTable("raw_materials",D4:P15,db)</f>
        <v>raw_materials @16:45:55</v>
      </c>
    </row>
    <row r="4" spans="2:16" ht="30" customHeight="1" thickBot="1" x14ac:dyDescent="0.3">
      <c r="D4" s="60" t="s">
        <v>12</v>
      </c>
      <c r="E4" s="60" t="s">
        <v>17</v>
      </c>
      <c r="F4" s="61" t="s">
        <v>37</v>
      </c>
      <c r="G4" s="61" t="s">
        <v>38</v>
      </c>
      <c r="H4" s="61" t="s">
        <v>39</v>
      </c>
      <c r="I4" s="61" t="s">
        <v>40</v>
      </c>
      <c r="J4" s="61" t="s">
        <v>41</v>
      </c>
      <c r="K4" s="61" t="s">
        <v>42</v>
      </c>
      <c r="L4" s="61" t="s">
        <v>43</v>
      </c>
      <c r="M4" s="61" t="s">
        <v>44</v>
      </c>
      <c r="N4" s="61" t="s">
        <v>45</v>
      </c>
      <c r="O4" s="61" t="s">
        <v>46</v>
      </c>
      <c r="P4" s="61" t="s">
        <v>47</v>
      </c>
    </row>
    <row r="5" spans="2:16" x14ac:dyDescent="0.25">
      <c r="D5" s="9" t="s">
        <v>343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25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25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25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25">
      <c r="D9" s="9" t="s">
        <v>338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25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25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2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2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2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2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2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2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2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2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2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2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2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2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2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2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2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2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2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2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2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2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2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2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2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2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2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2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2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2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2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2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2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2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2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2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25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25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25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25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25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25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5"/>
  <sheetViews>
    <sheetView workbookViewId="0">
      <selection activeCell="K27" sqref="K27"/>
    </sheetView>
  </sheetViews>
  <sheetFormatPr baseColWidth="10" defaultColWidth="11.5703125" defaultRowHeight="15" x14ac:dyDescent="0.25"/>
  <cols>
    <col min="1" max="2" width="3.85546875" style="5" customWidth="1"/>
    <col min="3" max="3" width="14.42578125" style="5" bestFit="1" customWidth="1"/>
    <col min="4" max="4" width="17.140625" style="5" bestFit="1" customWidth="1"/>
    <col min="5" max="5" width="15.85546875" style="5" customWidth="1"/>
    <col min="6" max="6" width="15.5703125" style="5" bestFit="1" customWidth="1"/>
    <col min="7" max="16" width="8.85546875" style="5" customWidth="1"/>
    <col min="17" max="16384" width="11.5703125" style="5"/>
  </cols>
  <sheetData>
    <row r="1" spans="2:10" s="59" customFormat="1" ht="24.95" customHeight="1" x14ac:dyDescent="0.25">
      <c r="B1" s="58" t="s">
        <v>361</v>
      </c>
    </row>
    <row r="3" spans="2:10" ht="15.75" thickBot="1" x14ac:dyDescent="0.3">
      <c r="D3" s="38" t="str">
        <f>JESA_UploadTable("conv_matrix",D4:F45,db)</f>
        <v>conv_matrix @16:45:53</v>
      </c>
    </row>
    <row r="4" spans="2:10" ht="30" customHeight="1" thickBot="1" x14ac:dyDescent="0.3">
      <c r="D4" s="60" t="s">
        <v>17</v>
      </c>
      <c r="E4" s="60" t="s">
        <v>362</v>
      </c>
      <c r="F4" s="61" t="s">
        <v>363</v>
      </c>
    </row>
    <row r="5" spans="2:10" x14ac:dyDescent="0.25">
      <c r="D5" s="8" t="s">
        <v>55</v>
      </c>
      <c r="E5" s="8" t="s">
        <v>55</v>
      </c>
      <c r="F5" s="137">
        <v>1</v>
      </c>
    </row>
    <row r="6" spans="2:10" x14ac:dyDescent="0.25">
      <c r="D6" s="9" t="s">
        <v>56</v>
      </c>
      <c r="E6" s="9" t="s">
        <v>56</v>
      </c>
      <c r="F6" s="138">
        <v>1</v>
      </c>
      <c r="J6" s="5" t="s">
        <v>372</v>
      </c>
    </row>
    <row r="7" spans="2:10" x14ac:dyDescent="0.25">
      <c r="D7" s="9" t="s">
        <v>57</v>
      </c>
      <c r="E7" s="9" t="s">
        <v>57</v>
      </c>
      <c r="F7" s="138">
        <v>1</v>
      </c>
    </row>
    <row r="8" spans="2:10" x14ac:dyDescent="0.25">
      <c r="D8" s="9" t="s">
        <v>59</v>
      </c>
      <c r="E8" s="9" t="s">
        <v>59</v>
      </c>
      <c r="F8" s="138">
        <v>1</v>
      </c>
    </row>
    <row r="9" spans="2:10" x14ac:dyDescent="0.25">
      <c r="D9" s="9" t="s">
        <v>60</v>
      </c>
      <c r="E9" s="9" t="s">
        <v>60</v>
      </c>
      <c r="F9" s="138">
        <v>1</v>
      </c>
    </row>
    <row r="10" spans="2:10" x14ac:dyDescent="0.25">
      <c r="D10" s="9" t="s">
        <v>61</v>
      </c>
      <c r="E10" s="9" t="s">
        <v>61</v>
      </c>
      <c r="F10" s="138">
        <v>1</v>
      </c>
    </row>
    <row r="11" spans="2:10" x14ac:dyDescent="0.25">
      <c r="D11" s="9" t="s">
        <v>63</v>
      </c>
      <c r="E11" s="9" t="s">
        <v>63</v>
      </c>
      <c r="F11" s="138">
        <v>1</v>
      </c>
    </row>
    <row r="12" spans="2:10" x14ac:dyDescent="0.25">
      <c r="D12" s="9" t="s">
        <v>64</v>
      </c>
      <c r="E12" s="9" t="s">
        <v>64</v>
      </c>
      <c r="F12" s="138">
        <v>1</v>
      </c>
    </row>
    <row r="13" spans="2:10" x14ac:dyDescent="0.25">
      <c r="D13" s="9" t="s">
        <v>65</v>
      </c>
      <c r="E13" s="9" t="s">
        <v>65</v>
      </c>
      <c r="F13" s="138">
        <v>1</v>
      </c>
    </row>
    <row r="14" spans="2:10" x14ac:dyDescent="0.25">
      <c r="D14" s="9" t="s">
        <v>50</v>
      </c>
      <c r="E14" s="9" t="s">
        <v>364</v>
      </c>
      <c r="F14" s="138">
        <v>1000000</v>
      </c>
    </row>
    <row r="15" spans="2:10" x14ac:dyDescent="0.25">
      <c r="D15" s="9" t="s">
        <v>51</v>
      </c>
      <c r="E15" s="9" t="s">
        <v>365</v>
      </c>
      <c r="F15" s="138">
        <v>1000000</v>
      </c>
    </row>
    <row r="16" spans="2:10" x14ac:dyDescent="0.25">
      <c r="D16" s="9" t="s">
        <v>66</v>
      </c>
      <c r="E16" s="9" t="s">
        <v>364</v>
      </c>
      <c r="F16" s="138">
        <v>1000</v>
      </c>
    </row>
    <row r="17" spans="4:6" x14ac:dyDescent="0.25">
      <c r="D17" s="9" t="s">
        <v>67</v>
      </c>
      <c r="E17" s="9" t="s">
        <v>366</v>
      </c>
      <c r="F17" s="138">
        <v>1000</v>
      </c>
    </row>
    <row r="18" spans="4:6" x14ac:dyDescent="0.25">
      <c r="D18" s="9" t="s">
        <v>414</v>
      </c>
      <c r="E18" s="9" t="s">
        <v>369</v>
      </c>
      <c r="F18" s="138">
        <v>1000000</v>
      </c>
    </row>
    <row r="19" spans="4:6" x14ac:dyDescent="0.25">
      <c r="D19" s="9" t="s">
        <v>86</v>
      </c>
      <c r="E19" s="9" t="s">
        <v>367</v>
      </c>
      <c r="F19" s="138">
        <v>1000000</v>
      </c>
    </row>
    <row r="20" spans="4:6" x14ac:dyDescent="0.25">
      <c r="D20" s="9" t="s">
        <v>88</v>
      </c>
      <c r="E20" s="9" t="s">
        <v>88</v>
      </c>
      <c r="F20" s="138">
        <v>1</v>
      </c>
    </row>
    <row r="21" spans="4:6" x14ac:dyDescent="0.25">
      <c r="D21" s="9" t="s">
        <v>89</v>
      </c>
      <c r="E21" s="9" t="s">
        <v>89</v>
      </c>
      <c r="F21" s="138">
        <v>1</v>
      </c>
    </row>
    <row r="22" spans="4:6" x14ac:dyDescent="0.25">
      <c r="D22" s="9" t="s">
        <v>133</v>
      </c>
      <c r="E22" s="9" t="s">
        <v>133</v>
      </c>
      <c r="F22" s="138">
        <v>1</v>
      </c>
    </row>
    <row r="23" spans="4:6" x14ac:dyDescent="0.25">
      <c r="D23" s="9" t="s">
        <v>100</v>
      </c>
      <c r="E23" s="9" t="s">
        <v>100</v>
      </c>
      <c r="F23" s="138">
        <v>1</v>
      </c>
    </row>
    <row r="24" spans="4:6" x14ac:dyDescent="0.25">
      <c r="D24" s="9" t="s">
        <v>129</v>
      </c>
      <c r="E24" s="9" t="s">
        <v>129</v>
      </c>
      <c r="F24" s="138">
        <v>1</v>
      </c>
    </row>
    <row r="25" spans="4:6" x14ac:dyDescent="0.25">
      <c r="D25" s="9" t="s">
        <v>130</v>
      </c>
      <c r="E25" s="9" t="s">
        <v>129</v>
      </c>
      <c r="F25" s="138">
        <v>1</v>
      </c>
    </row>
    <row r="26" spans="4:6" x14ac:dyDescent="0.25">
      <c r="D26" s="9" t="s">
        <v>131</v>
      </c>
      <c r="E26" s="9" t="s">
        <v>131</v>
      </c>
      <c r="F26" s="138">
        <v>1</v>
      </c>
    </row>
    <row r="27" spans="4:6" x14ac:dyDescent="0.25">
      <c r="D27" s="9" t="s">
        <v>132</v>
      </c>
      <c r="E27" s="9" t="s">
        <v>132</v>
      </c>
      <c r="F27" s="138">
        <v>1</v>
      </c>
    </row>
    <row r="28" spans="4:6" x14ac:dyDescent="0.25">
      <c r="D28" s="9" t="s">
        <v>136</v>
      </c>
      <c r="E28" s="9" t="s">
        <v>136</v>
      </c>
      <c r="F28" s="138">
        <v>1</v>
      </c>
    </row>
    <row r="29" spans="4:6" x14ac:dyDescent="0.25">
      <c r="D29" s="9" t="s">
        <v>139</v>
      </c>
      <c r="E29" s="9" t="s">
        <v>368</v>
      </c>
      <c r="F29" s="138">
        <v>1000000</v>
      </c>
    </row>
    <row r="30" spans="4:6" x14ac:dyDescent="0.25">
      <c r="D30" s="9" t="s">
        <v>335</v>
      </c>
      <c r="E30" s="9" t="s">
        <v>368</v>
      </c>
      <c r="F30" s="138">
        <v>1000</v>
      </c>
    </row>
    <row r="31" spans="4:6" x14ac:dyDescent="0.25">
      <c r="D31" s="9" t="s">
        <v>143</v>
      </c>
      <c r="E31" s="9" t="s">
        <v>369</v>
      </c>
      <c r="F31" s="138">
        <v>1000</v>
      </c>
    </row>
    <row r="32" spans="4:6" x14ac:dyDescent="0.25">
      <c r="D32" s="9" t="s">
        <v>147</v>
      </c>
      <c r="E32" s="9" t="s">
        <v>147</v>
      </c>
      <c r="F32" s="138">
        <v>1</v>
      </c>
    </row>
    <row r="33" spans="4:6" x14ac:dyDescent="0.25">
      <c r="D33" s="9" t="s">
        <v>154</v>
      </c>
      <c r="E33" s="9" t="s">
        <v>154</v>
      </c>
      <c r="F33" s="138">
        <v>1</v>
      </c>
    </row>
    <row r="34" spans="4:6" x14ac:dyDescent="0.25">
      <c r="D34" s="9" t="s">
        <v>155</v>
      </c>
      <c r="E34" s="9" t="s">
        <v>155</v>
      </c>
      <c r="F34" s="138">
        <v>1</v>
      </c>
    </row>
    <row r="35" spans="4:6" x14ac:dyDescent="0.25">
      <c r="D35" s="9" t="s">
        <v>188</v>
      </c>
      <c r="E35" s="9" t="s">
        <v>188</v>
      </c>
      <c r="F35" s="138">
        <v>1</v>
      </c>
    </row>
    <row r="36" spans="4:6" x14ac:dyDescent="0.25">
      <c r="D36" s="9" t="s">
        <v>353</v>
      </c>
      <c r="E36" s="9" t="s">
        <v>133</v>
      </c>
      <c r="F36" s="138">
        <v>1</v>
      </c>
    </row>
    <row r="37" spans="4:6" x14ac:dyDescent="0.25">
      <c r="D37" s="9" t="s">
        <v>182</v>
      </c>
      <c r="E37" s="9" t="s">
        <v>370</v>
      </c>
      <c r="F37" s="138">
        <v>1000000</v>
      </c>
    </row>
    <row r="38" spans="4:6" x14ac:dyDescent="0.25">
      <c r="D38" s="9" t="s">
        <v>69</v>
      </c>
      <c r="E38" s="9" t="s">
        <v>371</v>
      </c>
      <c r="F38" s="138">
        <v>1</v>
      </c>
    </row>
    <row r="39" spans="4:6" x14ac:dyDescent="0.25">
      <c r="D39" s="9" t="s">
        <v>298</v>
      </c>
      <c r="E39" s="9" t="s">
        <v>371</v>
      </c>
      <c r="F39" s="138">
        <v>1</v>
      </c>
    </row>
    <row r="40" spans="4:6" x14ac:dyDescent="0.25">
      <c r="D40" s="9" t="s">
        <v>187</v>
      </c>
      <c r="E40" s="9" t="s">
        <v>187</v>
      </c>
      <c r="F40" s="138">
        <v>1</v>
      </c>
    </row>
    <row r="41" spans="4:6" x14ac:dyDescent="0.25">
      <c r="D41" s="9" t="s">
        <v>270</v>
      </c>
      <c r="E41" s="9" t="s">
        <v>270</v>
      </c>
      <c r="F41" s="138">
        <v>1</v>
      </c>
    </row>
    <row r="42" spans="4:6" x14ac:dyDescent="0.25">
      <c r="D42" s="9" t="s">
        <v>80</v>
      </c>
      <c r="E42" s="9" t="s">
        <v>371</v>
      </c>
      <c r="F42" s="138">
        <v>1</v>
      </c>
    </row>
    <row r="43" spans="4:6" x14ac:dyDescent="0.25">
      <c r="D43" s="9" t="s">
        <v>337</v>
      </c>
      <c r="E43" s="9" t="s">
        <v>337</v>
      </c>
      <c r="F43" s="138">
        <v>1</v>
      </c>
    </row>
    <row r="44" spans="4:6" x14ac:dyDescent="0.25">
      <c r="D44" s="9" t="s">
        <v>341</v>
      </c>
      <c r="E44" s="9" t="s">
        <v>341</v>
      </c>
      <c r="F44" s="138">
        <v>1</v>
      </c>
    </row>
    <row r="45" spans="4:6" x14ac:dyDescent="0.25">
      <c r="D45" s="9" t="s">
        <v>371</v>
      </c>
      <c r="E45" s="9" t="s">
        <v>371</v>
      </c>
      <c r="F45" s="138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600075</xdr:colOff>
                    <xdr:row>6</xdr:row>
                    <xdr:rowOff>180975</xdr:rowOff>
                  </from>
                  <to>
                    <xdr:col>10</xdr:col>
                    <xdr:colOff>161925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180975</xdr:rowOff>
                  </from>
                  <to>
                    <xdr:col>10</xdr:col>
                    <xdr:colOff>161925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1"/>
  <sheetViews>
    <sheetView topLeftCell="A5" zoomScaleNormal="100" workbookViewId="0">
      <selection activeCell="H5" sqref="H5:H41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85546875" style="1" customWidth="1"/>
    <col min="15" max="15" width="1.85546875" style="1" customWidth="1"/>
    <col min="16" max="16" width="20.85546875" style="1" customWidth="1"/>
    <col min="17" max="16384" width="11.5703125" style="1"/>
  </cols>
  <sheetData>
    <row r="1" spans="1:16" s="23" customFormat="1" ht="24.95" customHeight="1" x14ac:dyDescent="0.25">
      <c r="B1" s="22" t="s">
        <v>52</v>
      </c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.75" thickBot="1" x14ac:dyDescent="0.3">
      <c r="A3" s="31"/>
      <c r="B3" s="31"/>
      <c r="C3" s="31"/>
      <c r="D3" s="31" t="str">
        <f>JESA_UploadTable("locations",D4:D40,db)</f>
        <v>locations @16:45:54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.75" thickBot="1" x14ac:dyDescent="0.3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2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2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371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2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257</v>
      </c>
    </row>
    <row r="9" spans="1:16" x14ac:dyDescent="0.2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2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2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2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2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2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25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25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25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25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25">
      <c r="A19" s="31"/>
      <c r="B19" s="31"/>
      <c r="C19" s="31"/>
      <c r="D19" s="33"/>
      <c r="E19" s="31"/>
      <c r="F19" s="33" t="s">
        <v>257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25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25">
      <c r="A21" s="31"/>
      <c r="B21" s="31"/>
      <c r="C21" s="31"/>
      <c r="D21" s="33"/>
      <c r="E21" s="31"/>
      <c r="F21" s="33" t="s">
        <v>276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25">
      <c r="A22" s="31"/>
      <c r="B22" s="31"/>
      <c r="C22" s="31"/>
      <c r="D22" s="33"/>
      <c r="E22" s="31"/>
      <c r="F22" s="33" t="s">
        <v>288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25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25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25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25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25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25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25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25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25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25">
      <c r="A32" s="31"/>
      <c r="B32" s="31"/>
      <c r="C32" s="31"/>
      <c r="D32" s="33"/>
      <c r="E32" s="31"/>
      <c r="F32" s="33"/>
      <c r="G32" s="31"/>
      <c r="H32" s="33" t="s">
        <v>335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25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25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25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25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25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25">
      <c r="A38" s="31"/>
      <c r="B38" s="31"/>
      <c r="C38" s="31"/>
      <c r="D38" s="33"/>
      <c r="E38" s="31"/>
      <c r="F38" s="33"/>
      <c r="G38" s="31"/>
      <c r="H38" s="33" t="s">
        <v>353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25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.75" thickBot="1" x14ac:dyDescent="0.3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  <row r="41" spans="1:16" x14ac:dyDescent="0.25">
      <c r="H41" s="1" t="s">
        <v>414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J4" sqref="J4"/>
    </sheetView>
  </sheetViews>
  <sheetFormatPr baseColWidth="10" defaultColWidth="11.5703125" defaultRowHeight="15" x14ac:dyDescent="0.25"/>
  <cols>
    <col min="1" max="3" width="3.85546875" style="31" customWidth="1"/>
    <col min="4" max="4" width="20.85546875" style="31" customWidth="1"/>
    <col min="5" max="5" width="1.85546875" style="31" customWidth="1"/>
    <col min="6" max="6" width="20.85546875" style="31" customWidth="1"/>
    <col min="7" max="7" width="1.85546875" style="31" customWidth="1"/>
    <col min="8" max="8" width="20.85546875" style="31" customWidth="1"/>
    <col min="9" max="9" width="1.85546875" style="31" customWidth="1"/>
    <col min="10" max="10" width="20.85546875" style="31" customWidth="1"/>
    <col min="11" max="11" width="1.85546875" style="31" customWidth="1"/>
    <col min="12" max="16384" width="11.5703125" style="31"/>
  </cols>
  <sheetData>
    <row r="1" spans="2:10" s="36" customFormat="1" ht="24.95" customHeight="1" x14ac:dyDescent="0.25">
      <c r="B1" s="35" t="s">
        <v>7</v>
      </c>
    </row>
    <row r="3" spans="2:10" ht="15.75" thickBot="1" x14ac:dyDescent="0.3">
      <c r="D3" s="31" t="str">
        <f>JESA_UploadTable(D4,D4:D40,db)</f>
        <v>Mine/Name @16:45:54</v>
      </c>
      <c r="F3" s="31" t="str">
        <f>JESA_UploadTable(F4,F4:F40,db)</f>
        <v>Mine/Extraction @16:45:55</v>
      </c>
      <c r="H3" s="31" t="str">
        <f>JESA_UploadTable(H4,H4:H40,db)</f>
        <v>Mine/Quality @16:45:54</v>
      </c>
      <c r="J3" s="31" t="str">
        <f>JESA_UploadTable(J4,J4:J40,db)</f>
        <v>Mine/CAPEX @16:45:54</v>
      </c>
    </row>
    <row r="4" spans="2:10" ht="30" customHeight="1" thickBot="1" x14ac:dyDescent="0.3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25">
      <c r="D5" s="29" t="s">
        <v>348</v>
      </c>
      <c r="F5" s="29" t="s">
        <v>300</v>
      </c>
      <c r="H5" s="29" t="s">
        <v>18</v>
      </c>
      <c r="J5" s="30" t="s">
        <v>22</v>
      </c>
    </row>
    <row r="6" spans="2:10" x14ac:dyDescent="0.25">
      <c r="D6" s="33" t="s">
        <v>349</v>
      </c>
      <c r="F6" s="33"/>
      <c r="H6" s="33" t="s">
        <v>19</v>
      </c>
      <c r="J6" s="33"/>
    </row>
    <row r="7" spans="2:10" x14ac:dyDescent="0.25">
      <c r="D7" s="33" t="s">
        <v>2</v>
      </c>
      <c r="F7" s="33"/>
      <c r="H7" s="33" t="s">
        <v>20</v>
      </c>
      <c r="J7" s="33"/>
    </row>
    <row r="8" spans="2:10" x14ac:dyDescent="0.25">
      <c r="D8" s="33" t="s">
        <v>3</v>
      </c>
      <c r="F8" s="33"/>
      <c r="H8" s="33" t="s">
        <v>301</v>
      </c>
      <c r="J8" s="33"/>
    </row>
    <row r="9" spans="2:10" x14ac:dyDescent="0.25">
      <c r="D9" s="33" t="s">
        <v>350</v>
      </c>
      <c r="F9" s="33"/>
      <c r="H9" s="33"/>
      <c r="J9" s="33"/>
    </row>
    <row r="10" spans="2:10" x14ac:dyDescent="0.25">
      <c r="D10" s="33" t="s">
        <v>351</v>
      </c>
      <c r="F10" s="33"/>
      <c r="H10" s="33"/>
      <c r="J10" s="33"/>
    </row>
    <row r="11" spans="2:10" x14ac:dyDescent="0.25">
      <c r="D11" s="33" t="s">
        <v>352</v>
      </c>
      <c r="F11" s="33"/>
      <c r="H11" s="33"/>
      <c r="J11" s="33"/>
    </row>
    <row r="12" spans="2:10" x14ac:dyDescent="0.25">
      <c r="D12" s="33" t="s">
        <v>6</v>
      </c>
      <c r="F12" s="33"/>
      <c r="H12" s="33"/>
      <c r="J12" s="33"/>
    </row>
    <row r="13" spans="2:10" x14ac:dyDescent="0.25">
      <c r="D13" s="33" t="s">
        <v>10</v>
      </c>
      <c r="F13" s="33"/>
      <c r="H13" s="33"/>
      <c r="J13" s="33"/>
    </row>
    <row r="14" spans="2:10" x14ac:dyDescent="0.25">
      <c r="D14" s="33"/>
      <c r="F14" s="33"/>
      <c r="H14" s="33"/>
      <c r="J14" s="33"/>
    </row>
    <row r="15" spans="2:10" x14ac:dyDescent="0.25">
      <c r="D15" s="33"/>
      <c r="F15" s="33"/>
      <c r="H15" s="33"/>
      <c r="J15" s="33"/>
    </row>
    <row r="16" spans="2:10" x14ac:dyDescent="0.25">
      <c r="D16" s="33"/>
      <c r="F16" s="33"/>
      <c r="H16" s="33"/>
      <c r="J16" s="33"/>
    </row>
    <row r="17" spans="4:10" x14ac:dyDescent="0.25">
      <c r="D17" s="33"/>
      <c r="F17" s="33"/>
      <c r="H17" s="33"/>
      <c r="J17" s="33"/>
    </row>
    <row r="18" spans="4:10" x14ac:dyDescent="0.25">
      <c r="D18" s="33"/>
      <c r="F18" s="33"/>
      <c r="H18" s="33"/>
      <c r="J18" s="33"/>
    </row>
    <row r="19" spans="4:10" x14ac:dyDescent="0.25">
      <c r="D19" s="33"/>
      <c r="F19" s="33"/>
      <c r="H19" s="33"/>
      <c r="J19" s="33"/>
    </row>
    <row r="20" spans="4:10" x14ac:dyDescent="0.25">
      <c r="D20" s="33"/>
      <c r="F20" s="33"/>
      <c r="H20" s="33"/>
      <c r="J20" s="33"/>
    </row>
    <row r="21" spans="4:10" x14ac:dyDescent="0.25">
      <c r="D21" s="33"/>
      <c r="F21" s="33"/>
      <c r="H21" s="33"/>
      <c r="J21" s="33"/>
    </row>
    <row r="22" spans="4:10" x14ac:dyDescent="0.25">
      <c r="D22" s="33"/>
      <c r="F22" s="33"/>
      <c r="H22" s="33"/>
      <c r="J22" s="33"/>
    </row>
    <row r="23" spans="4:10" x14ac:dyDescent="0.25">
      <c r="D23" s="33"/>
      <c r="F23" s="33"/>
      <c r="H23" s="33"/>
      <c r="J23" s="33"/>
    </row>
    <row r="24" spans="4:10" x14ac:dyDescent="0.25">
      <c r="D24" s="33"/>
      <c r="F24" s="33"/>
      <c r="H24" s="33"/>
      <c r="J24" s="33"/>
    </row>
    <row r="25" spans="4:10" x14ac:dyDescent="0.25">
      <c r="D25" s="33"/>
      <c r="F25" s="33"/>
      <c r="H25" s="33"/>
      <c r="J25" s="33"/>
    </row>
    <row r="26" spans="4:10" x14ac:dyDescent="0.25">
      <c r="D26" s="33"/>
      <c r="F26" s="33"/>
      <c r="H26" s="33"/>
      <c r="J26" s="33"/>
    </row>
    <row r="27" spans="4:10" x14ac:dyDescent="0.25">
      <c r="D27" s="33"/>
      <c r="F27" s="33"/>
      <c r="H27" s="33"/>
      <c r="J27" s="33"/>
    </row>
    <row r="28" spans="4:10" x14ac:dyDescent="0.25">
      <c r="D28" s="33"/>
      <c r="F28" s="33"/>
      <c r="H28" s="33"/>
      <c r="J28" s="33"/>
    </row>
    <row r="29" spans="4:10" x14ac:dyDescent="0.25">
      <c r="D29" s="33"/>
      <c r="F29" s="33"/>
      <c r="H29" s="33"/>
      <c r="J29" s="33"/>
    </row>
    <row r="30" spans="4:10" x14ac:dyDescent="0.25">
      <c r="D30" s="33"/>
      <c r="F30" s="33"/>
      <c r="H30" s="33"/>
      <c r="J30" s="33"/>
    </row>
    <row r="31" spans="4:10" x14ac:dyDescent="0.25">
      <c r="D31" s="33"/>
      <c r="F31" s="33"/>
      <c r="H31" s="33"/>
      <c r="J31" s="33"/>
    </row>
    <row r="32" spans="4:10" x14ac:dyDescent="0.25">
      <c r="D32" s="33"/>
      <c r="F32" s="33"/>
      <c r="H32" s="33"/>
      <c r="J32" s="33"/>
    </row>
    <row r="33" spans="4:10" x14ac:dyDescent="0.25">
      <c r="D33" s="33"/>
      <c r="F33" s="33"/>
      <c r="H33" s="33"/>
      <c r="J33" s="33"/>
    </row>
    <row r="34" spans="4:10" x14ac:dyDescent="0.25">
      <c r="D34" s="33"/>
      <c r="F34" s="33"/>
      <c r="H34" s="33"/>
      <c r="J34" s="33"/>
    </row>
    <row r="35" spans="4:10" x14ac:dyDescent="0.25">
      <c r="D35" s="33"/>
      <c r="F35" s="33"/>
      <c r="H35" s="33"/>
      <c r="J35" s="33"/>
    </row>
    <row r="36" spans="4:10" x14ac:dyDescent="0.25">
      <c r="D36" s="33"/>
      <c r="F36" s="33"/>
      <c r="H36" s="33"/>
      <c r="J36" s="33"/>
    </row>
    <row r="37" spans="4:10" x14ac:dyDescent="0.25">
      <c r="D37" s="33"/>
      <c r="F37" s="33"/>
      <c r="H37" s="33"/>
      <c r="J37" s="33"/>
    </row>
    <row r="38" spans="4:10" x14ac:dyDescent="0.25">
      <c r="D38" s="33"/>
      <c r="F38" s="33"/>
      <c r="H38" s="33"/>
      <c r="J38" s="33"/>
    </row>
    <row r="39" spans="4:10" x14ac:dyDescent="0.25">
      <c r="D39" s="33"/>
      <c r="F39" s="33"/>
      <c r="H39" s="33"/>
      <c r="J39" s="33"/>
    </row>
    <row r="40" spans="4:10" ht="15.75" thickBot="1" x14ac:dyDescent="0.3">
      <c r="D40" s="34"/>
      <c r="F40" s="34"/>
      <c r="H40" s="34"/>
      <c r="J40" s="34"/>
    </row>
    <row r="41" spans="4:10" x14ac:dyDescent="0.25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48"/>
  <sheetViews>
    <sheetView zoomScaleNormal="100" workbookViewId="0">
      <selection activeCell="E13" activeCellId="1" sqref="E11 E13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12" width="56" style="5" bestFit="1" customWidth="1"/>
    <col min="13" max="16384" width="11.5703125" style="5"/>
  </cols>
  <sheetData>
    <row r="1" spans="2:12" s="3" customFormat="1" ht="24.95" customHeight="1" x14ac:dyDescent="0.25">
      <c r="B1" s="2" t="s">
        <v>11</v>
      </c>
    </row>
    <row r="2" spans="2:12" ht="15.75" thickBot="1" x14ac:dyDescent="0.3">
      <c r="D2" s="5" t="str">
        <f>JESA_UploadTable(D3,D3:D5,db)</f>
        <v>PriorityMines @16:45:54</v>
      </c>
    </row>
    <row r="3" spans="2:12" ht="16.5" thickBot="1" x14ac:dyDescent="0.3">
      <c r="D3" s="6" t="s">
        <v>373</v>
      </c>
    </row>
    <row r="4" spans="2:12" x14ac:dyDescent="0.25">
      <c r="D4" s="8" t="s">
        <v>3</v>
      </c>
    </row>
    <row r="5" spans="2:12" ht="15.75" thickBot="1" x14ac:dyDescent="0.3">
      <c r="D5" s="10" t="s">
        <v>9</v>
      </c>
    </row>
    <row r="7" spans="2:12" ht="15.75" thickBot="1" x14ac:dyDescent="0.3">
      <c r="D7" s="38" t="str">
        <f>JESA_UploadTable(B1,D8:L48,db)</f>
        <v>MINING options @16:45:55</v>
      </c>
    </row>
    <row r="8" spans="2:12" ht="30" customHeight="1" thickBot="1" x14ac:dyDescent="0.3">
      <c r="D8" s="6" t="s">
        <v>8</v>
      </c>
      <c r="E8" s="7" t="s">
        <v>30</v>
      </c>
      <c r="F8" s="6" t="s">
        <v>49</v>
      </c>
      <c r="G8" s="4" t="s">
        <v>266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25">
      <c r="D9" s="8" t="s">
        <v>3</v>
      </c>
      <c r="E9" s="8" t="s">
        <v>3</v>
      </c>
      <c r="F9" s="8" t="s">
        <v>300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48" si="0">IF(D9="","","/Mine/"&amp;CONCATENATE(D9,"/",E9,"/",F9,"/",ROUND(G9,2),"/",I9,"/",J9,"/",K9))</f>
        <v>/Mine/Mzinda/Mzinda/Definie/4/Existing/2018/2100</v>
      </c>
    </row>
    <row r="10" spans="2:12" x14ac:dyDescent="0.25">
      <c r="D10" s="9" t="s">
        <v>9</v>
      </c>
      <c r="E10" s="9" t="s">
        <v>348</v>
      </c>
      <c r="F10" s="9" t="s">
        <v>300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1/Definie/2,77/Existing/2018/2100</v>
      </c>
    </row>
    <row r="11" spans="2:12" x14ac:dyDescent="0.25">
      <c r="D11" s="9" t="s">
        <v>9</v>
      </c>
      <c r="E11" s="148" t="s">
        <v>348</v>
      </c>
      <c r="F11" s="9" t="s">
        <v>300</v>
      </c>
      <c r="G11" s="147">
        <v>9</v>
      </c>
      <c r="H11" s="11" t="s">
        <v>139</v>
      </c>
      <c r="I11" s="147" t="s">
        <v>416</v>
      </c>
      <c r="J11" s="15">
        <v>2022</v>
      </c>
      <c r="K11" s="15">
        <v>2100</v>
      </c>
      <c r="L11" s="9" t="str">
        <f t="shared" si="0"/>
        <v>/Mine/Benguerir/Benguerir 1/Definie/9/Extension/2022/2100</v>
      </c>
    </row>
    <row r="12" spans="2:12" x14ac:dyDescent="0.25">
      <c r="D12" s="9" t="s">
        <v>4</v>
      </c>
      <c r="E12" s="9" t="s">
        <v>350</v>
      </c>
      <c r="F12" s="9" t="s">
        <v>300</v>
      </c>
      <c r="G12" s="11">
        <v>5</v>
      </c>
      <c r="H12" s="11" t="s">
        <v>139</v>
      </c>
      <c r="I12" s="11" t="s">
        <v>146</v>
      </c>
      <c r="J12" s="15">
        <v>2022</v>
      </c>
      <c r="K12" s="15">
        <v>2100</v>
      </c>
      <c r="L12" s="9" t="str">
        <f t="shared" si="0"/>
        <v>/Mine/Tassaout/Tassaout 1/Definie/5/New/2022/2100</v>
      </c>
    </row>
    <row r="13" spans="2:12" x14ac:dyDescent="0.25">
      <c r="D13" s="9" t="s">
        <v>4</v>
      </c>
      <c r="E13" s="148" t="s">
        <v>350</v>
      </c>
      <c r="F13" s="9" t="s">
        <v>300</v>
      </c>
      <c r="G13" s="147">
        <v>15</v>
      </c>
      <c r="H13" s="11" t="s">
        <v>139</v>
      </c>
      <c r="I13" s="147" t="s">
        <v>416</v>
      </c>
      <c r="J13" s="15">
        <v>2022</v>
      </c>
      <c r="K13" s="15">
        <v>2100</v>
      </c>
      <c r="L13" s="9" t="str">
        <f>IF(D13="","","/Mine/"&amp;CONCATENATE(D13,"/",E13,"/",F13,"/",ROUND(G13,2),"/",I13,"/",J13,"/",K13))</f>
        <v>/Mine/Tassaout/Tassaout 1/Definie/15/Extension/2022/2100</v>
      </c>
    </row>
    <row r="14" spans="2:12" x14ac:dyDescent="0.25">
      <c r="D14" s="9"/>
      <c r="E14" s="9"/>
      <c r="F14" s="9"/>
      <c r="G14" s="11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9"/>
      <c r="H45" s="9"/>
      <c r="I45" s="9"/>
      <c r="J45" s="9"/>
      <c r="K45" s="9"/>
      <c r="L45" s="9" t="str">
        <f t="shared" si="0"/>
        <v/>
      </c>
    </row>
    <row r="46" spans="4:12" x14ac:dyDescent="0.25">
      <c r="D46" s="9"/>
      <c r="E46" s="9"/>
      <c r="F46" s="9"/>
      <c r="G46" s="9"/>
      <c r="H46" s="9"/>
      <c r="I46" s="9"/>
      <c r="J46" s="9"/>
      <c r="K46" s="9"/>
      <c r="L46" s="9" t="str">
        <f t="shared" si="0"/>
        <v/>
      </c>
    </row>
    <row r="47" spans="4:12" x14ac:dyDescent="0.25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ht="15.75" thickBot="1" x14ac:dyDescent="0.3">
      <c r="D48" s="10"/>
      <c r="E48" s="10"/>
      <c r="F48" s="10"/>
      <c r="G48" s="10"/>
      <c r="H48" s="10"/>
      <c r="I48" s="10"/>
      <c r="J48" s="10"/>
      <c r="K48" s="10"/>
      <c r="L48" s="10" t="str">
        <f t="shared" si="0"/>
        <v/>
      </c>
    </row>
  </sheetData>
  <dataValidations count="5">
    <dataValidation type="list" allowBlank="1" showInputMessage="1" showErrorMessage="1" sqref="F9:F46">
      <formula1>MineProcess</formula1>
    </dataValidation>
    <dataValidation type="list" allowBlank="1" showInputMessage="1" showErrorMessage="1" sqref="D9:D44">
      <formula1>Location</formula1>
    </dataValidation>
    <dataValidation type="list" allowBlank="1" showInputMessage="1" showErrorMessage="1" sqref="E9:E44">
      <formula1>MineName</formula1>
    </dataValidation>
    <dataValidation type="list" allowBlank="1" showInputMessage="1" showErrorMessage="1" sqref="I9:I44">
      <formula1>"Existing,New,Extension"</formula1>
    </dataValidation>
    <dataValidation type="list" allowBlank="1" showInputMessage="1" showErrorMessage="1" sqref="H9:H48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H15" sqref="H15"/>
    </sheetView>
  </sheetViews>
  <sheetFormatPr baseColWidth="10" defaultColWidth="11.5703125" defaultRowHeight="15" outlineLevelCol="1" x14ac:dyDescent="0.25"/>
  <cols>
    <col min="1" max="3" width="3.85546875" style="5" customWidth="1"/>
    <col min="4" max="7" width="15.85546875" style="5" customWidth="1"/>
    <col min="8" max="8" width="8.85546875" style="5" customWidth="1"/>
    <col min="9" max="18" width="8.85546875" style="5" customWidth="1" outlineLevel="1"/>
    <col min="19" max="19" width="8.85546875" style="5" customWidth="1"/>
    <col min="20" max="16384" width="11.5703125" style="5"/>
  </cols>
  <sheetData>
    <row r="1" spans="2:18" s="3" customFormat="1" ht="24.95" customHeight="1" x14ac:dyDescent="0.25">
      <c r="B1" s="2" t="s">
        <v>135</v>
      </c>
    </row>
    <row r="3" spans="2:18" ht="15.75" thickBot="1" x14ac:dyDescent="0.3">
      <c r="D3" s="38" t="str">
        <f>JESA_UploadTable(B1,D4:R50,db)</f>
        <v>MINING specific production @16:45:56</v>
      </c>
    </row>
    <row r="4" spans="2:18" ht="30" customHeight="1" thickBot="1" x14ac:dyDescent="0.3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25">
      <c r="D5" s="8" t="s">
        <v>3</v>
      </c>
      <c r="E5" s="8" t="s">
        <v>300</v>
      </c>
      <c r="F5" s="8" t="s">
        <v>20</v>
      </c>
      <c r="G5" s="8" t="s">
        <v>132</v>
      </c>
      <c r="H5" s="27">
        <v>0</v>
      </c>
      <c r="I5" s="27">
        <f t="shared" ref="I5:I39" si="0">IF(H5="","",H5)</f>
        <v>0</v>
      </c>
      <c r="J5" s="27">
        <f t="shared" ref="J5:J39" si="1">IF(I5="","",I5)</f>
        <v>0</v>
      </c>
      <c r="K5" s="27">
        <f t="shared" ref="K5:K39" si="2">IF(J5="","",J5)</f>
        <v>0</v>
      </c>
      <c r="L5" s="27">
        <f t="shared" ref="L5:L39" si="3">IF(K5="","",K5)</f>
        <v>0</v>
      </c>
      <c r="M5" s="27">
        <f t="shared" ref="M5:M39" si="4">IF(L5="","",L5)</f>
        <v>0</v>
      </c>
      <c r="N5" s="27">
        <f t="shared" ref="N5:N39" si="5">IF(M5="","",M5)</f>
        <v>0</v>
      </c>
      <c r="O5" s="27">
        <f t="shared" ref="O5:O39" si="6">IF(N5="","",N5)</f>
        <v>0</v>
      </c>
      <c r="P5" s="27">
        <f t="shared" ref="P5:P39" si="7">IF(O5="","",O5)</f>
        <v>0</v>
      </c>
      <c r="Q5" s="27">
        <f t="shared" ref="Q5:Q39" si="8">IF(P5="","",P5)</f>
        <v>0</v>
      </c>
      <c r="R5" s="27">
        <f t="shared" ref="R5:R39" si="9">IF(Q5="","",Q5)</f>
        <v>0</v>
      </c>
    </row>
    <row r="6" spans="2:18" x14ac:dyDescent="0.25">
      <c r="D6" s="9" t="s">
        <v>3</v>
      </c>
      <c r="E6" s="9" t="s">
        <v>300</v>
      </c>
      <c r="F6" s="9" t="s">
        <v>19</v>
      </c>
      <c r="G6" s="9" t="s">
        <v>132</v>
      </c>
      <c r="H6" s="27">
        <v>0</v>
      </c>
      <c r="I6" s="27">
        <f t="shared" si="0"/>
        <v>0</v>
      </c>
      <c r="J6" s="27">
        <f t="shared" si="1"/>
        <v>0</v>
      </c>
      <c r="K6" s="27">
        <f t="shared" si="2"/>
        <v>0</v>
      </c>
      <c r="L6" s="27">
        <f t="shared" si="3"/>
        <v>0</v>
      </c>
      <c r="M6" s="27">
        <f t="shared" si="4"/>
        <v>0</v>
      </c>
      <c r="N6" s="27">
        <f t="shared" si="5"/>
        <v>0</v>
      </c>
      <c r="O6" s="27">
        <f t="shared" si="6"/>
        <v>0</v>
      </c>
      <c r="P6" s="27">
        <f t="shared" si="7"/>
        <v>0</v>
      </c>
      <c r="Q6" s="27">
        <f t="shared" si="8"/>
        <v>0</v>
      </c>
      <c r="R6" s="27">
        <f t="shared" si="9"/>
        <v>0</v>
      </c>
    </row>
    <row r="7" spans="2:18" x14ac:dyDescent="0.25">
      <c r="D7" s="9" t="s">
        <v>3</v>
      </c>
      <c r="E7" s="9" t="s">
        <v>300</v>
      </c>
      <c r="F7" s="9" t="s">
        <v>18</v>
      </c>
      <c r="G7" s="9" t="s">
        <v>132</v>
      </c>
      <c r="H7" s="27">
        <v>1</v>
      </c>
      <c r="I7" s="27">
        <f t="shared" si="0"/>
        <v>1</v>
      </c>
      <c r="J7" s="27">
        <f t="shared" si="1"/>
        <v>1</v>
      </c>
      <c r="K7" s="27">
        <f t="shared" si="2"/>
        <v>1</v>
      </c>
      <c r="L7" s="27">
        <f t="shared" si="3"/>
        <v>1</v>
      </c>
      <c r="M7" s="27">
        <f t="shared" si="4"/>
        <v>1</v>
      </c>
      <c r="N7" s="27">
        <f t="shared" si="5"/>
        <v>1</v>
      </c>
      <c r="O7" s="27">
        <f t="shared" si="6"/>
        <v>1</v>
      </c>
      <c r="P7" s="27">
        <f t="shared" si="7"/>
        <v>1</v>
      </c>
      <c r="Q7" s="27">
        <f t="shared" si="8"/>
        <v>1</v>
      </c>
      <c r="R7" s="27">
        <f t="shared" si="9"/>
        <v>1</v>
      </c>
    </row>
    <row r="8" spans="2:18" x14ac:dyDescent="0.25">
      <c r="D8" s="9" t="s">
        <v>3</v>
      </c>
      <c r="E8" s="9" t="s">
        <v>300</v>
      </c>
      <c r="F8" s="9" t="s">
        <v>301</v>
      </c>
      <c r="G8" s="9" t="s">
        <v>132</v>
      </c>
      <c r="H8" s="27">
        <v>0</v>
      </c>
      <c r="I8" s="27">
        <f t="shared" si="0"/>
        <v>0</v>
      </c>
      <c r="J8" s="27">
        <f t="shared" si="1"/>
        <v>0</v>
      </c>
      <c r="K8" s="27">
        <f t="shared" si="2"/>
        <v>0</v>
      </c>
      <c r="L8" s="27">
        <f t="shared" si="3"/>
        <v>0</v>
      </c>
      <c r="M8" s="27">
        <f t="shared" si="4"/>
        <v>0</v>
      </c>
      <c r="N8" s="27">
        <f t="shared" si="5"/>
        <v>0</v>
      </c>
      <c r="O8" s="27">
        <f t="shared" si="6"/>
        <v>0</v>
      </c>
      <c r="P8" s="27">
        <f t="shared" si="7"/>
        <v>0</v>
      </c>
      <c r="Q8" s="27">
        <f t="shared" si="8"/>
        <v>0</v>
      </c>
      <c r="R8" s="27">
        <f t="shared" si="9"/>
        <v>0</v>
      </c>
    </row>
    <row r="9" spans="2:18" x14ac:dyDescent="0.25">
      <c r="D9" s="9" t="s">
        <v>2</v>
      </c>
      <c r="E9" s="9" t="s">
        <v>300</v>
      </c>
      <c r="F9" s="9" t="s">
        <v>20</v>
      </c>
      <c r="G9" s="9" t="s">
        <v>132</v>
      </c>
      <c r="H9" s="27">
        <v>0</v>
      </c>
      <c r="I9" s="27">
        <f t="shared" si="0"/>
        <v>0</v>
      </c>
      <c r="J9" s="27">
        <f t="shared" si="1"/>
        <v>0</v>
      </c>
      <c r="K9" s="27">
        <f t="shared" si="2"/>
        <v>0</v>
      </c>
      <c r="L9" s="27">
        <f t="shared" si="3"/>
        <v>0</v>
      </c>
      <c r="M9" s="27">
        <f t="shared" si="4"/>
        <v>0</v>
      </c>
      <c r="N9" s="27">
        <f t="shared" si="5"/>
        <v>0</v>
      </c>
      <c r="O9" s="27">
        <f t="shared" si="6"/>
        <v>0</v>
      </c>
      <c r="P9" s="27">
        <f t="shared" si="7"/>
        <v>0</v>
      </c>
      <c r="Q9" s="27">
        <f t="shared" si="8"/>
        <v>0</v>
      </c>
      <c r="R9" s="27">
        <f t="shared" si="9"/>
        <v>0</v>
      </c>
    </row>
    <row r="10" spans="2:18" x14ac:dyDescent="0.25">
      <c r="D10" s="9" t="s">
        <v>2</v>
      </c>
      <c r="E10" s="9" t="s">
        <v>300</v>
      </c>
      <c r="F10" s="9" t="s">
        <v>19</v>
      </c>
      <c r="G10" s="9" t="s">
        <v>132</v>
      </c>
      <c r="H10" s="27">
        <v>0</v>
      </c>
      <c r="I10" s="27">
        <f t="shared" si="0"/>
        <v>0</v>
      </c>
      <c r="J10" s="27">
        <f t="shared" si="1"/>
        <v>0</v>
      </c>
      <c r="K10" s="27">
        <f t="shared" si="2"/>
        <v>0</v>
      </c>
      <c r="L10" s="27">
        <f t="shared" si="3"/>
        <v>0</v>
      </c>
      <c r="M10" s="27">
        <f t="shared" si="4"/>
        <v>0</v>
      </c>
      <c r="N10" s="27">
        <f t="shared" si="5"/>
        <v>0</v>
      </c>
      <c r="O10" s="27">
        <f t="shared" si="6"/>
        <v>0</v>
      </c>
      <c r="P10" s="27">
        <f t="shared" si="7"/>
        <v>0</v>
      </c>
      <c r="Q10" s="27">
        <f t="shared" si="8"/>
        <v>0</v>
      </c>
      <c r="R10" s="27">
        <f t="shared" si="9"/>
        <v>0</v>
      </c>
    </row>
    <row r="11" spans="2:18" x14ac:dyDescent="0.25">
      <c r="D11" s="9" t="s">
        <v>2</v>
      </c>
      <c r="E11" s="9" t="s">
        <v>300</v>
      </c>
      <c r="F11" s="9" t="s">
        <v>18</v>
      </c>
      <c r="G11" s="9" t="s">
        <v>132</v>
      </c>
      <c r="H11" s="27">
        <v>1</v>
      </c>
      <c r="I11" s="27">
        <f t="shared" si="0"/>
        <v>1</v>
      </c>
      <c r="J11" s="27">
        <f t="shared" si="1"/>
        <v>1</v>
      </c>
      <c r="K11" s="27">
        <f t="shared" si="2"/>
        <v>1</v>
      </c>
      <c r="L11" s="27">
        <f t="shared" si="3"/>
        <v>1</v>
      </c>
      <c r="M11" s="27">
        <f t="shared" si="4"/>
        <v>1</v>
      </c>
      <c r="N11" s="27">
        <f t="shared" si="5"/>
        <v>1</v>
      </c>
      <c r="O11" s="27">
        <f t="shared" si="6"/>
        <v>1</v>
      </c>
      <c r="P11" s="27">
        <f t="shared" si="7"/>
        <v>1</v>
      </c>
      <c r="Q11" s="27">
        <f t="shared" si="8"/>
        <v>1</v>
      </c>
      <c r="R11" s="27">
        <f t="shared" si="9"/>
        <v>1</v>
      </c>
    </row>
    <row r="12" spans="2:18" x14ac:dyDescent="0.25">
      <c r="D12" s="9" t="s">
        <v>2</v>
      </c>
      <c r="E12" s="9" t="s">
        <v>300</v>
      </c>
      <c r="F12" s="9" t="s">
        <v>301</v>
      </c>
      <c r="G12" s="9" t="s">
        <v>132</v>
      </c>
      <c r="H12" s="27">
        <v>0</v>
      </c>
      <c r="I12" s="27">
        <f t="shared" si="0"/>
        <v>0</v>
      </c>
      <c r="J12" s="27">
        <f t="shared" si="1"/>
        <v>0</v>
      </c>
      <c r="K12" s="27">
        <f t="shared" si="2"/>
        <v>0</v>
      </c>
      <c r="L12" s="27">
        <f t="shared" si="3"/>
        <v>0</v>
      </c>
      <c r="M12" s="27">
        <f t="shared" si="4"/>
        <v>0</v>
      </c>
      <c r="N12" s="27">
        <f t="shared" si="5"/>
        <v>0</v>
      </c>
      <c r="O12" s="27">
        <f t="shared" si="6"/>
        <v>0</v>
      </c>
      <c r="P12" s="27">
        <f t="shared" si="7"/>
        <v>0</v>
      </c>
      <c r="Q12" s="27">
        <f t="shared" si="8"/>
        <v>0</v>
      </c>
      <c r="R12" s="27">
        <f t="shared" si="9"/>
        <v>0</v>
      </c>
    </row>
    <row r="13" spans="2:18" x14ac:dyDescent="0.25">
      <c r="D13" s="9" t="s">
        <v>348</v>
      </c>
      <c r="E13" s="9" t="s">
        <v>300</v>
      </c>
      <c r="F13" s="9" t="s">
        <v>20</v>
      </c>
      <c r="G13" s="9" t="s">
        <v>132</v>
      </c>
      <c r="H13" s="27">
        <v>0</v>
      </c>
      <c r="I13" s="27">
        <f t="shared" si="0"/>
        <v>0</v>
      </c>
      <c r="J13" s="27">
        <f t="shared" si="1"/>
        <v>0</v>
      </c>
      <c r="K13" s="27">
        <f t="shared" si="2"/>
        <v>0</v>
      </c>
      <c r="L13" s="27">
        <f t="shared" si="3"/>
        <v>0</v>
      </c>
      <c r="M13" s="27">
        <f t="shared" si="4"/>
        <v>0</v>
      </c>
      <c r="N13" s="27">
        <f t="shared" si="5"/>
        <v>0</v>
      </c>
      <c r="O13" s="27">
        <f t="shared" si="6"/>
        <v>0</v>
      </c>
      <c r="P13" s="27">
        <f t="shared" si="7"/>
        <v>0</v>
      </c>
      <c r="Q13" s="27">
        <f t="shared" si="8"/>
        <v>0</v>
      </c>
      <c r="R13" s="27">
        <f t="shared" si="9"/>
        <v>0</v>
      </c>
    </row>
    <row r="14" spans="2:18" x14ac:dyDescent="0.25">
      <c r="D14" s="9" t="s">
        <v>348</v>
      </c>
      <c r="E14" s="9" t="s">
        <v>300</v>
      </c>
      <c r="F14" s="9" t="s">
        <v>19</v>
      </c>
      <c r="G14" s="9" t="s">
        <v>132</v>
      </c>
      <c r="H14" s="27">
        <v>0</v>
      </c>
      <c r="I14" s="27">
        <f t="shared" si="0"/>
        <v>0</v>
      </c>
      <c r="J14" s="27">
        <f t="shared" si="1"/>
        <v>0</v>
      </c>
      <c r="K14" s="27">
        <f t="shared" si="2"/>
        <v>0</v>
      </c>
      <c r="L14" s="27">
        <f t="shared" si="3"/>
        <v>0</v>
      </c>
      <c r="M14" s="27">
        <f t="shared" si="4"/>
        <v>0</v>
      </c>
      <c r="N14" s="27">
        <f t="shared" si="5"/>
        <v>0</v>
      </c>
      <c r="O14" s="27">
        <f t="shared" si="6"/>
        <v>0</v>
      </c>
      <c r="P14" s="27">
        <f t="shared" si="7"/>
        <v>0</v>
      </c>
      <c r="Q14" s="27">
        <f t="shared" si="8"/>
        <v>0</v>
      </c>
      <c r="R14" s="27">
        <f t="shared" si="9"/>
        <v>0</v>
      </c>
    </row>
    <row r="15" spans="2:18" x14ac:dyDescent="0.25">
      <c r="D15" s="9" t="s">
        <v>348</v>
      </c>
      <c r="E15" s="9" t="s">
        <v>300</v>
      </c>
      <c r="F15" s="9" t="s">
        <v>18</v>
      </c>
      <c r="G15" s="9" t="s">
        <v>132</v>
      </c>
      <c r="H15" s="27">
        <v>1</v>
      </c>
      <c r="I15" s="27">
        <f t="shared" si="0"/>
        <v>1</v>
      </c>
      <c r="J15" s="27">
        <f t="shared" si="1"/>
        <v>1</v>
      </c>
      <c r="K15" s="27">
        <f t="shared" si="2"/>
        <v>1</v>
      </c>
      <c r="L15" s="27">
        <f t="shared" si="3"/>
        <v>1</v>
      </c>
      <c r="M15" s="27">
        <f t="shared" si="4"/>
        <v>1</v>
      </c>
      <c r="N15" s="27">
        <f t="shared" si="5"/>
        <v>1</v>
      </c>
      <c r="O15" s="27">
        <f t="shared" si="6"/>
        <v>1</v>
      </c>
      <c r="P15" s="27">
        <f t="shared" si="7"/>
        <v>1</v>
      </c>
      <c r="Q15" s="27">
        <f t="shared" si="8"/>
        <v>1</v>
      </c>
      <c r="R15" s="27">
        <f t="shared" si="9"/>
        <v>1</v>
      </c>
    </row>
    <row r="16" spans="2:18" x14ac:dyDescent="0.25">
      <c r="D16" s="9" t="s">
        <v>348</v>
      </c>
      <c r="E16" s="9" t="s">
        <v>300</v>
      </c>
      <c r="F16" s="9" t="s">
        <v>301</v>
      </c>
      <c r="G16" s="9" t="s">
        <v>132</v>
      </c>
      <c r="H16" s="27">
        <v>0</v>
      </c>
      <c r="I16" s="27">
        <f t="shared" si="0"/>
        <v>0</v>
      </c>
      <c r="J16" s="27">
        <f t="shared" si="1"/>
        <v>0</v>
      </c>
      <c r="K16" s="27">
        <f t="shared" si="2"/>
        <v>0</v>
      </c>
      <c r="L16" s="27">
        <f t="shared" si="3"/>
        <v>0</v>
      </c>
      <c r="M16" s="27">
        <f t="shared" si="4"/>
        <v>0</v>
      </c>
      <c r="N16" s="27">
        <f t="shared" si="5"/>
        <v>0</v>
      </c>
      <c r="O16" s="27">
        <f t="shared" si="6"/>
        <v>0</v>
      </c>
      <c r="P16" s="27">
        <f t="shared" si="7"/>
        <v>0</v>
      </c>
      <c r="Q16" s="27">
        <f t="shared" si="8"/>
        <v>0</v>
      </c>
      <c r="R16" s="27">
        <f t="shared" si="9"/>
        <v>0</v>
      </c>
    </row>
    <row r="17" spans="4:18" x14ac:dyDescent="0.25">
      <c r="D17" s="9" t="s">
        <v>349</v>
      </c>
      <c r="E17" s="9" t="s">
        <v>300</v>
      </c>
      <c r="F17" s="9" t="s">
        <v>20</v>
      </c>
      <c r="G17" s="9" t="s">
        <v>132</v>
      </c>
      <c r="H17" s="27">
        <v>0</v>
      </c>
      <c r="I17" s="27">
        <f t="shared" si="0"/>
        <v>0</v>
      </c>
      <c r="J17" s="27">
        <f t="shared" si="1"/>
        <v>0</v>
      </c>
      <c r="K17" s="27">
        <f t="shared" si="2"/>
        <v>0</v>
      </c>
      <c r="L17" s="27">
        <f t="shared" si="3"/>
        <v>0</v>
      </c>
      <c r="M17" s="27">
        <f t="shared" si="4"/>
        <v>0</v>
      </c>
      <c r="N17" s="27">
        <f t="shared" si="5"/>
        <v>0</v>
      </c>
      <c r="O17" s="27">
        <f t="shared" si="6"/>
        <v>0</v>
      </c>
      <c r="P17" s="27">
        <f t="shared" si="7"/>
        <v>0</v>
      </c>
      <c r="Q17" s="27">
        <f t="shared" si="8"/>
        <v>0</v>
      </c>
      <c r="R17" s="27">
        <f t="shared" si="9"/>
        <v>0</v>
      </c>
    </row>
    <row r="18" spans="4:18" x14ac:dyDescent="0.25">
      <c r="D18" s="9" t="s">
        <v>349</v>
      </c>
      <c r="E18" s="9" t="s">
        <v>300</v>
      </c>
      <c r="F18" s="9" t="s">
        <v>19</v>
      </c>
      <c r="G18" s="9" t="s">
        <v>132</v>
      </c>
      <c r="H18" s="27">
        <v>0</v>
      </c>
      <c r="I18" s="27">
        <f t="shared" si="0"/>
        <v>0</v>
      </c>
      <c r="J18" s="27">
        <f t="shared" si="1"/>
        <v>0</v>
      </c>
      <c r="K18" s="27">
        <f t="shared" si="2"/>
        <v>0</v>
      </c>
      <c r="L18" s="27">
        <f t="shared" si="3"/>
        <v>0</v>
      </c>
      <c r="M18" s="27">
        <f t="shared" si="4"/>
        <v>0</v>
      </c>
      <c r="N18" s="27">
        <f t="shared" si="5"/>
        <v>0</v>
      </c>
      <c r="O18" s="27">
        <f t="shared" si="6"/>
        <v>0</v>
      </c>
      <c r="P18" s="27">
        <f t="shared" si="7"/>
        <v>0</v>
      </c>
      <c r="Q18" s="27">
        <f t="shared" si="8"/>
        <v>0</v>
      </c>
      <c r="R18" s="27">
        <f t="shared" si="9"/>
        <v>0</v>
      </c>
    </row>
    <row r="19" spans="4:18" x14ac:dyDescent="0.25">
      <c r="D19" s="9" t="s">
        <v>349</v>
      </c>
      <c r="E19" s="9" t="s">
        <v>300</v>
      </c>
      <c r="F19" s="9" t="s">
        <v>18</v>
      </c>
      <c r="G19" s="9" t="s">
        <v>132</v>
      </c>
      <c r="H19" s="27">
        <v>1</v>
      </c>
      <c r="I19" s="27">
        <f t="shared" si="0"/>
        <v>1</v>
      </c>
      <c r="J19" s="27">
        <f t="shared" si="1"/>
        <v>1</v>
      </c>
      <c r="K19" s="27">
        <f t="shared" si="2"/>
        <v>1</v>
      </c>
      <c r="L19" s="27">
        <f t="shared" si="3"/>
        <v>1</v>
      </c>
      <c r="M19" s="27">
        <f t="shared" si="4"/>
        <v>1</v>
      </c>
      <c r="N19" s="27">
        <f t="shared" si="5"/>
        <v>1</v>
      </c>
      <c r="O19" s="27">
        <f t="shared" si="6"/>
        <v>1</v>
      </c>
      <c r="P19" s="27">
        <f t="shared" si="7"/>
        <v>1</v>
      </c>
      <c r="Q19" s="27">
        <f t="shared" si="8"/>
        <v>1</v>
      </c>
      <c r="R19" s="27">
        <f t="shared" si="9"/>
        <v>1</v>
      </c>
    </row>
    <row r="20" spans="4:18" x14ac:dyDescent="0.25">
      <c r="D20" s="9" t="s">
        <v>349</v>
      </c>
      <c r="E20" s="9" t="s">
        <v>300</v>
      </c>
      <c r="F20" s="9" t="s">
        <v>301</v>
      </c>
      <c r="G20" s="9" t="s">
        <v>132</v>
      </c>
      <c r="H20" s="27">
        <v>0</v>
      </c>
      <c r="I20" s="27">
        <f t="shared" si="0"/>
        <v>0</v>
      </c>
      <c r="J20" s="27">
        <f t="shared" si="1"/>
        <v>0</v>
      </c>
      <c r="K20" s="27">
        <f t="shared" si="2"/>
        <v>0</v>
      </c>
      <c r="L20" s="27">
        <f t="shared" si="3"/>
        <v>0</v>
      </c>
      <c r="M20" s="27">
        <f t="shared" si="4"/>
        <v>0</v>
      </c>
      <c r="N20" s="27">
        <f t="shared" si="5"/>
        <v>0</v>
      </c>
      <c r="O20" s="27">
        <f t="shared" si="6"/>
        <v>0</v>
      </c>
      <c r="P20" s="27">
        <f t="shared" si="7"/>
        <v>0</v>
      </c>
      <c r="Q20" s="27">
        <f t="shared" si="8"/>
        <v>0</v>
      </c>
      <c r="R20" s="27">
        <f t="shared" si="9"/>
        <v>0</v>
      </c>
    </row>
    <row r="21" spans="4:18" x14ac:dyDescent="0.25">
      <c r="D21" s="9" t="s">
        <v>6</v>
      </c>
      <c r="E21" s="9" t="s">
        <v>300</v>
      </c>
      <c r="F21" s="9" t="s">
        <v>20</v>
      </c>
      <c r="G21" s="9" t="s">
        <v>132</v>
      </c>
      <c r="H21" s="27">
        <v>0</v>
      </c>
      <c r="I21" s="27">
        <f t="shared" si="0"/>
        <v>0</v>
      </c>
      <c r="J21" s="27">
        <f t="shared" si="1"/>
        <v>0</v>
      </c>
      <c r="K21" s="27">
        <f t="shared" si="2"/>
        <v>0</v>
      </c>
      <c r="L21" s="27">
        <f t="shared" si="3"/>
        <v>0</v>
      </c>
      <c r="M21" s="27">
        <f t="shared" si="4"/>
        <v>0</v>
      </c>
      <c r="N21" s="27">
        <f t="shared" si="5"/>
        <v>0</v>
      </c>
      <c r="O21" s="27">
        <f t="shared" si="6"/>
        <v>0</v>
      </c>
      <c r="P21" s="27">
        <f t="shared" si="7"/>
        <v>0</v>
      </c>
      <c r="Q21" s="27">
        <f t="shared" si="8"/>
        <v>0</v>
      </c>
      <c r="R21" s="27">
        <f t="shared" si="9"/>
        <v>0</v>
      </c>
    </row>
    <row r="22" spans="4:18" x14ac:dyDescent="0.25">
      <c r="D22" s="9" t="s">
        <v>6</v>
      </c>
      <c r="E22" s="9" t="s">
        <v>300</v>
      </c>
      <c r="F22" s="9" t="s">
        <v>19</v>
      </c>
      <c r="G22" s="9" t="s">
        <v>132</v>
      </c>
      <c r="H22" s="27">
        <v>0</v>
      </c>
      <c r="I22" s="27">
        <f t="shared" si="0"/>
        <v>0</v>
      </c>
      <c r="J22" s="27">
        <f t="shared" si="1"/>
        <v>0</v>
      </c>
      <c r="K22" s="27">
        <f t="shared" si="2"/>
        <v>0</v>
      </c>
      <c r="L22" s="27">
        <f t="shared" si="3"/>
        <v>0</v>
      </c>
      <c r="M22" s="27">
        <f t="shared" si="4"/>
        <v>0</v>
      </c>
      <c r="N22" s="27">
        <f t="shared" si="5"/>
        <v>0</v>
      </c>
      <c r="O22" s="27">
        <f t="shared" si="6"/>
        <v>0</v>
      </c>
      <c r="P22" s="27">
        <f t="shared" si="7"/>
        <v>0</v>
      </c>
      <c r="Q22" s="27">
        <f t="shared" si="8"/>
        <v>0</v>
      </c>
      <c r="R22" s="27">
        <f t="shared" si="9"/>
        <v>0</v>
      </c>
    </row>
    <row r="23" spans="4:18" x14ac:dyDescent="0.25">
      <c r="D23" s="9" t="s">
        <v>6</v>
      </c>
      <c r="E23" s="9" t="s">
        <v>300</v>
      </c>
      <c r="F23" s="9" t="s">
        <v>18</v>
      </c>
      <c r="G23" s="9" t="s">
        <v>132</v>
      </c>
      <c r="H23" s="27">
        <v>1</v>
      </c>
      <c r="I23" s="27">
        <f t="shared" si="0"/>
        <v>1</v>
      </c>
      <c r="J23" s="27">
        <f t="shared" si="1"/>
        <v>1</v>
      </c>
      <c r="K23" s="27">
        <f t="shared" si="2"/>
        <v>1</v>
      </c>
      <c r="L23" s="27">
        <f t="shared" si="3"/>
        <v>1</v>
      </c>
      <c r="M23" s="27">
        <f t="shared" si="4"/>
        <v>1</v>
      </c>
      <c r="N23" s="27">
        <f t="shared" si="5"/>
        <v>1</v>
      </c>
      <c r="O23" s="27">
        <f t="shared" si="6"/>
        <v>1</v>
      </c>
      <c r="P23" s="27">
        <f t="shared" si="7"/>
        <v>1</v>
      </c>
      <c r="Q23" s="27">
        <f t="shared" si="8"/>
        <v>1</v>
      </c>
      <c r="R23" s="27">
        <f t="shared" si="9"/>
        <v>1</v>
      </c>
    </row>
    <row r="24" spans="4:18" x14ac:dyDescent="0.25">
      <c r="D24" s="9" t="s">
        <v>6</v>
      </c>
      <c r="E24" s="9" t="s">
        <v>300</v>
      </c>
      <c r="F24" s="9" t="s">
        <v>301</v>
      </c>
      <c r="G24" s="9" t="s">
        <v>132</v>
      </c>
      <c r="H24" s="27">
        <v>0</v>
      </c>
      <c r="I24" s="27">
        <f t="shared" si="0"/>
        <v>0</v>
      </c>
      <c r="J24" s="27">
        <f t="shared" si="1"/>
        <v>0</v>
      </c>
      <c r="K24" s="27">
        <f t="shared" si="2"/>
        <v>0</v>
      </c>
      <c r="L24" s="27">
        <f t="shared" si="3"/>
        <v>0</v>
      </c>
      <c r="M24" s="27">
        <f t="shared" si="4"/>
        <v>0</v>
      </c>
      <c r="N24" s="27">
        <f t="shared" si="5"/>
        <v>0</v>
      </c>
      <c r="O24" s="27">
        <f t="shared" si="6"/>
        <v>0</v>
      </c>
      <c r="P24" s="27">
        <f t="shared" si="7"/>
        <v>0</v>
      </c>
      <c r="Q24" s="27">
        <f t="shared" si="8"/>
        <v>0</v>
      </c>
      <c r="R24" s="27">
        <f t="shared" si="9"/>
        <v>0</v>
      </c>
    </row>
    <row r="25" spans="4:18" x14ac:dyDescent="0.25">
      <c r="D25" s="9" t="s">
        <v>10</v>
      </c>
      <c r="E25" s="9" t="s">
        <v>300</v>
      </c>
      <c r="F25" s="9" t="s">
        <v>20</v>
      </c>
      <c r="G25" s="9" t="s">
        <v>132</v>
      </c>
      <c r="H25" s="27">
        <v>0</v>
      </c>
      <c r="I25" s="27">
        <f t="shared" si="0"/>
        <v>0</v>
      </c>
      <c r="J25" s="27">
        <f t="shared" si="1"/>
        <v>0</v>
      </c>
      <c r="K25" s="27">
        <f t="shared" si="2"/>
        <v>0</v>
      </c>
      <c r="L25" s="27">
        <f t="shared" si="3"/>
        <v>0</v>
      </c>
      <c r="M25" s="27">
        <f t="shared" si="4"/>
        <v>0</v>
      </c>
      <c r="N25" s="27">
        <f t="shared" si="5"/>
        <v>0</v>
      </c>
      <c r="O25" s="27">
        <f t="shared" si="6"/>
        <v>0</v>
      </c>
      <c r="P25" s="27">
        <f t="shared" si="7"/>
        <v>0</v>
      </c>
      <c r="Q25" s="27">
        <f t="shared" si="8"/>
        <v>0</v>
      </c>
      <c r="R25" s="27">
        <f t="shared" si="9"/>
        <v>0</v>
      </c>
    </row>
    <row r="26" spans="4:18" x14ac:dyDescent="0.25">
      <c r="D26" s="9" t="s">
        <v>10</v>
      </c>
      <c r="E26" s="9" t="s">
        <v>300</v>
      </c>
      <c r="F26" s="9" t="s">
        <v>19</v>
      </c>
      <c r="G26" s="9" t="s">
        <v>132</v>
      </c>
      <c r="H26" s="27">
        <v>0</v>
      </c>
      <c r="I26" s="27">
        <f t="shared" si="0"/>
        <v>0</v>
      </c>
      <c r="J26" s="27">
        <f t="shared" si="1"/>
        <v>0</v>
      </c>
      <c r="K26" s="27">
        <f t="shared" si="2"/>
        <v>0</v>
      </c>
      <c r="L26" s="27">
        <f t="shared" si="3"/>
        <v>0</v>
      </c>
      <c r="M26" s="27">
        <f t="shared" si="4"/>
        <v>0</v>
      </c>
      <c r="N26" s="27">
        <f t="shared" si="5"/>
        <v>0</v>
      </c>
      <c r="O26" s="27">
        <f t="shared" si="6"/>
        <v>0</v>
      </c>
      <c r="P26" s="27">
        <f t="shared" si="7"/>
        <v>0</v>
      </c>
      <c r="Q26" s="27">
        <f t="shared" si="8"/>
        <v>0</v>
      </c>
      <c r="R26" s="27">
        <f t="shared" si="9"/>
        <v>0</v>
      </c>
    </row>
    <row r="27" spans="4:18" x14ac:dyDescent="0.25">
      <c r="D27" s="9" t="s">
        <v>10</v>
      </c>
      <c r="E27" s="9" t="s">
        <v>300</v>
      </c>
      <c r="F27" s="9" t="s">
        <v>18</v>
      </c>
      <c r="G27" s="9" t="s">
        <v>132</v>
      </c>
      <c r="H27" s="27">
        <v>1</v>
      </c>
      <c r="I27" s="27">
        <f t="shared" si="0"/>
        <v>1</v>
      </c>
      <c r="J27" s="27">
        <f t="shared" si="1"/>
        <v>1</v>
      </c>
      <c r="K27" s="27">
        <f t="shared" si="2"/>
        <v>1</v>
      </c>
      <c r="L27" s="27">
        <f t="shared" si="3"/>
        <v>1</v>
      </c>
      <c r="M27" s="27">
        <f t="shared" si="4"/>
        <v>1</v>
      </c>
      <c r="N27" s="27">
        <f t="shared" si="5"/>
        <v>1</v>
      </c>
      <c r="O27" s="27">
        <f t="shared" si="6"/>
        <v>1</v>
      </c>
      <c r="P27" s="27">
        <f t="shared" si="7"/>
        <v>1</v>
      </c>
      <c r="Q27" s="27">
        <f t="shared" si="8"/>
        <v>1</v>
      </c>
      <c r="R27" s="27">
        <f t="shared" si="9"/>
        <v>1</v>
      </c>
    </row>
    <row r="28" spans="4:18" x14ac:dyDescent="0.25">
      <c r="D28" s="9" t="s">
        <v>10</v>
      </c>
      <c r="E28" s="9" t="s">
        <v>300</v>
      </c>
      <c r="F28" s="9" t="s">
        <v>301</v>
      </c>
      <c r="G28" s="9" t="s">
        <v>132</v>
      </c>
      <c r="H28" s="27">
        <v>0</v>
      </c>
      <c r="I28" s="27">
        <f t="shared" si="0"/>
        <v>0</v>
      </c>
      <c r="J28" s="27">
        <f t="shared" si="1"/>
        <v>0</v>
      </c>
      <c r="K28" s="27">
        <f t="shared" si="2"/>
        <v>0</v>
      </c>
      <c r="L28" s="27">
        <f t="shared" si="3"/>
        <v>0</v>
      </c>
      <c r="M28" s="27">
        <f t="shared" si="4"/>
        <v>0</v>
      </c>
      <c r="N28" s="27">
        <f t="shared" si="5"/>
        <v>0</v>
      </c>
      <c r="O28" s="27">
        <f t="shared" si="6"/>
        <v>0</v>
      </c>
      <c r="P28" s="27">
        <f t="shared" si="7"/>
        <v>0</v>
      </c>
      <c r="Q28" s="27">
        <f t="shared" si="8"/>
        <v>0</v>
      </c>
      <c r="R28" s="27">
        <f t="shared" si="9"/>
        <v>0</v>
      </c>
    </row>
    <row r="29" spans="4:18" x14ac:dyDescent="0.25">
      <c r="D29" s="9" t="s">
        <v>350</v>
      </c>
      <c r="E29" s="9" t="s">
        <v>300</v>
      </c>
      <c r="F29" s="9" t="s">
        <v>20</v>
      </c>
      <c r="G29" s="9" t="s">
        <v>132</v>
      </c>
      <c r="H29" s="27">
        <v>0</v>
      </c>
      <c r="I29" s="27">
        <f t="shared" si="0"/>
        <v>0</v>
      </c>
      <c r="J29" s="27">
        <f t="shared" si="1"/>
        <v>0</v>
      </c>
      <c r="K29" s="27">
        <f t="shared" si="2"/>
        <v>0</v>
      </c>
      <c r="L29" s="27">
        <f t="shared" si="3"/>
        <v>0</v>
      </c>
      <c r="M29" s="27">
        <f t="shared" si="4"/>
        <v>0</v>
      </c>
      <c r="N29" s="27">
        <f t="shared" si="5"/>
        <v>0</v>
      </c>
      <c r="O29" s="27">
        <f t="shared" si="6"/>
        <v>0</v>
      </c>
      <c r="P29" s="27">
        <f t="shared" si="7"/>
        <v>0</v>
      </c>
      <c r="Q29" s="27">
        <f t="shared" si="8"/>
        <v>0</v>
      </c>
      <c r="R29" s="27">
        <f t="shared" si="9"/>
        <v>0</v>
      </c>
    </row>
    <row r="30" spans="4:18" x14ac:dyDescent="0.25">
      <c r="D30" s="9" t="s">
        <v>350</v>
      </c>
      <c r="E30" s="9" t="s">
        <v>300</v>
      </c>
      <c r="F30" s="9" t="s">
        <v>19</v>
      </c>
      <c r="G30" s="9" t="s">
        <v>132</v>
      </c>
      <c r="H30" s="27">
        <v>0</v>
      </c>
      <c r="I30" s="27">
        <f t="shared" si="0"/>
        <v>0</v>
      </c>
      <c r="J30" s="27">
        <f t="shared" si="1"/>
        <v>0</v>
      </c>
      <c r="K30" s="27">
        <f t="shared" si="2"/>
        <v>0</v>
      </c>
      <c r="L30" s="27">
        <f t="shared" si="3"/>
        <v>0</v>
      </c>
      <c r="M30" s="27">
        <f t="shared" si="4"/>
        <v>0</v>
      </c>
      <c r="N30" s="27">
        <f t="shared" si="5"/>
        <v>0</v>
      </c>
      <c r="O30" s="27">
        <f t="shared" si="6"/>
        <v>0</v>
      </c>
      <c r="P30" s="27">
        <f t="shared" si="7"/>
        <v>0</v>
      </c>
      <c r="Q30" s="27">
        <f t="shared" si="8"/>
        <v>0</v>
      </c>
      <c r="R30" s="27">
        <f t="shared" si="9"/>
        <v>0</v>
      </c>
    </row>
    <row r="31" spans="4:18" x14ac:dyDescent="0.25">
      <c r="D31" s="9" t="s">
        <v>350</v>
      </c>
      <c r="E31" s="9" t="s">
        <v>300</v>
      </c>
      <c r="F31" s="9" t="s">
        <v>18</v>
      </c>
      <c r="G31" s="9" t="s">
        <v>132</v>
      </c>
      <c r="H31" s="27">
        <v>1</v>
      </c>
      <c r="I31" s="27">
        <f t="shared" si="0"/>
        <v>1</v>
      </c>
      <c r="J31" s="27">
        <f t="shared" si="1"/>
        <v>1</v>
      </c>
      <c r="K31" s="27">
        <f t="shared" si="2"/>
        <v>1</v>
      </c>
      <c r="L31" s="27">
        <f t="shared" si="3"/>
        <v>1</v>
      </c>
      <c r="M31" s="27">
        <f t="shared" si="4"/>
        <v>1</v>
      </c>
      <c r="N31" s="27">
        <f t="shared" si="5"/>
        <v>1</v>
      </c>
      <c r="O31" s="27">
        <f t="shared" si="6"/>
        <v>1</v>
      </c>
      <c r="P31" s="27">
        <f t="shared" si="7"/>
        <v>1</v>
      </c>
      <c r="Q31" s="27">
        <f t="shared" si="8"/>
        <v>1</v>
      </c>
      <c r="R31" s="27">
        <f t="shared" si="9"/>
        <v>1</v>
      </c>
    </row>
    <row r="32" spans="4:18" x14ac:dyDescent="0.25">
      <c r="D32" s="9" t="s">
        <v>350</v>
      </c>
      <c r="E32" s="9" t="s">
        <v>300</v>
      </c>
      <c r="F32" s="9" t="s">
        <v>301</v>
      </c>
      <c r="G32" s="9" t="s">
        <v>132</v>
      </c>
      <c r="H32" s="27">
        <v>0</v>
      </c>
      <c r="I32" s="27">
        <f t="shared" si="0"/>
        <v>0</v>
      </c>
      <c r="J32" s="27">
        <f t="shared" si="1"/>
        <v>0</v>
      </c>
      <c r="K32" s="27">
        <f t="shared" si="2"/>
        <v>0</v>
      </c>
      <c r="L32" s="27">
        <f t="shared" si="3"/>
        <v>0</v>
      </c>
      <c r="M32" s="27">
        <f t="shared" si="4"/>
        <v>0</v>
      </c>
      <c r="N32" s="27">
        <f t="shared" si="5"/>
        <v>0</v>
      </c>
      <c r="O32" s="27">
        <f t="shared" si="6"/>
        <v>0</v>
      </c>
      <c r="P32" s="27">
        <f t="shared" si="7"/>
        <v>0</v>
      </c>
      <c r="Q32" s="27">
        <f t="shared" si="8"/>
        <v>0</v>
      </c>
      <c r="R32" s="27">
        <f t="shared" si="9"/>
        <v>0</v>
      </c>
    </row>
    <row r="33" spans="4:18" x14ac:dyDescent="0.25">
      <c r="D33" s="9" t="s">
        <v>351</v>
      </c>
      <c r="E33" s="9" t="s">
        <v>300</v>
      </c>
      <c r="F33" s="9" t="s">
        <v>20</v>
      </c>
      <c r="G33" s="9" t="s">
        <v>132</v>
      </c>
      <c r="H33" s="27">
        <v>0</v>
      </c>
      <c r="I33" s="27">
        <f t="shared" si="0"/>
        <v>0</v>
      </c>
      <c r="J33" s="27">
        <f t="shared" si="1"/>
        <v>0</v>
      </c>
      <c r="K33" s="27">
        <f t="shared" si="2"/>
        <v>0</v>
      </c>
      <c r="L33" s="27">
        <f t="shared" si="3"/>
        <v>0</v>
      </c>
      <c r="M33" s="27">
        <f t="shared" si="4"/>
        <v>0</v>
      </c>
      <c r="N33" s="27">
        <f t="shared" si="5"/>
        <v>0</v>
      </c>
      <c r="O33" s="27">
        <f t="shared" si="6"/>
        <v>0</v>
      </c>
      <c r="P33" s="27">
        <f t="shared" si="7"/>
        <v>0</v>
      </c>
      <c r="Q33" s="27">
        <f t="shared" si="8"/>
        <v>0</v>
      </c>
      <c r="R33" s="27">
        <f t="shared" si="9"/>
        <v>0</v>
      </c>
    </row>
    <row r="34" spans="4:18" x14ac:dyDescent="0.25">
      <c r="D34" s="9" t="s">
        <v>351</v>
      </c>
      <c r="E34" s="9" t="s">
        <v>300</v>
      </c>
      <c r="F34" s="9" t="s">
        <v>19</v>
      </c>
      <c r="G34" s="9" t="s">
        <v>132</v>
      </c>
      <c r="H34" s="27">
        <v>0</v>
      </c>
      <c r="I34" s="27">
        <f t="shared" si="0"/>
        <v>0</v>
      </c>
      <c r="J34" s="27">
        <f t="shared" si="1"/>
        <v>0</v>
      </c>
      <c r="K34" s="27">
        <f t="shared" si="2"/>
        <v>0</v>
      </c>
      <c r="L34" s="27">
        <f t="shared" si="3"/>
        <v>0</v>
      </c>
      <c r="M34" s="27">
        <f t="shared" si="4"/>
        <v>0</v>
      </c>
      <c r="N34" s="27">
        <f t="shared" si="5"/>
        <v>0</v>
      </c>
      <c r="O34" s="27">
        <f t="shared" si="6"/>
        <v>0</v>
      </c>
      <c r="P34" s="27">
        <f t="shared" si="7"/>
        <v>0</v>
      </c>
      <c r="Q34" s="27">
        <f t="shared" si="8"/>
        <v>0</v>
      </c>
      <c r="R34" s="27">
        <f t="shared" si="9"/>
        <v>0</v>
      </c>
    </row>
    <row r="35" spans="4:18" x14ac:dyDescent="0.25">
      <c r="D35" s="9" t="s">
        <v>351</v>
      </c>
      <c r="E35" s="9" t="s">
        <v>300</v>
      </c>
      <c r="F35" s="9" t="s">
        <v>18</v>
      </c>
      <c r="G35" s="9" t="s">
        <v>132</v>
      </c>
      <c r="H35" s="27">
        <v>1</v>
      </c>
      <c r="I35" s="27">
        <f t="shared" si="0"/>
        <v>1</v>
      </c>
      <c r="J35" s="27">
        <f t="shared" si="1"/>
        <v>1</v>
      </c>
      <c r="K35" s="27">
        <f t="shared" si="2"/>
        <v>1</v>
      </c>
      <c r="L35" s="27">
        <f t="shared" si="3"/>
        <v>1</v>
      </c>
      <c r="M35" s="27">
        <f t="shared" si="4"/>
        <v>1</v>
      </c>
      <c r="N35" s="27">
        <f t="shared" si="5"/>
        <v>1</v>
      </c>
      <c r="O35" s="27">
        <f t="shared" si="6"/>
        <v>1</v>
      </c>
      <c r="P35" s="27">
        <f t="shared" si="7"/>
        <v>1</v>
      </c>
      <c r="Q35" s="27">
        <f t="shared" si="8"/>
        <v>1</v>
      </c>
      <c r="R35" s="27">
        <f t="shared" si="9"/>
        <v>1</v>
      </c>
    </row>
    <row r="36" spans="4:18" x14ac:dyDescent="0.25">
      <c r="D36" s="9" t="s">
        <v>351</v>
      </c>
      <c r="E36" s="9" t="s">
        <v>300</v>
      </c>
      <c r="F36" s="9" t="s">
        <v>301</v>
      </c>
      <c r="G36" s="9" t="s">
        <v>132</v>
      </c>
      <c r="H36" s="27">
        <v>0</v>
      </c>
      <c r="I36" s="27">
        <f t="shared" si="0"/>
        <v>0</v>
      </c>
      <c r="J36" s="27">
        <f t="shared" si="1"/>
        <v>0</v>
      </c>
      <c r="K36" s="27">
        <f t="shared" si="2"/>
        <v>0</v>
      </c>
      <c r="L36" s="27">
        <f t="shared" si="3"/>
        <v>0</v>
      </c>
      <c r="M36" s="27">
        <f t="shared" si="4"/>
        <v>0</v>
      </c>
      <c r="N36" s="27">
        <f t="shared" si="5"/>
        <v>0</v>
      </c>
      <c r="O36" s="27">
        <f t="shared" si="6"/>
        <v>0</v>
      </c>
      <c r="P36" s="27">
        <f t="shared" si="7"/>
        <v>0</v>
      </c>
      <c r="Q36" s="27">
        <f t="shared" si="8"/>
        <v>0</v>
      </c>
      <c r="R36" s="27">
        <f t="shared" si="9"/>
        <v>0</v>
      </c>
    </row>
    <row r="37" spans="4:18" x14ac:dyDescent="0.25">
      <c r="D37" s="9" t="s">
        <v>352</v>
      </c>
      <c r="E37" s="9" t="s">
        <v>300</v>
      </c>
      <c r="F37" s="9" t="s">
        <v>20</v>
      </c>
      <c r="G37" s="9" t="s">
        <v>132</v>
      </c>
      <c r="H37" s="27">
        <v>0</v>
      </c>
      <c r="I37" s="27">
        <f t="shared" si="0"/>
        <v>0</v>
      </c>
      <c r="J37" s="27">
        <f t="shared" si="1"/>
        <v>0</v>
      </c>
      <c r="K37" s="27">
        <f t="shared" si="2"/>
        <v>0</v>
      </c>
      <c r="L37" s="27">
        <f t="shared" si="3"/>
        <v>0</v>
      </c>
      <c r="M37" s="27">
        <f t="shared" si="4"/>
        <v>0</v>
      </c>
      <c r="N37" s="27">
        <f t="shared" si="5"/>
        <v>0</v>
      </c>
      <c r="O37" s="27">
        <f t="shared" si="6"/>
        <v>0</v>
      </c>
      <c r="P37" s="27">
        <f t="shared" si="7"/>
        <v>0</v>
      </c>
      <c r="Q37" s="27">
        <f t="shared" si="8"/>
        <v>0</v>
      </c>
      <c r="R37" s="27">
        <f t="shared" si="9"/>
        <v>0</v>
      </c>
    </row>
    <row r="38" spans="4:18" x14ac:dyDescent="0.25">
      <c r="D38" s="9" t="s">
        <v>352</v>
      </c>
      <c r="E38" s="9" t="s">
        <v>300</v>
      </c>
      <c r="F38" s="9" t="s">
        <v>19</v>
      </c>
      <c r="G38" s="9" t="s">
        <v>132</v>
      </c>
      <c r="H38" s="27">
        <v>0</v>
      </c>
      <c r="I38" s="27">
        <f t="shared" si="0"/>
        <v>0</v>
      </c>
      <c r="J38" s="27">
        <f t="shared" si="1"/>
        <v>0</v>
      </c>
      <c r="K38" s="27">
        <f t="shared" si="2"/>
        <v>0</v>
      </c>
      <c r="L38" s="27">
        <f t="shared" si="3"/>
        <v>0</v>
      </c>
      <c r="M38" s="27">
        <f t="shared" si="4"/>
        <v>0</v>
      </c>
      <c r="N38" s="27">
        <f t="shared" si="5"/>
        <v>0</v>
      </c>
      <c r="O38" s="27">
        <f t="shared" si="6"/>
        <v>0</v>
      </c>
      <c r="P38" s="27">
        <f t="shared" si="7"/>
        <v>0</v>
      </c>
      <c r="Q38" s="27">
        <f t="shared" si="8"/>
        <v>0</v>
      </c>
      <c r="R38" s="27">
        <f t="shared" si="9"/>
        <v>0</v>
      </c>
    </row>
    <row r="39" spans="4:18" x14ac:dyDescent="0.25">
      <c r="D39" s="9" t="s">
        <v>352</v>
      </c>
      <c r="E39" s="9" t="s">
        <v>300</v>
      </c>
      <c r="F39" s="9" t="s">
        <v>18</v>
      </c>
      <c r="G39" s="9" t="s">
        <v>132</v>
      </c>
      <c r="H39" s="27">
        <v>1</v>
      </c>
      <c r="I39" s="27">
        <f t="shared" si="0"/>
        <v>1</v>
      </c>
      <c r="J39" s="27">
        <f t="shared" si="1"/>
        <v>1</v>
      </c>
      <c r="K39" s="27">
        <f t="shared" si="2"/>
        <v>1</v>
      </c>
      <c r="L39" s="27">
        <f t="shared" si="3"/>
        <v>1</v>
      </c>
      <c r="M39" s="27">
        <f t="shared" si="4"/>
        <v>1</v>
      </c>
      <c r="N39" s="27">
        <f t="shared" si="5"/>
        <v>1</v>
      </c>
      <c r="O39" s="27">
        <f t="shared" si="6"/>
        <v>1</v>
      </c>
      <c r="P39" s="27">
        <f t="shared" si="7"/>
        <v>1</v>
      </c>
      <c r="Q39" s="27">
        <f t="shared" si="8"/>
        <v>1</v>
      </c>
      <c r="R39" s="27">
        <f t="shared" si="9"/>
        <v>1</v>
      </c>
    </row>
    <row r="40" spans="4:18" x14ac:dyDescent="0.25">
      <c r="D40" s="9" t="s">
        <v>352</v>
      </c>
      <c r="E40" s="9" t="s">
        <v>300</v>
      </c>
      <c r="F40" s="9" t="s">
        <v>301</v>
      </c>
      <c r="G40" s="9" t="s">
        <v>132</v>
      </c>
      <c r="H40" s="27">
        <v>0</v>
      </c>
      <c r="I40" s="27">
        <f t="shared" ref="I40:R40" si="10">IF(H40="","",H40)</f>
        <v>0</v>
      </c>
      <c r="J40" s="27">
        <f t="shared" si="10"/>
        <v>0</v>
      </c>
      <c r="K40" s="27">
        <f t="shared" si="10"/>
        <v>0</v>
      </c>
      <c r="L40" s="27">
        <f t="shared" si="10"/>
        <v>0</v>
      </c>
      <c r="M40" s="27">
        <f t="shared" si="10"/>
        <v>0</v>
      </c>
      <c r="N40" s="27">
        <f t="shared" si="10"/>
        <v>0</v>
      </c>
      <c r="O40" s="27">
        <f t="shared" si="10"/>
        <v>0</v>
      </c>
      <c r="P40" s="27">
        <f t="shared" si="10"/>
        <v>0</v>
      </c>
      <c r="Q40" s="27">
        <f t="shared" si="10"/>
        <v>0</v>
      </c>
      <c r="R40" s="27">
        <f t="shared" si="10"/>
        <v>0</v>
      </c>
    </row>
    <row r="41" spans="4:18" x14ac:dyDescent="0.25">
      <c r="D41" s="9"/>
      <c r="E41" s="9"/>
      <c r="F41" s="9"/>
      <c r="G41" s="9"/>
      <c r="H41" s="27"/>
      <c r="I41" s="27" t="str">
        <f t="shared" ref="I41:R50" si="11">IF(H41="","",H41)</f>
        <v/>
      </c>
      <c r="J41" s="27" t="str">
        <f t="shared" si="11"/>
        <v/>
      </c>
      <c r="K41" s="27" t="str">
        <f t="shared" si="11"/>
        <v/>
      </c>
      <c r="L41" s="27" t="str">
        <f t="shared" si="11"/>
        <v/>
      </c>
      <c r="M41" s="27" t="str">
        <f t="shared" si="11"/>
        <v/>
      </c>
      <c r="N41" s="27" t="str">
        <f t="shared" si="11"/>
        <v/>
      </c>
      <c r="O41" s="27" t="str">
        <f t="shared" si="11"/>
        <v/>
      </c>
      <c r="P41" s="27" t="str">
        <f t="shared" si="11"/>
        <v/>
      </c>
      <c r="Q41" s="27" t="str">
        <f t="shared" si="11"/>
        <v/>
      </c>
      <c r="R41" s="27" t="str">
        <f t="shared" si="11"/>
        <v/>
      </c>
    </row>
    <row r="42" spans="4:18" x14ac:dyDescent="0.25">
      <c r="D42" s="9"/>
      <c r="E42" s="9"/>
      <c r="F42" s="9"/>
      <c r="G42" s="9"/>
      <c r="H42" s="27"/>
      <c r="I42" s="27" t="str">
        <f t="shared" si="11"/>
        <v/>
      </c>
      <c r="J42" s="27" t="str">
        <f t="shared" si="11"/>
        <v/>
      </c>
      <c r="K42" s="27" t="str">
        <f t="shared" si="11"/>
        <v/>
      </c>
      <c r="L42" s="27" t="str">
        <f t="shared" si="11"/>
        <v/>
      </c>
      <c r="M42" s="27" t="str">
        <f t="shared" si="11"/>
        <v/>
      </c>
      <c r="N42" s="27" t="str">
        <f t="shared" si="11"/>
        <v/>
      </c>
      <c r="O42" s="27" t="str">
        <f t="shared" si="11"/>
        <v/>
      </c>
      <c r="P42" s="27" t="str">
        <f t="shared" si="11"/>
        <v/>
      </c>
      <c r="Q42" s="27" t="str">
        <f t="shared" si="11"/>
        <v/>
      </c>
      <c r="R42" s="27" t="str">
        <f t="shared" si="11"/>
        <v/>
      </c>
    </row>
    <row r="43" spans="4:18" x14ac:dyDescent="0.25">
      <c r="D43" s="9"/>
      <c r="E43" s="9"/>
      <c r="F43" s="9"/>
      <c r="G43" s="9"/>
      <c r="H43" s="27"/>
      <c r="I43" s="27" t="str">
        <f t="shared" si="11"/>
        <v/>
      </c>
      <c r="J43" s="27" t="str">
        <f t="shared" si="11"/>
        <v/>
      </c>
      <c r="K43" s="27" t="str">
        <f t="shared" si="11"/>
        <v/>
      </c>
      <c r="L43" s="27" t="str">
        <f t="shared" si="11"/>
        <v/>
      </c>
      <c r="M43" s="27" t="str">
        <f t="shared" si="11"/>
        <v/>
      </c>
      <c r="N43" s="27" t="str">
        <f t="shared" si="11"/>
        <v/>
      </c>
      <c r="O43" s="27" t="str">
        <f t="shared" si="11"/>
        <v/>
      </c>
      <c r="P43" s="27" t="str">
        <f t="shared" si="11"/>
        <v/>
      </c>
      <c r="Q43" s="27" t="str">
        <f t="shared" si="11"/>
        <v/>
      </c>
      <c r="R43" s="27" t="str">
        <f t="shared" si="11"/>
        <v/>
      </c>
    </row>
    <row r="44" spans="4:18" x14ac:dyDescent="0.25">
      <c r="D44" s="9"/>
      <c r="E44" s="9"/>
      <c r="F44" s="9"/>
      <c r="G44" s="9"/>
      <c r="H44" s="27"/>
      <c r="I44" s="27" t="str">
        <f t="shared" si="11"/>
        <v/>
      </c>
      <c r="J44" s="27" t="str">
        <f t="shared" si="11"/>
        <v/>
      </c>
      <c r="K44" s="27" t="str">
        <f t="shared" si="11"/>
        <v/>
      </c>
      <c r="L44" s="27" t="str">
        <f t="shared" si="11"/>
        <v/>
      </c>
      <c r="M44" s="27" t="str">
        <f t="shared" si="11"/>
        <v/>
      </c>
      <c r="N44" s="27" t="str">
        <f t="shared" si="11"/>
        <v/>
      </c>
      <c r="O44" s="27" t="str">
        <f t="shared" si="11"/>
        <v/>
      </c>
      <c r="P44" s="27" t="str">
        <f t="shared" si="11"/>
        <v/>
      </c>
      <c r="Q44" s="27" t="str">
        <f t="shared" si="11"/>
        <v/>
      </c>
      <c r="R44" s="27" t="str">
        <f t="shared" si="11"/>
        <v/>
      </c>
    </row>
    <row r="45" spans="4:18" x14ac:dyDescent="0.25">
      <c r="D45" s="9"/>
      <c r="E45" s="9"/>
      <c r="F45" s="9"/>
      <c r="G45" s="9"/>
      <c r="H45" s="27"/>
      <c r="I45" s="27" t="str">
        <f t="shared" si="11"/>
        <v/>
      </c>
      <c r="J45" s="27" t="str">
        <f t="shared" si="11"/>
        <v/>
      </c>
      <c r="K45" s="27" t="str">
        <f t="shared" si="11"/>
        <v/>
      </c>
      <c r="L45" s="27" t="str">
        <f t="shared" si="11"/>
        <v/>
      </c>
      <c r="M45" s="27" t="str">
        <f t="shared" si="11"/>
        <v/>
      </c>
      <c r="N45" s="27" t="str">
        <f t="shared" si="11"/>
        <v/>
      </c>
      <c r="O45" s="27" t="str">
        <f t="shared" si="11"/>
        <v/>
      </c>
      <c r="P45" s="27" t="str">
        <f t="shared" si="11"/>
        <v/>
      </c>
      <c r="Q45" s="27" t="str">
        <f t="shared" si="11"/>
        <v/>
      </c>
      <c r="R45" s="27" t="str">
        <f t="shared" si="11"/>
        <v/>
      </c>
    </row>
    <row r="46" spans="4:18" x14ac:dyDescent="0.25">
      <c r="D46" s="9"/>
      <c r="E46" s="9"/>
      <c r="F46" s="9"/>
      <c r="G46" s="9"/>
      <c r="H46" s="27"/>
      <c r="I46" s="27" t="str">
        <f t="shared" si="11"/>
        <v/>
      </c>
      <c r="J46" s="27" t="str">
        <f t="shared" si="11"/>
        <v/>
      </c>
      <c r="K46" s="27" t="str">
        <f t="shared" si="11"/>
        <v/>
      </c>
      <c r="L46" s="27" t="str">
        <f t="shared" si="11"/>
        <v/>
      </c>
      <c r="M46" s="27" t="str">
        <f t="shared" si="11"/>
        <v/>
      </c>
      <c r="N46" s="27" t="str">
        <f t="shared" si="11"/>
        <v/>
      </c>
      <c r="O46" s="27" t="str">
        <f t="shared" si="11"/>
        <v/>
      </c>
      <c r="P46" s="27" t="str">
        <f t="shared" si="11"/>
        <v/>
      </c>
      <c r="Q46" s="27" t="str">
        <f t="shared" si="11"/>
        <v/>
      </c>
      <c r="R46" s="27" t="str">
        <f t="shared" si="11"/>
        <v/>
      </c>
    </row>
    <row r="47" spans="4:18" x14ac:dyDescent="0.25">
      <c r="D47" s="9"/>
      <c r="E47" s="9"/>
      <c r="F47" s="9"/>
      <c r="G47" s="9"/>
      <c r="H47" s="27"/>
      <c r="I47" s="27" t="str">
        <f t="shared" si="11"/>
        <v/>
      </c>
      <c r="J47" s="27" t="str">
        <f t="shared" si="11"/>
        <v/>
      </c>
      <c r="K47" s="27" t="str">
        <f t="shared" si="11"/>
        <v/>
      </c>
      <c r="L47" s="27" t="str">
        <f t="shared" si="11"/>
        <v/>
      </c>
      <c r="M47" s="27" t="str">
        <f t="shared" si="11"/>
        <v/>
      </c>
      <c r="N47" s="27" t="str">
        <f t="shared" si="11"/>
        <v/>
      </c>
      <c r="O47" s="27" t="str">
        <f t="shared" si="11"/>
        <v/>
      </c>
      <c r="P47" s="27" t="str">
        <f t="shared" si="11"/>
        <v/>
      </c>
      <c r="Q47" s="27" t="str">
        <f t="shared" si="11"/>
        <v/>
      </c>
      <c r="R47" s="27" t="str">
        <f t="shared" si="11"/>
        <v/>
      </c>
    </row>
    <row r="48" spans="4:18" x14ac:dyDescent="0.25">
      <c r="D48" s="9"/>
      <c r="E48" s="9"/>
      <c r="F48" s="9"/>
      <c r="G48" s="9"/>
      <c r="H48" s="27"/>
      <c r="I48" s="27" t="str">
        <f t="shared" si="11"/>
        <v/>
      </c>
      <c r="J48" s="27" t="str">
        <f t="shared" si="11"/>
        <v/>
      </c>
      <c r="K48" s="27" t="str">
        <f t="shared" si="11"/>
        <v/>
      </c>
      <c r="L48" s="27" t="str">
        <f t="shared" si="11"/>
        <v/>
      </c>
      <c r="M48" s="27" t="str">
        <f t="shared" si="11"/>
        <v/>
      </c>
      <c r="N48" s="27" t="str">
        <f t="shared" si="11"/>
        <v/>
      </c>
      <c r="O48" s="27" t="str">
        <f t="shared" si="11"/>
        <v/>
      </c>
      <c r="P48" s="27" t="str">
        <f t="shared" si="11"/>
        <v/>
      </c>
      <c r="Q48" s="27" t="str">
        <f t="shared" si="11"/>
        <v/>
      </c>
      <c r="R48" s="27" t="str">
        <f t="shared" si="11"/>
        <v/>
      </c>
    </row>
    <row r="49" spans="4:18" x14ac:dyDescent="0.25">
      <c r="D49" s="9"/>
      <c r="E49" s="9"/>
      <c r="F49" s="9"/>
      <c r="G49" s="9"/>
      <c r="H49" s="27"/>
      <c r="I49" s="27" t="str">
        <f t="shared" si="11"/>
        <v/>
      </c>
      <c r="J49" s="27" t="str">
        <f t="shared" si="11"/>
        <v/>
      </c>
      <c r="K49" s="27" t="str">
        <f t="shared" si="11"/>
        <v/>
      </c>
      <c r="L49" s="27" t="str">
        <f t="shared" si="11"/>
        <v/>
      </c>
      <c r="M49" s="27" t="str">
        <f t="shared" si="11"/>
        <v/>
      </c>
      <c r="N49" s="27" t="str">
        <f t="shared" si="11"/>
        <v/>
      </c>
      <c r="O49" s="27" t="str">
        <f t="shared" si="11"/>
        <v/>
      </c>
      <c r="P49" s="27" t="str">
        <f t="shared" si="11"/>
        <v/>
      </c>
      <c r="Q49" s="27" t="str">
        <f t="shared" si="11"/>
        <v/>
      </c>
      <c r="R49" s="27" t="str">
        <f t="shared" si="11"/>
        <v/>
      </c>
    </row>
    <row r="50" spans="4:18" ht="15.75" thickBot="1" x14ac:dyDescent="0.3">
      <c r="D50" s="10"/>
      <c r="E50" s="10"/>
      <c r="F50" s="10"/>
      <c r="G50" s="10"/>
      <c r="H50" s="41"/>
      <c r="I50" s="41" t="str">
        <f t="shared" si="11"/>
        <v/>
      </c>
      <c r="J50" s="41" t="str">
        <f t="shared" si="11"/>
        <v/>
      </c>
      <c r="K50" s="41" t="str">
        <f t="shared" si="11"/>
        <v/>
      </c>
      <c r="L50" s="41" t="str">
        <f t="shared" si="11"/>
        <v/>
      </c>
      <c r="M50" s="41" t="str">
        <f t="shared" si="11"/>
        <v/>
      </c>
      <c r="N50" s="41" t="str">
        <f t="shared" si="11"/>
        <v/>
      </c>
      <c r="O50" s="41" t="str">
        <f t="shared" si="11"/>
        <v/>
      </c>
      <c r="P50" s="41" t="str">
        <f t="shared" si="11"/>
        <v/>
      </c>
      <c r="Q50" s="41" t="str">
        <f t="shared" si="11"/>
        <v/>
      </c>
      <c r="R50" s="41" t="str">
        <f t="shared" si="11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F13" sqref="F13"/>
    </sheetView>
  </sheetViews>
  <sheetFormatPr baseColWidth="10" defaultColWidth="11.5703125" defaultRowHeight="15" outlineLevelCol="1" x14ac:dyDescent="0.25"/>
  <cols>
    <col min="1" max="3" width="3.85546875" style="5" customWidth="1"/>
    <col min="4" max="8" width="15.85546875" style="5" customWidth="1"/>
    <col min="9" max="9" width="8.85546875" style="5" customWidth="1"/>
    <col min="10" max="19" width="8.85546875" style="5" customWidth="1" outlineLevel="1"/>
    <col min="20" max="16384" width="11.5703125" style="5"/>
  </cols>
  <sheetData>
    <row r="1" spans="2:19" s="3" customFormat="1" ht="24.95" customHeight="1" x14ac:dyDescent="0.25">
      <c r="B1" s="2" t="s">
        <v>134</v>
      </c>
    </row>
    <row r="3" spans="2:19" ht="15.75" thickBot="1" x14ac:dyDescent="0.3">
      <c r="D3" s="38" t="str">
        <f>JESA_UploadTable(B1,D4:S50,db)</f>
        <v>MINING opex &amp; specific consumptions @16:45:56</v>
      </c>
    </row>
    <row r="4" spans="2:19" ht="30" customHeight="1" thickBot="1" x14ac:dyDescent="0.3">
      <c r="D4" s="6" t="s">
        <v>30</v>
      </c>
      <c r="E4" s="6" t="s">
        <v>49</v>
      </c>
      <c r="F4" s="4" t="s">
        <v>266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25">
      <c r="D5" s="9" t="s">
        <v>3</v>
      </c>
      <c r="E5" s="9" t="s">
        <v>300</v>
      </c>
      <c r="F5" s="11">
        <v>4</v>
      </c>
      <c r="G5" s="9" t="s">
        <v>22</v>
      </c>
      <c r="H5" s="11" t="s">
        <v>133</v>
      </c>
      <c r="I5" s="17">
        <f>72/9.5</f>
        <v>7.5789473684210522</v>
      </c>
      <c r="J5" s="17">
        <f>I5</f>
        <v>7.5789473684210522</v>
      </c>
      <c r="K5" s="17">
        <f t="shared" ref="K5:S5" si="0">J5</f>
        <v>7.5789473684210522</v>
      </c>
      <c r="L5" s="17">
        <f t="shared" si="0"/>
        <v>7.5789473684210522</v>
      </c>
      <c r="M5" s="17">
        <f t="shared" si="0"/>
        <v>7.5789473684210522</v>
      </c>
      <c r="N5" s="17">
        <f t="shared" si="0"/>
        <v>7.5789473684210522</v>
      </c>
      <c r="O5" s="17">
        <f t="shared" si="0"/>
        <v>7.5789473684210522</v>
      </c>
      <c r="P5" s="17">
        <f t="shared" si="0"/>
        <v>7.5789473684210522</v>
      </c>
      <c r="Q5" s="17">
        <f t="shared" si="0"/>
        <v>7.5789473684210522</v>
      </c>
      <c r="R5" s="17">
        <f t="shared" si="0"/>
        <v>7.5789473684210522</v>
      </c>
      <c r="S5" s="17">
        <f t="shared" si="0"/>
        <v>7.5789473684210522</v>
      </c>
    </row>
    <row r="6" spans="2:19" x14ac:dyDescent="0.25">
      <c r="D6" s="9" t="s">
        <v>348</v>
      </c>
      <c r="E6" s="9" t="s">
        <v>300</v>
      </c>
      <c r="F6" s="11">
        <v>2.77</v>
      </c>
      <c r="G6" s="9" t="s">
        <v>22</v>
      </c>
      <c r="H6" s="11" t="s">
        <v>133</v>
      </c>
      <c r="I6" s="18">
        <f>109/7.5</f>
        <v>14.533333333333333</v>
      </c>
      <c r="J6" s="18">
        <f>I6</f>
        <v>14.533333333333333</v>
      </c>
      <c r="K6" s="18">
        <f t="shared" ref="K6:S6" si="1">J6</f>
        <v>14.533333333333333</v>
      </c>
      <c r="L6" s="18">
        <f t="shared" si="1"/>
        <v>14.533333333333333</v>
      </c>
      <c r="M6" s="18">
        <f t="shared" si="1"/>
        <v>14.533333333333333</v>
      </c>
      <c r="N6" s="18">
        <f t="shared" si="1"/>
        <v>14.533333333333333</v>
      </c>
      <c r="O6" s="18">
        <f t="shared" si="1"/>
        <v>14.533333333333333</v>
      </c>
      <c r="P6" s="18">
        <f t="shared" si="1"/>
        <v>14.533333333333333</v>
      </c>
      <c r="Q6" s="18">
        <f t="shared" si="1"/>
        <v>14.533333333333333</v>
      </c>
      <c r="R6" s="18">
        <f t="shared" si="1"/>
        <v>14.533333333333333</v>
      </c>
      <c r="S6" s="18">
        <f t="shared" si="1"/>
        <v>14.533333333333333</v>
      </c>
    </row>
    <row r="7" spans="2:19" x14ac:dyDescent="0.25">
      <c r="D7" s="148" t="s">
        <v>348</v>
      </c>
      <c r="E7" s="9" t="s">
        <v>300</v>
      </c>
      <c r="F7" s="147">
        <v>9</v>
      </c>
      <c r="G7" s="9" t="s">
        <v>22</v>
      </c>
      <c r="H7" s="11" t="s">
        <v>133</v>
      </c>
      <c r="I7" s="18">
        <f>99/9.5</f>
        <v>10.421052631578947</v>
      </c>
      <c r="J7" s="18">
        <f t="shared" ref="J7:S7" si="2">I7</f>
        <v>10.421052631578947</v>
      </c>
      <c r="K7" s="18">
        <f t="shared" si="2"/>
        <v>10.421052631578947</v>
      </c>
      <c r="L7" s="18">
        <f t="shared" si="2"/>
        <v>10.421052631578947</v>
      </c>
      <c r="M7" s="18">
        <f t="shared" si="2"/>
        <v>10.421052631578947</v>
      </c>
      <c r="N7" s="18">
        <f t="shared" si="2"/>
        <v>10.421052631578947</v>
      </c>
      <c r="O7" s="18">
        <f t="shared" si="2"/>
        <v>10.421052631578947</v>
      </c>
      <c r="P7" s="18">
        <f t="shared" si="2"/>
        <v>10.421052631578947</v>
      </c>
      <c r="Q7" s="18">
        <f t="shared" si="2"/>
        <v>10.421052631578947</v>
      </c>
      <c r="R7" s="18">
        <f t="shared" si="2"/>
        <v>10.421052631578947</v>
      </c>
      <c r="S7" s="18">
        <f t="shared" si="2"/>
        <v>10.421052631578947</v>
      </c>
    </row>
    <row r="8" spans="2:19" x14ac:dyDescent="0.25">
      <c r="D8" s="9" t="s">
        <v>6</v>
      </c>
      <c r="E8" s="9" t="s">
        <v>300</v>
      </c>
      <c r="F8" s="11">
        <v>4.5</v>
      </c>
      <c r="G8" s="9" t="s">
        <v>22</v>
      </c>
      <c r="H8" s="11" t="s">
        <v>133</v>
      </c>
      <c r="I8" s="18">
        <f>106.5/9.5</f>
        <v>11.210526315789474</v>
      </c>
      <c r="J8" s="18">
        <f t="shared" ref="J8:S8" si="3">I8</f>
        <v>11.210526315789474</v>
      </c>
      <c r="K8" s="18">
        <f t="shared" si="3"/>
        <v>11.210526315789474</v>
      </c>
      <c r="L8" s="18">
        <f t="shared" si="3"/>
        <v>11.210526315789474</v>
      </c>
      <c r="M8" s="18">
        <f t="shared" si="3"/>
        <v>11.210526315789474</v>
      </c>
      <c r="N8" s="18">
        <f t="shared" si="3"/>
        <v>11.210526315789474</v>
      </c>
      <c r="O8" s="18">
        <f t="shared" si="3"/>
        <v>11.210526315789474</v>
      </c>
      <c r="P8" s="18">
        <f t="shared" si="3"/>
        <v>11.210526315789474</v>
      </c>
      <c r="Q8" s="18">
        <f t="shared" si="3"/>
        <v>11.210526315789474</v>
      </c>
      <c r="R8" s="18">
        <f t="shared" si="3"/>
        <v>11.210526315789474</v>
      </c>
      <c r="S8" s="18">
        <f t="shared" si="3"/>
        <v>11.210526315789474</v>
      </c>
    </row>
    <row r="9" spans="2:19" x14ac:dyDescent="0.25">
      <c r="D9" s="9" t="s">
        <v>10</v>
      </c>
      <c r="E9" s="9" t="s">
        <v>300</v>
      </c>
      <c r="F9" s="11">
        <v>5.5</v>
      </c>
      <c r="G9" s="9" t="s">
        <v>22</v>
      </c>
      <c r="H9" s="11" t="s">
        <v>133</v>
      </c>
      <c r="I9" s="18">
        <f>103/9.5</f>
        <v>10.842105263157896</v>
      </c>
      <c r="J9" s="18">
        <f t="shared" ref="J9:S9" si="4">I9</f>
        <v>10.842105263157896</v>
      </c>
      <c r="K9" s="18">
        <f t="shared" si="4"/>
        <v>10.842105263157896</v>
      </c>
      <c r="L9" s="18">
        <f t="shared" si="4"/>
        <v>10.842105263157896</v>
      </c>
      <c r="M9" s="18">
        <f t="shared" si="4"/>
        <v>10.842105263157896</v>
      </c>
      <c r="N9" s="18">
        <f t="shared" si="4"/>
        <v>10.842105263157896</v>
      </c>
      <c r="O9" s="18">
        <f t="shared" si="4"/>
        <v>10.842105263157896</v>
      </c>
      <c r="P9" s="18">
        <f t="shared" si="4"/>
        <v>10.842105263157896</v>
      </c>
      <c r="Q9" s="18">
        <f t="shared" si="4"/>
        <v>10.842105263157896</v>
      </c>
      <c r="R9" s="18">
        <f t="shared" si="4"/>
        <v>10.842105263157896</v>
      </c>
      <c r="S9" s="18">
        <f t="shared" si="4"/>
        <v>10.842105263157896</v>
      </c>
    </row>
    <row r="10" spans="2:19" x14ac:dyDescent="0.25">
      <c r="D10" s="9" t="s">
        <v>350</v>
      </c>
      <c r="E10" s="9" t="s">
        <v>300</v>
      </c>
      <c r="F10" s="11">
        <v>5</v>
      </c>
      <c r="G10" s="9" t="s">
        <v>22</v>
      </c>
      <c r="H10" s="11" t="s">
        <v>133</v>
      </c>
      <c r="I10" s="18">
        <f>82/9.5</f>
        <v>8.6315789473684212</v>
      </c>
      <c r="J10" s="18">
        <f t="shared" ref="J10:S10" si="5">I10</f>
        <v>8.6315789473684212</v>
      </c>
      <c r="K10" s="18">
        <f t="shared" si="5"/>
        <v>8.6315789473684212</v>
      </c>
      <c r="L10" s="18">
        <f t="shared" si="5"/>
        <v>8.6315789473684212</v>
      </c>
      <c r="M10" s="18">
        <f t="shared" si="5"/>
        <v>8.6315789473684212</v>
      </c>
      <c r="N10" s="18">
        <f t="shared" si="5"/>
        <v>8.6315789473684212</v>
      </c>
      <c r="O10" s="18">
        <f t="shared" si="5"/>
        <v>8.6315789473684212</v>
      </c>
      <c r="P10" s="18">
        <f t="shared" si="5"/>
        <v>8.6315789473684212</v>
      </c>
      <c r="Q10" s="18">
        <f t="shared" si="5"/>
        <v>8.6315789473684212</v>
      </c>
      <c r="R10" s="18">
        <f t="shared" si="5"/>
        <v>8.6315789473684212</v>
      </c>
      <c r="S10" s="18">
        <f t="shared" si="5"/>
        <v>8.6315789473684212</v>
      </c>
    </row>
    <row r="11" spans="2:19" x14ac:dyDescent="0.25">
      <c r="D11" s="148" t="s">
        <v>350</v>
      </c>
      <c r="E11" s="9" t="s">
        <v>300</v>
      </c>
      <c r="F11" s="147">
        <v>15</v>
      </c>
      <c r="G11" s="9" t="s">
        <v>22</v>
      </c>
      <c r="H11" s="11" t="s">
        <v>133</v>
      </c>
      <c r="I11" s="18">
        <f>66/9.5</f>
        <v>6.9473684210526319</v>
      </c>
      <c r="J11" s="18">
        <f t="shared" ref="J11:S11" si="6">I11</f>
        <v>6.9473684210526319</v>
      </c>
      <c r="K11" s="18">
        <f t="shared" si="6"/>
        <v>6.9473684210526319</v>
      </c>
      <c r="L11" s="18">
        <f t="shared" si="6"/>
        <v>6.9473684210526319</v>
      </c>
      <c r="M11" s="18">
        <f t="shared" si="6"/>
        <v>6.9473684210526319</v>
      </c>
      <c r="N11" s="18">
        <f t="shared" si="6"/>
        <v>6.9473684210526319</v>
      </c>
      <c r="O11" s="18">
        <f t="shared" si="6"/>
        <v>6.9473684210526319</v>
      </c>
      <c r="P11" s="18">
        <f t="shared" si="6"/>
        <v>6.9473684210526319</v>
      </c>
      <c r="Q11" s="18">
        <f t="shared" si="6"/>
        <v>6.9473684210526319</v>
      </c>
      <c r="R11" s="18">
        <f t="shared" si="6"/>
        <v>6.9473684210526319</v>
      </c>
      <c r="S11" s="18">
        <f t="shared" si="6"/>
        <v>6.9473684210526319</v>
      </c>
    </row>
    <row r="12" spans="2:19" x14ac:dyDescent="0.25">
      <c r="D12" s="9"/>
      <c r="E12" s="9"/>
      <c r="F12" s="40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25">
      <c r="D13" s="9"/>
      <c r="E13" s="9"/>
      <c r="F13" s="40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25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25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25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25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25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25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25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25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25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25">
      <c r="D23" s="9"/>
      <c r="E23" s="9"/>
      <c r="F23" s="40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25">
      <c r="D24" s="9"/>
      <c r="E24" s="9"/>
      <c r="F24" s="40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25">
      <c r="D25" s="9"/>
      <c r="E25" s="9"/>
      <c r="F25" s="40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25">
      <c r="D26" s="9"/>
      <c r="E26" s="9"/>
      <c r="F26" s="40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25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25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25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25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25">
      <c r="D31" s="9"/>
      <c r="E31" s="9"/>
      <c r="F31" s="11"/>
      <c r="G31" s="9"/>
      <c r="H31" s="11"/>
      <c r="I31" s="18"/>
      <c r="J31" s="18" t="str">
        <f t="shared" ref="J31:S31" si="7">IF(I31="","",I31)</f>
        <v/>
      </c>
      <c r="K31" s="18" t="str">
        <f t="shared" si="7"/>
        <v/>
      </c>
      <c r="L31" s="18" t="str">
        <f t="shared" si="7"/>
        <v/>
      </c>
      <c r="M31" s="18" t="str">
        <f t="shared" si="7"/>
        <v/>
      </c>
      <c r="N31" s="18" t="str">
        <f t="shared" si="7"/>
        <v/>
      </c>
      <c r="O31" s="18" t="str">
        <f t="shared" si="7"/>
        <v/>
      </c>
      <c r="P31" s="18" t="str">
        <f t="shared" si="7"/>
        <v/>
      </c>
      <c r="Q31" s="18" t="str">
        <f t="shared" si="7"/>
        <v/>
      </c>
      <c r="R31" s="18" t="str">
        <f t="shared" si="7"/>
        <v/>
      </c>
      <c r="S31" s="18" t="str">
        <f t="shared" si="7"/>
        <v/>
      </c>
    </row>
    <row r="32" spans="4:19" ht="15.75" thickBot="1" x14ac:dyDescent="0.3">
      <c r="D32" s="9"/>
      <c r="E32" s="9"/>
      <c r="F32" s="11"/>
      <c r="G32" s="9"/>
      <c r="H32" s="11"/>
      <c r="I32" s="18"/>
      <c r="J32" s="18" t="str">
        <f t="shared" ref="J32:S32" si="8">IF(I32="","",I32)</f>
        <v/>
      </c>
      <c r="K32" s="18" t="str">
        <f t="shared" si="8"/>
        <v/>
      </c>
      <c r="L32" s="18" t="str">
        <f t="shared" si="8"/>
        <v/>
      </c>
      <c r="M32" s="18" t="str">
        <f t="shared" si="8"/>
        <v/>
      </c>
      <c r="N32" s="18" t="str">
        <f t="shared" si="8"/>
        <v/>
      </c>
      <c r="O32" s="18" t="str">
        <f t="shared" si="8"/>
        <v/>
      </c>
      <c r="P32" s="18" t="str">
        <f t="shared" si="8"/>
        <v/>
      </c>
      <c r="Q32" s="18" t="str">
        <f t="shared" si="8"/>
        <v/>
      </c>
      <c r="R32" s="18" t="str">
        <f t="shared" si="8"/>
        <v/>
      </c>
      <c r="S32" s="18" t="str">
        <f t="shared" si="8"/>
        <v/>
      </c>
    </row>
    <row r="33" spans="4:19" x14ac:dyDescent="0.25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25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9"/>
      <c r="F39" s="11"/>
      <c r="G39" s="9"/>
      <c r="H39" s="11"/>
      <c r="I39" s="18"/>
      <c r="J39" s="18" t="str">
        <f t="shared" ref="J39:S39" si="9">IF(I39="","",I39)</f>
        <v/>
      </c>
      <c r="K39" s="18" t="str">
        <f t="shared" si="9"/>
        <v/>
      </c>
      <c r="L39" s="18" t="str">
        <f t="shared" si="9"/>
        <v/>
      </c>
      <c r="M39" s="18" t="str">
        <f t="shared" si="9"/>
        <v/>
      </c>
      <c r="N39" s="18" t="str">
        <f t="shared" si="9"/>
        <v/>
      </c>
      <c r="O39" s="18" t="str">
        <f t="shared" si="9"/>
        <v/>
      </c>
      <c r="P39" s="18" t="str">
        <f t="shared" si="9"/>
        <v/>
      </c>
      <c r="Q39" s="18" t="str">
        <f t="shared" si="9"/>
        <v/>
      </c>
      <c r="R39" s="18" t="str">
        <f t="shared" si="9"/>
        <v/>
      </c>
      <c r="S39" s="18" t="str">
        <f t="shared" si="9"/>
        <v/>
      </c>
    </row>
    <row r="40" spans="4:19" x14ac:dyDescent="0.25">
      <c r="D40" s="9"/>
      <c r="E40" s="9"/>
      <c r="F40" s="11"/>
      <c r="G40" s="9"/>
      <c r="H40" s="11"/>
      <c r="I40" s="18"/>
      <c r="J40" s="18" t="str">
        <f t="shared" ref="J40:S40" si="10">IF(I40="","",I40)</f>
        <v/>
      </c>
      <c r="K40" s="18" t="str">
        <f t="shared" si="10"/>
        <v/>
      </c>
      <c r="L40" s="18" t="str">
        <f t="shared" si="10"/>
        <v/>
      </c>
      <c r="M40" s="18" t="str">
        <f t="shared" si="10"/>
        <v/>
      </c>
      <c r="N40" s="18" t="str">
        <f t="shared" si="10"/>
        <v/>
      </c>
      <c r="O40" s="18" t="str">
        <f t="shared" si="10"/>
        <v/>
      </c>
      <c r="P40" s="18" t="str">
        <f t="shared" si="10"/>
        <v/>
      </c>
      <c r="Q40" s="18" t="str">
        <f t="shared" si="10"/>
        <v/>
      </c>
      <c r="R40" s="18" t="str">
        <f t="shared" si="10"/>
        <v/>
      </c>
      <c r="S40" s="18" t="str">
        <f t="shared" si="10"/>
        <v/>
      </c>
    </row>
    <row r="41" spans="4:19" x14ac:dyDescent="0.25">
      <c r="D41" s="9"/>
      <c r="E41" s="9"/>
      <c r="F41" s="11"/>
      <c r="G41" s="9"/>
      <c r="H41" s="11"/>
      <c r="I41" s="18"/>
      <c r="J41" s="18" t="str">
        <f t="shared" ref="J41:S41" si="11">IF(I41="","",I41)</f>
        <v/>
      </c>
      <c r="K41" s="18" t="str">
        <f t="shared" si="11"/>
        <v/>
      </c>
      <c r="L41" s="18" t="str">
        <f t="shared" si="11"/>
        <v/>
      </c>
      <c r="M41" s="18" t="str">
        <f t="shared" si="11"/>
        <v/>
      </c>
      <c r="N41" s="18" t="str">
        <f t="shared" si="11"/>
        <v/>
      </c>
      <c r="O41" s="18" t="str">
        <f t="shared" si="11"/>
        <v/>
      </c>
      <c r="P41" s="18" t="str">
        <f t="shared" si="11"/>
        <v/>
      </c>
      <c r="Q41" s="18" t="str">
        <f t="shared" si="11"/>
        <v/>
      </c>
      <c r="R41" s="18" t="str">
        <f t="shared" si="11"/>
        <v/>
      </c>
      <c r="S41" s="18" t="str">
        <f t="shared" si="11"/>
        <v/>
      </c>
    </row>
    <row r="42" spans="4:19" x14ac:dyDescent="0.25">
      <c r="D42" s="9"/>
      <c r="E42" s="9"/>
      <c r="F42" s="11"/>
      <c r="G42" s="9"/>
      <c r="H42" s="11"/>
      <c r="I42" s="18"/>
      <c r="J42" s="18" t="str">
        <f t="shared" ref="J42:S42" si="12">IF(I42="","",I42)</f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  <c r="R42" s="18" t="str">
        <f t="shared" si="12"/>
        <v/>
      </c>
      <c r="S42" s="18" t="str">
        <f t="shared" si="12"/>
        <v/>
      </c>
    </row>
    <row r="43" spans="4:19" x14ac:dyDescent="0.25">
      <c r="D43" s="9"/>
      <c r="E43" s="9"/>
      <c r="F43" s="11"/>
      <c r="G43" s="9"/>
      <c r="H43" s="11"/>
      <c r="I43" s="18"/>
      <c r="J43" s="18" t="str">
        <f t="shared" ref="J43:S43" si="13">IF(I43="","",I43)</f>
        <v/>
      </c>
      <c r="K43" s="18" t="str">
        <f t="shared" si="13"/>
        <v/>
      </c>
      <c r="L43" s="18" t="str">
        <f t="shared" si="13"/>
        <v/>
      </c>
      <c r="M43" s="18" t="str">
        <f t="shared" si="13"/>
        <v/>
      </c>
      <c r="N43" s="18" t="str">
        <f t="shared" si="13"/>
        <v/>
      </c>
      <c r="O43" s="18" t="str">
        <f t="shared" si="13"/>
        <v/>
      </c>
      <c r="P43" s="18" t="str">
        <f t="shared" si="13"/>
        <v/>
      </c>
      <c r="Q43" s="18" t="str">
        <f t="shared" si="13"/>
        <v/>
      </c>
      <c r="R43" s="18" t="str">
        <f t="shared" si="13"/>
        <v/>
      </c>
      <c r="S43" s="18" t="str">
        <f t="shared" si="13"/>
        <v/>
      </c>
    </row>
    <row r="44" spans="4:19" x14ac:dyDescent="0.25">
      <c r="D44" s="9"/>
      <c r="E44" s="9"/>
      <c r="F44" s="11"/>
      <c r="G44" s="9"/>
      <c r="H44" s="11"/>
      <c r="I44" s="18"/>
      <c r="J44" s="18" t="str">
        <f t="shared" ref="J44:S44" si="14">IF(I44="","",I44)</f>
        <v/>
      </c>
      <c r="K44" s="18" t="str">
        <f t="shared" si="14"/>
        <v/>
      </c>
      <c r="L44" s="18" t="str">
        <f t="shared" si="14"/>
        <v/>
      </c>
      <c r="M44" s="18" t="str">
        <f t="shared" si="14"/>
        <v/>
      </c>
      <c r="N44" s="18" t="str">
        <f t="shared" si="14"/>
        <v/>
      </c>
      <c r="O44" s="18" t="str">
        <f t="shared" si="14"/>
        <v/>
      </c>
      <c r="P44" s="18" t="str">
        <f t="shared" si="14"/>
        <v/>
      </c>
      <c r="Q44" s="18" t="str">
        <f t="shared" si="14"/>
        <v/>
      </c>
      <c r="R44" s="18" t="str">
        <f t="shared" si="14"/>
        <v/>
      </c>
      <c r="S44" s="18" t="str">
        <f t="shared" si="14"/>
        <v/>
      </c>
    </row>
    <row r="45" spans="4:19" x14ac:dyDescent="0.25">
      <c r="D45" s="9"/>
      <c r="E45" s="9"/>
      <c r="F45" s="11"/>
      <c r="G45" s="9"/>
      <c r="H45" s="11"/>
      <c r="I45" s="18"/>
      <c r="J45" s="18" t="str">
        <f t="shared" ref="J45:S45" si="15">IF(I45="","",I45)</f>
        <v/>
      </c>
      <c r="K45" s="18" t="str">
        <f t="shared" si="15"/>
        <v/>
      </c>
      <c r="L45" s="18" t="str">
        <f t="shared" si="15"/>
        <v/>
      </c>
      <c r="M45" s="18" t="str">
        <f t="shared" si="15"/>
        <v/>
      </c>
      <c r="N45" s="18" t="str">
        <f t="shared" si="15"/>
        <v/>
      </c>
      <c r="O45" s="18" t="str">
        <f t="shared" si="15"/>
        <v/>
      </c>
      <c r="P45" s="18" t="str">
        <f t="shared" si="15"/>
        <v/>
      </c>
      <c r="Q45" s="18" t="str">
        <f t="shared" si="15"/>
        <v/>
      </c>
      <c r="R45" s="18" t="str">
        <f t="shared" si="15"/>
        <v/>
      </c>
      <c r="S45" s="18" t="str">
        <f t="shared" si="15"/>
        <v/>
      </c>
    </row>
    <row r="46" spans="4:19" x14ac:dyDescent="0.25">
      <c r="D46" s="9"/>
      <c r="E46" s="9"/>
      <c r="F46" s="11"/>
      <c r="G46" s="9"/>
      <c r="H46" s="11"/>
      <c r="I46" s="18"/>
      <c r="J46" s="18" t="str">
        <f t="shared" ref="J46:S46" si="16">IF(I46="","",I46)</f>
        <v/>
      </c>
      <c r="K46" s="18" t="str">
        <f t="shared" si="16"/>
        <v/>
      </c>
      <c r="L46" s="18" t="str">
        <f t="shared" si="16"/>
        <v/>
      </c>
      <c r="M46" s="18" t="str">
        <f t="shared" si="16"/>
        <v/>
      </c>
      <c r="N46" s="18" t="str">
        <f t="shared" si="16"/>
        <v/>
      </c>
      <c r="O46" s="18" t="str">
        <f t="shared" si="16"/>
        <v/>
      </c>
      <c r="P46" s="18" t="str">
        <f t="shared" si="16"/>
        <v/>
      </c>
      <c r="Q46" s="18" t="str">
        <f t="shared" si="16"/>
        <v/>
      </c>
      <c r="R46" s="18" t="str">
        <f t="shared" si="16"/>
        <v/>
      </c>
      <c r="S46" s="18" t="str">
        <f t="shared" si="16"/>
        <v/>
      </c>
    </row>
    <row r="47" spans="4:19" x14ac:dyDescent="0.25">
      <c r="D47" s="9"/>
      <c r="E47" s="9"/>
      <c r="F47" s="11"/>
      <c r="G47" s="9"/>
      <c r="H47" s="11"/>
      <c r="I47" s="18"/>
      <c r="J47" s="18" t="str">
        <f t="shared" ref="J47:S47" si="17">IF(I47="","",I47)</f>
        <v/>
      </c>
      <c r="K47" s="18" t="str">
        <f t="shared" si="17"/>
        <v/>
      </c>
      <c r="L47" s="18" t="str">
        <f t="shared" si="17"/>
        <v/>
      </c>
      <c r="M47" s="18" t="str">
        <f t="shared" si="17"/>
        <v/>
      </c>
      <c r="N47" s="18" t="str">
        <f t="shared" si="17"/>
        <v/>
      </c>
      <c r="O47" s="18" t="str">
        <f t="shared" si="17"/>
        <v/>
      </c>
      <c r="P47" s="18" t="str">
        <f t="shared" si="17"/>
        <v/>
      </c>
      <c r="Q47" s="18" t="str">
        <f t="shared" si="17"/>
        <v/>
      </c>
      <c r="R47" s="18" t="str">
        <f t="shared" si="17"/>
        <v/>
      </c>
      <c r="S47" s="18" t="str">
        <f t="shared" si="17"/>
        <v/>
      </c>
    </row>
    <row r="48" spans="4:19" x14ac:dyDescent="0.25">
      <c r="D48" s="9"/>
      <c r="E48" s="9"/>
      <c r="F48" s="11"/>
      <c r="G48" s="9"/>
      <c r="H48" s="11"/>
      <c r="I48" s="18"/>
      <c r="J48" s="18" t="str">
        <f t="shared" ref="J48:S48" si="18">IF(I48="","",I48)</f>
        <v/>
      </c>
      <c r="K48" s="18" t="str">
        <f t="shared" si="18"/>
        <v/>
      </c>
      <c r="L48" s="18" t="str">
        <f t="shared" si="18"/>
        <v/>
      </c>
      <c r="M48" s="18" t="str">
        <f t="shared" si="18"/>
        <v/>
      </c>
      <c r="N48" s="18" t="str">
        <f t="shared" si="18"/>
        <v/>
      </c>
      <c r="O48" s="18" t="str">
        <f t="shared" si="18"/>
        <v/>
      </c>
      <c r="P48" s="18" t="str">
        <f t="shared" si="18"/>
        <v/>
      </c>
      <c r="Q48" s="18" t="str">
        <f t="shared" si="18"/>
        <v/>
      </c>
      <c r="R48" s="18" t="str">
        <f t="shared" si="18"/>
        <v/>
      </c>
      <c r="S48" s="18" t="str">
        <f t="shared" si="18"/>
        <v/>
      </c>
    </row>
    <row r="49" spans="4:19" x14ac:dyDescent="0.25">
      <c r="D49" s="9"/>
      <c r="E49" s="9"/>
      <c r="F49" s="11"/>
      <c r="G49" s="9"/>
      <c r="H49" s="11"/>
      <c r="I49" s="18"/>
      <c r="J49" s="18" t="str">
        <f t="shared" ref="J49:S49" si="19">IF(I49="","",I49)</f>
        <v/>
      </c>
      <c r="K49" s="18" t="str">
        <f t="shared" si="19"/>
        <v/>
      </c>
      <c r="L49" s="18" t="str">
        <f t="shared" si="19"/>
        <v/>
      </c>
      <c r="M49" s="18" t="str">
        <f t="shared" si="19"/>
        <v/>
      </c>
      <c r="N49" s="18" t="str">
        <f t="shared" si="19"/>
        <v/>
      </c>
      <c r="O49" s="18" t="str">
        <f t="shared" si="19"/>
        <v/>
      </c>
      <c r="P49" s="18" t="str">
        <f t="shared" si="19"/>
        <v/>
      </c>
      <c r="Q49" s="18" t="str">
        <f t="shared" si="19"/>
        <v/>
      </c>
      <c r="R49" s="18" t="str">
        <f t="shared" si="19"/>
        <v/>
      </c>
      <c r="S49" s="18" t="str">
        <f t="shared" si="19"/>
        <v/>
      </c>
    </row>
    <row r="50" spans="4:19" ht="15.75" thickBot="1" x14ac:dyDescent="0.3">
      <c r="D50" s="10"/>
      <c r="E50" s="10"/>
      <c r="F50" s="12"/>
      <c r="G50" s="10"/>
      <c r="H50" s="10"/>
      <c r="I50" s="43"/>
      <c r="J50" s="43" t="str">
        <f t="shared" ref="J50:S50" si="20">IF(I50="","",I50)</f>
        <v/>
      </c>
      <c r="K50" s="43" t="str">
        <f t="shared" si="20"/>
        <v/>
      </c>
      <c r="L50" s="43" t="str">
        <f t="shared" si="20"/>
        <v/>
      </c>
      <c r="M50" s="43" t="str">
        <f t="shared" si="20"/>
        <v/>
      </c>
      <c r="N50" s="43" t="str">
        <f t="shared" si="20"/>
        <v/>
      </c>
      <c r="O50" s="43" t="str">
        <f t="shared" si="20"/>
        <v/>
      </c>
      <c r="P50" s="43" t="str">
        <f t="shared" si="20"/>
        <v/>
      </c>
      <c r="Q50" s="43" t="str">
        <f t="shared" si="20"/>
        <v/>
      </c>
      <c r="R50" s="43" t="str">
        <f t="shared" si="20"/>
        <v/>
      </c>
      <c r="S50" s="43" t="str">
        <f t="shared" si="20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9"/>
  <sheetViews>
    <sheetView zoomScaleNormal="100" workbookViewId="0">
      <selection activeCell="E15" sqref="E15"/>
    </sheetView>
  </sheetViews>
  <sheetFormatPr baseColWidth="10" defaultColWidth="11.5703125" defaultRowHeight="15" x14ac:dyDescent="0.25"/>
  <cols>
    <col min="1" max="3" width="3.85546875" style="5" customWidth="1"/>
    <col min="4" max="9" width="15.85546875" style="5" customWidth="1"/>
    <col min="10" max="20" width="8.85546875" style="5" customWidth="1"/>
    <col min="21" max="16384" width="11.5703125" style="5"/>
  </cols>
  <sheetData>
    <row r="1" spans="2:19" s="3" customFormat="1" ht="24.95" customHeight="1" x14ac:dyDescent="0.25">
      <c r="B1" s="2" t="s">
        <v>21</v>
      </c>
    </row>
    <row r="3" spans="2:19" ht="15.75" thickBot="1" x14ac:dyDescent="0.3">
      <c r="D3" s="38" t="str">
        <f>JESA_UploadTable(B1,D4:S49,db)</f>
        <v>MINING capex @16:45:55</v>
      </c>
    </row>
    <row r="4" spans="2:19" ht="30" customHeight="1" thickBot="1" x14ac:dyDescent="0.3">
      <c r="D4" s="6" t="s">
        <v>30</v>
      </c>
      <c r="E4" s="6" t="s">
        <v>49</v>
      </c>
      <c r="F4" s="4" t="s">
        <v>266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358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.75" thickBot="1" x14ac:dyDescent="0.3">
      <c r="D5" s="8" t="s">
        <v>3</v>
      </c>
      <c r="E5" s="8" t="s">
        <v>300</v>
      </c>
      <c r="F5" s="13">
        <v>4</v>
      </c>
      <c r="G5" s="8" t="s">
        <v>22</v>
      </c>
      <c r="H5" s="9" t="s">
        <v>371</v>
      </c>
      <c r="I5" s="105">
        <f>964*1000000/9.5</f>
        <v>101473684.21052632</v>
      </c>
      <c r="J5" s="26"/>
      <c r="K5" s="26"/>
      <c r="L5" s="26">
        <v>0.2</v>
      </c>
      <c r="M5" s="26">
        <v>0.4</v>
      </c>
      <c r="N5" s="26">
        <v>0.3</v>
      </c>
      <c r="O5" s="26">
        <v>0.1</v>
      </c>
      <c r="P5" s="26"/>
      <c r="Q5" s="26"/>
      <c r="R5" s="26"/>
      <c r="S5" s="26"/>
    </row>
    <row r="6" spans="2:19" ht="15.75" thickBot="1" x14ac:dyDescent="0.3">
      <c r="D6" s="9" t="s">
        <v>348</v>
      </c>
      <c r="E6" s="9" t="s">
        <v>300</v>
      </c>
      <c r="F6" s="11">
        <v>2.77</v>
      </c>
      <c r="G6" s="9" t="s">
        <v>22</v>
      </c>
      <c r="H6" s="9" t="s">
        <v>371</v>
      </c>
      <c r="I6" s="105">
        <f>400*1000000/9.5</f>
        <v>42105263.157894738</v>
      </c>
      <c r="J6" s="27"/>
      <c r="K6" s="27"/>
      <c r="L6" s="26">
        <v>0.2</v>
      </c>
      <c r="M6" s="26">
        <v>0.4</v>
      </c>
      <c r="N6" s="26">
        <v>0.3</v>
      </c>
      <c r="O6" s="26">
        <v>0.1</v>
      </c>
      <c r="P6" s="27"/>
      <c r="Q6" s="27"/>
      <c r="R6" s="27"/>
      <c r="S6" s="27"/>
    </row>
    <row r="7" spans="2:19" ht="15.75" thickBot="1" x14ac:dyDescent="0.3">
      <c r="D7" s="148" t="s">
        <v>348</v>
      </c>
      <c r="E7" s="9" t="s">
        <v>300</v>
      </c>
      <c r="F7" s="147">
        <v>9</v>
      </c>
      <c r="G7" s="9" t="s">
        <v>22</v>
      </c>
      <c r="H7" s="9" t="s">
        <v>371</v>
      </c>
      <c r="I7" s="105">
        <f>3210*1000000/9.5-I6</f>
        <v>295789473.68421054</v>
      </c>
      <c r="J7" s="27"/>
      <c r="K7" s="27"/>
      <c r="L7" s="26">
        <v>0.2</v>
      </c>
      <c r="M7" s="26">
        <v>0.4</v>
      </c>
      <c r="N7" s="26">
        <v>0.3</v>
      </c>
      <c r="O7" s="26">
        <v>0.1</v>
      </c>
      <c r="P7" s="27"/>
      <c r="Q7" s="27"/>
      <c r="R7" s="27"/>
      <c r="S7" s="27"/>
    </row>
    <row r="8" spans="2:19" ht="15.75" thickBot="1" x14ac:dyDescent="0.3">
      <c r="D8" s="9" t="s">
        <v>6</v>
      </c>
      <c r="E8" s="9" t="s">
        <v>300</v>
      </c>
      <c r="F8" s="11">
        <v>4.5</v>
      </c>
      <c r="G8" s="9" t="s">
        <v>22</v>
      </c>
      <c r="H8" s="9" t="s">
        <v>371</v>
      </c>
      <c r="I8" s="105">
        <f>1790*1000000/9.5</f>
        <v>188421052.63157895</v>
      </c>
      <c r="J8" s="27"/>
      <c r="K8" s="27"/>
      <c r="L8" s="26">
        <v>0.2</v>
      </c>
      <c r="M8" s="26">
        <v>0.4</v>
      </c>
      <c r="N8" s="26">
        <v>0.3</v>
      </c>
      <c r="O8" s="26">
        <v>0.1</v>
      </c>
      <c r="P8" s="27"/>
      <c r="Q8" s="27"/>
      <c r="R8" s="27"/>
      <c r="S8" s="27"/>
    </row>
    <row r="9" spans="2:19" ht="15.75" thickBot="1" x14ac:dyDescent="0.3">
      <c r="D9" s="9" t="s">
        <v>10</v>
      </c>
      <c r="E9" s="9" t="s">
        <v>300</v>
      </c>
      <c r="F9" s="11">
        <v>5.5</v>
      </c>
      <c r="G9" s="9" t="s">
        <v>22</v>
      </c>
      <c r="H9" s="9" t="s">
        <v>371</v>
      </c>
      <c r="I9" s="105">
        <f>2450*1000000/9.5</f>
        <v>257894736.84210527</v>
      </c>
      <c r="J9" s="27"/>
      <c r="K9" s="27"/>
      <c r="L9" s="26">
        <v>0.2</v>
      </c>
      <c r="M9" s="26">
        <v>0.4</v>
      </c>
      <c r="N9" s="26">
        <v>0.3</v>
      </c>
      <c r="O9" s="26">
        <v>0.1</v>
      </c>
      <c r="P9" s="27"/>
      <c r="Q9" s="27"/>
      <c r="R9" s="27"/>
      <c r="S9" s="27"/>
    </row>
    <row r="10" spans="2:19" ht="15.75" thickBot="1" x14ac:dyDescent="0.3">
      <c r="D10" s="9" t="s">
        <v>350</v>
      </c>
      <c r="E10" s="9" t="s">
        <v>300</v>
      </c>
      <c r="F10" s="11">
        <v>5</v>
      </c>
      <c r="G10" s="9" t="s">
        <v>22</v>
      </c>
      <c r="H10" s="9" t="s">
        <v>371</v>
      </c>
      <c r="I10" s="105">
        <f>2326*1000000/9.5</f>
        <v>244842105.2631579</v>
      </c>
      <c r="J10" s="27"/>
      <c r="K10" s="27"/>
      <c r="L10" s="26">
        <v>0.2</v>
      </c>
      <c r="M10" s="26">
        <v>0.4</v>
      </c>
      <c r="N10" s="26">
        <v>0.3</v>
      </c>
      <c r="O10" s="26">
        <v>0.1</v>
      </c>
      <c r="P10" s="27"/>
      <c r="Q10" s="27"/>
      <c r="R10" s="27"/>
      <c r="S10" s="27"/>
    </row>
    <row r="11" spans="2:19" x14ac:dyDescent="0.25">
      <c r="D11" s="148" t="s">
        <v>350</v>
      </c>
      <c r="E11" s="9" t="s">
        <v>300</v>
      </c>
      <c r="F11" s="147">
        <v>15</v>
      </c>
      <c r="G11" s="9" t="s">
        <v>22</v>
      </c>
      <c r="H11" s="9" t="s">
        <v>371</v>
      </c>
      <c r="I11" s="105">
        <f>3478*1000000/9.5-I10</f>
        <v>121263157.89473683</v>
      </c>
      <c r="J11" s="27"/>
      <c r="K11" s="27"/>
      <c r="L11" s="26">
        <v>0.2</v>
      </c>
      <c r="M11" s="26">
        <v>0.4</v>
      </c>
      <c r="N11" s="26">
        <v>0.3</v>
      </c>
      <c r="O11" s="26">
        <v>0.1</v>
      </c>
      <c r="P11" s="27"/>
      <c r="Q11" s="27"/>
      <c r="R11" s="27"/>
      <c r="S11" s="27"/>
    </row>
    <row r="12" spans="2:19" x14ac:dyDescent="0.25">
      <c r="D12" s="9"/>
      <c r="E12" s="9"/>
      <c r="F12" s="11"/>
      <c r="G12" s="9"/>
      <c r="H12" s="9"/>
      <c r="I12" s="106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1"/>
      <c r="G13" s="9"/>
      <c r="H13" s="9"/>
      <c r="I13" s="106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1"/>
      <c r="G14" s="9"/>
      <c r="H14" s="9"/>
      <c r="I14" s="106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1"/>
      <c r="G15" s="9"/>
      <c r="H15" s="9"/>
      <c r="I15" s="106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1"/>
      <c r="G16" s="9"/>
      <c r="H16" s="9"/>
      <c r="I16" s="106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1"/>
      <c r="G17" s="9"/>
      <c r="H17" s="9"/>
      <c r="I17" s="106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1"/>
      <c r="G18" s="9"/>
      <c r="H18" s="9"/>
      <c r="I18" s="106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1"/>
      <c r="G19" s="9"/>
      <c r="H19" s="9"/>
      <c r="I19" s="106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1"/>
      <c r="G20" s="9"/>
      <c r="H20" s="9"/>
      <c r="I20" s="106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11"/>
      <c r="G21" s="9"/>
      <c r="H21" s="9"/>
      <c r="I21" s="106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11"/>
      <c r="G22" s="9"/>
      <c r="H22" s="9"/>
      <c r="I22" s="106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11"/>
      <c r="G23" s="9"/>
      <c r="H23" s="9"/>
      <c r="I23" s="106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11"/>
      <c r="G24" s="9"/>
      <c r="H24" s="9"/>
      <c r="I24" s="106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11"/>
      <c r="G25" s="9"/>
      <c r="H25" s="9"/>
      <c r="I25" s="106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11"/>
      <c r="G26" s="9"/>
      <c r="H26" s="9"/>
      <c r="I26" s="106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11"/>
      <c r="G27" s="9"/>
      <c r="H27" s="9"/>
      <c r="I27" s="106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11"/>
      <c r="G28" s="9"/>
      <c r="H28" s="9"/>
      <c r="I28" s="106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11"/>
      <c r="G29" s="9"/>
      <c r="H29" s="9"/>
      <c r="I29" s="106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11"/>
      <c r="G30" s="9"/>
      <c r="H30" s="9"/>
      <c r="I30" s="106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11"/>
      <c r="G31" s="9"/>
      <c r="H31" s="9"/>
      <c r="I31" s="106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11"/>
      <c r="G32" s="9"/>
      <c r="H32" s="9"/>
      <c r="I32" s="106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11"/>
      <c r="G33" s="9"/>
      <c r="H33" s="9"/>
      <c r="I33" s="106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11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25">
      <c r="D49" s="9"/>
      <c r="E49" s="9"/>
      <c r="F49" s="9"/>
      <c r="G49" s="9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</sheetData>
  <dataValidations count="3">
    <dataValidation type="list" allowBlank="1" showInputMessage="1" showErrorMessage="1" sqref="H5:H49">
      <formula1>Currency</formula1>
    </dataValidation>
    <dataValidation type="list" allowBlank="1" showInputMessage="1" showErrorMessage="1" sqref="D5:D49">
      <formula1>MineName</formula1>
    </dataValidation>
    <dataValidation type="list" allowBlank="1" showInputMessage="1" showErrorMessage="1" sqref="E5:E49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G5:G49</xm:sqref>
        </x14:dataValidation>
        <x14:dataValidation type="list" allowBlank="1" showInputMessage="1" showErrorMessage="1">
          <x14:formula1>
            <xm:f>'MINING options'!$G$9:$G$44</xm:f>
          </x14:formula1>
          <xm:sqref>F5 F7:F46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12" width="10.85546875" style="5" customWidth="1"/>
    <col min="13" max="19" width="9.85546875" style="5" customWidth="1"/>
    <col min="20" max="20" width="8.85546875" style="5" customWidth="1"/>
    <col min="21" max="16384" width="11.5703125" style="5"/>
  </cols>
  <sheetData>
    <row r="1" spans="2:19" s="59" customFormat="1" ht="24.95" customHeight="1" x14ac:dyDescent="0.25">
      <c r="B1" s="58" t="s">
        <v>354</v>
      </c>
    </row>
    <row r="3" spans="2:19" ht="15.75" thickBot="1" x14ac:dyDescent="0.3">
      <c r="D3" s="38" t="str">
        <f>JESA_UploadTable("mining_wp_connections",D4:L12,db)</f>
        <v>mining_wp_connections @16:45:53</v>
      </c>
    </row>
    <row r="4" spans="2:19" ht="30" customHeight="1" thickBot="1" x14ac:dyDescent="0.3">
      <c r="D4" s="130" t="s">
        <v>355</v>
      </c>
      <c r="E4" s="120" t="s">
        <v>9</v>
      </c>
      <c r="F4" s="121" t="s">
        <v>2</v>
      </c>
      <c r="G4" s="120" t="s">
        <v>3</v>
      </c>
      <c r="H4" s="121" t="s">
        <v>10</v>
      </c>
      <c r="I4" s="122" t="s">
        <v>4</v>
      </c>
      <c r="J4" s="122" t="s">
        <v>6</v>
      </c>
      <c r="K4" s="122" t="s">
        <v>26</v>
      </c>
      <c r="L4" s="122" t="s">
        <v>90</v>
      </c>
      <c r="M4" s="122"/>
      <c r="N4" s="122"/>
      <c r="O4" s="122"/>
      <c r="P4" s="122"/>
      <c r="Q4" s="122"/>
      <c r="R4" s="122"/>
      <c r="S4" s="122"/>
    </row>
    <row r="5" spans="2:19" ht="30" customHeight="1" thickBot="1" x14ac:dyDescent="0.3">
      <c r="D5" s="123" t="s">
        <v>90</v>
      </c>
      <c r="E5" s="124"/>
      <c r="F5" s="124"/>
      <c r="G5" s="124"/>
      <c r="H5" s="124"/>
      <c r="I5" s="124"/>
      <c r="J5" s="125"/>
      <c r="K5" s="125"/>
      <c r="L5" s="125">
        <v>1</v>
      </c>
      <c r="M5" s="125"/>
      <c r="N5" s="125"/>
      <c r="O5" s="125"/>
      <c r="P5" s="125"/>
      <c r="Q5" s="125"/>
      <c r="R5" s="125"/>
      <c r="S5" s="125"/>
    </row>
    <row r="6" spans="2:19" ht="30" customHeight="1" thickBot="1" x14ac:dyDescent="0.3">
      <c r="D6" s="123" t="s">
        <v>26</v>
      </c>
      <c r="E6" s="126"/>
      <c r="F6" s="126"/>
      <c r="G6" s="126"/>
      <c r="H6" s="126"/>
      <c r="I6" s="126"/>
      <c r="J6" s="127"/>
      <c r="K6" s="127">
        <v>1</v>
      </c>
      <c r="L6" s="127"/>
      <c r="M6" s="127"/>
      <c r="N6" s="127"/>
      <c r="O6" s="127"/>
      <c r="P6" s="127"/>
      <c r="Q6" s="127"/>
      <c r="R6" s="127"/>
      <c r="S6" s="127"/>
    </row>
    <row r="7" spans="2:19" ht="30" customHeight="1" thickBot="1" x14ac:dyDescent="0.3">
      <c r="D7" s="123" t="s">
        <v>6</v>
      </c>
      <c r="E7" s="126"/>
      <c r="F7" s="126"/>
      <c r="G7" s="126"/>
      <c r="H7" s="126"/>
      <c r="I7" s="126"/>
      <c r="J7" s="127">
        <v>1</v>
      </c>
      <c r="K7" s="127"/>
      <c r="L7" s="127"/>
      <c r="M7" s="127"/>
      <c r="N7" s="127"/>
      <c r="O7" s="127"/>
      <c r="P7" s="127"/>
      <c r="Q7" s="127"/>
      <c r="R7" s="127"/>
      <c r="S7" s="127"/>
    </row>
    <row r="8" spans="2:19" ht="30" customHeight="1" thickBot="1" x14ac:dyDescent="0.3">
      <c r="D8" s="123" t="s">
        <v>4</v>
      </c>
      <c r="E8" s="126"/>
      <c r="F8" s="126"/>
      <c r="G8" s="126"/>
      <c r="H8" s="126"/>
      <c r="I8" s="126">
        <v>1</v>
      </c>
      <c r="J8" s="127"/>
      <c r="K8" s="127"/>
      <c r="L8" s="127"/>
      <c r="M8" s="127"/>
      <c r="N8" s="127"/>
      <c r="O8" s="127"/>
      <c r="P8" s="127"/>
      <c r="Q8" s="127"/>
      <c r="R8" s="127"/>
      <c r="S8" s="127"/>
    </row>
    <row r="9" spans="2:19" ht="30" customHeight="1" thickBot="1" x14ac:dyDescent="0.3">
      <c r="D9" s="123" t="s">
        <v>10</v>
      </c>
      <c r="E9" s="126">
        <v>1</v>
      </c>
      <c r="F9" s="126"/>
      <c r="G9" s="126"/>
      <c r="H9" s="126"/>
      <c r="I9" s="126"/>
      <c r="J9" s="127"/>
      <c r="K9" s="127"/>
      <c r="L9" s="127"/>
      <c r="M9" s="127"/>
      <c r="N9" s="127"/>
      <c r="O9" s="127"/>
      <c r="P9" s="127"/>
      <c r="Q9" s="127"/>
      <c r="R9" s="127"/>
      <c r="S9" s="127"/>
    </row>
    <row r="10" spans="2:19" ht="30" customHeight="1" thickBot="1" x14ac:dyDescent="0.3">
      <c r="D10" s="123" t="s">
        <v>3</v>
      </c>
      <c r="E10" s="126"/>
      <c r="F10" s="126"/>
      <c r="G10" s="126"/>
      <c r="H10" s="126"/>
      <c r="I10" s="126"/>
      <c r="J10" s="127"/>
      <c r="K10" s="127"/>
      <c r="L10" s="127">
        <v>1</v>
      </c>
      <c r="M10" s="127"/>
      <c r="N10" s="127"/>
      <c r="O10" s="127"/>
      <c r="P10" s="127"/>
      <c r="Q10" s="127"/>
      <c r="R10" s="127"/>
      <c r="S10" s="127"/>
    </row>
    <row r="11" spans="2:19" ht="30" customHeight="1" thickBot="1" x14ac:dyDescent="0.3">
      <c r="D11" s="123" t="s">
        <v>2</v>
      </c>
      <c r="E11" s="126"/>
      <c r="F11" s="126"/>
      <c r="G11" s="126"/>
      <c r="H11" s="126"/>
      <c r="I11" s="126"/>
      <c r="J11" s="127"/>
      <c r="K11" s="127"/>
      <c r="L11" s="127">
        <v>1</v>
      </c>
      <c r="M11" s="127"/>
      <c r="N11" s="127"/>
      <c r="O11" s="127"/>
      <c r="P11" s="127"/>
      <c r="Q11" s="127"/>
      <c r="R11" s="127"/>
      <c r="S11" s="127"/>
    </row>
    <row r="12" spans="2:19" ht="30" customHeight="1" thickBot="1" x14ac:dyDescent="0.3">
      <c r="D12" s="123" t="s">
        <v>9</v>
      </c>
      <c r="E12" s="126">
        <v>1</v>
      </c>
      <c r="F12" s="126"/>
      <c r="G12" s="126"/>
      <c r="H12" s="126"/>
      <c r="I12" s="126"/>
      <c r="J12" s="127"/>
      <c r="K12" s="127"/>
      <c r="L12" s="127"/>
      <c r="M12" s="127"/>
      <c r="N12" s="127"/>
      <c r="O12" s="127"/>
      <c r="P12" s="127"/>
      <c r="Q12" s="127"/>
      <c r="R12" s="127"/>
      <c r="S12" s="127"/>
    </row>
    <row r="13" spans="2:19" ht="30" customHeight="1" thickBot="1" x14ac:dyDescent="0.3">
      <c r="D13" s="123"/>
      <c r="E13" s="126"/>
      <c r="F13" s="126"/>
      <c r="G13" s="126"/>
      <c r="H13" s="126"/>
      <c r="I13" s="126"/>
      <c r="J13" s="127"/>
      <c r="K13" s="127"/>
      <c r="L13" s="127"/>
      <c r="M13" s="127"/>
      <c r="N13" s="127"/>
      <c r="O13" s="127"/>
      <c r="P13" s="127"/>
      <c r="Q13" s="127"/>
      <c r="R13" s="127"/>
      <c r="S13" s="127"/>
    </row>
    <row r="14" spans="2:19" ht="30" customHeight="1" thickBot="1" x14ac:dyDescent="0.3">
      <c r="D14" s="123"/>
      <c r="E14" s="126"/>
      <c r="F14" s="126"/>
      <c r="G14" s="126"/>
      <c r="H14" s="126"/>
      <c r="I14" s="126"/>
      <c r="J14" s="127"/>
      <c r="K14" s="127"/>
      <c r="L14" s="127"/>
      <c r="M14" s="127"/>
      <c r="N14" s="127"/>
      <c r="O14" s="127"/>
      <c r="P14" s="127"/>
      <c r="Q14" s="127"/>
      <c r="R14" s="127"/>
      <c r="S14" s="127"/>
    </row>
    <row r="15" spans="2:19" ht="30" customHeight="1" thickBot="1" x14ac:dyDescent="0.3">
      <c r="D15" s="123"/>
      <c r="E15" s="126"/>
      <c r="F15" s="126"/>
      <c r="G15" s="126"/>
      <c r="H15" s="126"/>
      <c r="I15" s="126"/>
      <c r="J15" s="127"/>
      <c r="K15" s="127"/>
      <c r="L15" s="127"/>
      <c r="M15" s="127"/>
      <c r="N15" s="127"/>
      <c r="O15" s="127"/>
      <c r="P15" s="127"/>
      <c r="Q15" s="127"/>
      <c r="R15" s="127"/>
      <c r="S15" s="127"/>
    </row>
    <row r="16" spans="2:19" ht="30" customHeight="1" thickBot="1" x14ac:dyDescent="0.3">
      <c r="D16" s="123"/>
      <c r="E16" s="126"/>
      <c r="F16" s="126"/>
      <c r="G16" s="126"/>
      <c r="H16" s="126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</row>
    <row r="17" spans="4:19" ht="30" customHeight="1" thickBot="1" x14ac:dyDescent="0.3">
      <c r="D17" s="123"/>
      <c r="E17" s="126"/>
      <c r="F17" s="126"/>
      <c r="G17" s="126"/>
      <c r="H17" s="126"/>
      <c r="I17" s="126"/>
      <c r="J17" s="127"/>
      <c r="K17" s="127"/>
      <c r="L17" s="127"/>
      <c r="M17" s="127"/>
      <c r="N17" s="127"/>
      <c r="O17" s="127"/>
      <c r="P17" s="127"/>
      <c r="Q17" s="127"/>
      <c r="R17" s="127"/>
      <c r="S17" s="127"/>
    </row>
    <row r="18" spans="4:19" ht="30" customHeight="1" thickBot="1" x14ac:dyDescent="0.3">
      <c r="D18" s="123"/>
      <c r="E18" s="126"/>
      <c r="F18" s="126"/>
      <c r="G18" s="126"/>
      <c r="H18" s="126"/>
      <c r="I18" s="126"/>
      <c r="J18" s="127"/>
      <c r="K18" s="127"/>
      <c r="L18" s="127"/>
      <c r="M18" s="127"/>
      <c r="N18" s="127"/>
      <c r="O18" s="127"/>
      <c r="P18" s="127"/>
      <c r="Q18" s="127"/>
      <c r="R18" s="127"/>
      <c r="S18" s="127"/>
    </row>
    <row r="19" spans="4:19" ht="30" customHeight="1" thickBot="1" x14ac:dyDescent="0.3">
      <c r="D19" s="123"/>
      <c r="E19" s="128"/>
      <c r="F19" s="128"/>
      <c r="G19" s="128"/>
      <c r="H19" s="128"/>
      <c r="I19" s="128"/>
      <c r="J19" s="129"/>
      <c r="K19" s="129"/>
      <c r="L19" s="129"/>
      <c r="M19" s="129"/>
      <c r="N19" s="129"/>
      <c r="O19" s="129"/>
      <c r="P19" s="129"/>
      <c r="Q19" s="129"/>
      <c r="R19" s="129"/>
      <c r="S19" s="129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J4" sqref="J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6384" width="11.5703125" style="1"/>
  </cols>
  <sheetData>
    <row r="1" spans="2:10" s="92" customFormat="1" ht="24.95" customHeight="1" x14ac:dyDescent="0.25">
      <c r="B1" s="91" t="s">
        <v>271</v>
      </c>
    </row>
    <row r="3" spans="2:10" ht="15.75" thickBot="1" x14ac:dyDescent="0.3">
      <c r="D3" s="38" t="str">
        <f>JESA_UploadTable(D4,D4:D40,db)</f>
        <v>Beneficiation/Name @16:45:53</v>
      </c>
      <c r="E3" s="38"/>
      <c r="F3" s="38" t="str">
        <f>JESA_UploadTable(F4,F4:F40,db)</f>
        <v>Beneficiation/Process @16:45:54</v>
      </c>
      <c r="G3" s="38"/>
      <c r="H3" s="38" t="str">
        <f>JESA_UploadTable(H4,H4:H40,db)</f>
        <v>Beneficiation/Quality @16:45:54</v>
      </c>
      <c r="I3" s="38"/>
      <c r="J3" s="38" t="str">
        <f>JESA_UploadTable(J4,J4:J40,db)</f>
        <v>Beneficiation/CAPEX @16:45:54</v>
      </c>
    </row>
    <row r="4" spans="2:10" ht="30" customHeight="1" thickBot="1" x14ac:dyDescent="0.3">
      <c r="D4" s="93" t="s">
        <v>272</v>
      </c>
      <c r="E4" s="31"/>
      <c r="F4" s="93" t="s">
        <v>273</v>
      </c>
      <c r="G4" s="31"/>
      <c r="H4" s="93" t="s">
        <v>274</v>
      </c>
      <c r="I4" s="31"/>
      <c r="J4" s="93" t="s">
        <v>275</v>
      </c>
    </row>
    <row r="5" spans="2:10" x14ac:dyDescent="0.25">
      <c r="D5" s="78" t="s">
        <v>294</v>
      </c>
      <c r="F5" s="78" t="s">
        <v>284</v>
      </c>
      <c r="H5" s="78" t="s">
        <v>276</v>
      </c>
      <c r="J5" s="78" t="s">
        <v>22</v>
      </c>
    </row>
    <row r="6" spans="2:10" x14ac:dyDescent="0.25">
      <c r="D6" s="79" t="s">
        <v>283</v>
      </c>
      <c r="F6" s="79" t="s">
        <v>285</v>
      </c>
      <c r="H6" s="79" t="s">
        <v>302</v>
      </c>
      <c r="J6" s="79"/>
    </row>
    <row r="7" spans="2:10" x14ac:dyDescent="0.25">
      <c r="D7" s="79" t="s">
        <v>286</v>
      </c>
      <c r="F7" s="79" t="s">
        <v>287</v>
      </c>
      <c r="H7" s="79" t="s">
        <v>288</v>
      </c>
      <c r="J7" s="79"/>
    </row>
    <row r="8" spans="2:10" x14ac:dyDescent="0.25">
      <c r="D8" s="79" t="s">
        <v>289</v>
      </c>
      <c r="F8" s="79" t="s">
        <v>290</v>
      </c>
      <c r="H8" s="79" t="s">
        <v>301</v>
      </c>
      <c r="J8" s="79"/>
    </row>
    <row r="9" spans="2:10" x14ac:dyDescent="0.25">
      <c r="D9" s="79" t="s">
        <v>291</v>
      </c>
      <c r="F9" s="79" t="s">
        <v>292</v>
      </c>
      <c r="H9" s="79"/>
      <c r="J9" s="79"/>
    </row>
    <row r="10" spans="2:10" x14ac:dyDescent="0.25">
      <c r="D10" s="79" t="s">
        <v>303</v>
      </c>
      <c r="F10" s="79" t="s">
        <v>293</v>
      </c>
      <c r="H10" s="79"/>
      <c r="J10" s="79"/>
    </row>
    <row r="11" spans="2:10" x14ac:dyDescent="0.25">
      <c r="D11" s="79"/>
      <c r="F11" s="79"/>
      <c r="H11" s="79"/>
      <c r="J11" s="79"/>
    </row>
    <row r="12" spans="2:10" x14ac:dyDescent="0.25">
      <c r="D12" s="79"/>
      <c r="F12" s="79"/>
      <c r="H12" s="79"/>
      <c r="J12" s="79"/>
    </row>
    <row r="13" spans="2:10" x14ac:dyDescent="0.25">
      <c r="D13" s="79"/>
      <c r="F13" s="79"/>
      <c r="H13" s="79"/>
      <c r="J13" s="79"/>
    </row>
    <row r="14" spans="2:10" x14ac:dyDescent="0.25">
      <c r="D14" s="79"/>
      <c r="F14" s="79"/>
      <c r="H14" s="79"/>
      <c r="J14" s="79"/>
    </row>
    <row r="15" spans="2:10" x14ac:dyDescent="0.25">
      <c r="D15" s="79"/>
      <c r="F15" s="79"/>
      <c r="H15" s="79"/>
      <c r="J15" s="79"/>
    </row>
    <row r="16" spans="2:10" x14ac:dyDescent="0.25">
      <c r="D16" s="79"/>
      <c r="F16" s="79"/>
      <c r="H16" s="79"/>
      <c r="J16" s="79"/>
    </row>
    <row r="17" spans="4:10" x14ac:dyDescent="0.25">
      <c r="D17" s="79"/>
      <c r="F17" s="79"/>
      <c r="H17" s="79"/>
      <c r="J17" s="79"/>
    </row>
    <row r="18" spans="4:10" x14ac:dyDescent="0.25">
      <c r="D18" s="79"/>
      <c r="F18" s="79"/>
      <c r="H18" s="79"/>
      <c r="J18" s="79"/>
    </row>
    <row r="19" spans="4:10" x14ac:dyDescent="0.25">
      <c r="D19" s="79"/>
      <c r="F19" s="79"/>
      <c r="H19" s="79"/>
      <c r="J19" s="79"/>
    </row>
    <row r="20" spans="4:10" x14ac:dyDescent="0.25">
      <c r="D20" s="79"/>
      <c r="F20" s="79"/>
      <c r="H20" s="79"/>
      <c r="J20" s="79"/>
    </row>
    <row r="21" spans="4:10" x14ac:dyDescent="0.25">
      <c r="D21" s="79"/>
      <c r="F21" s="79"/>
      <c r="H21" s="79"/>
      <c r="J21" s="79"/>
    </row>
    <row r="22" spans="4:10" x14ac:dyDescent="0.25">
      <c r="D22" s="79"/>
      <c r="F22" s="79"/>
      <c r="H22" s="79"/>
      <c r="J22" s="79"/>
    </row>
    <row r="23" spans="4:10" x14ac:dyDescent="0.25">
      <c r="D23" s="79"/>
      <c r="F23" s="79"/>
      <c r="H23" s="79"/>
      <c r="J23" s="79"/>
    </row>
    <row r="24" spans="4:10" x14ac:dyDescent="0.25">
      <c r="D24" s="79"/>
      <c r="F24" s="79"/>
      <c r="H24" s="79"/>
      <c r="J24" s="79"/>
    </row>
    <row r="25" spans="4:10" x14ac:dyDescent="0.25">
      <c r="D25" s="79"/>
      <c r="F25" s="79"/>
      <c r="H25" s="79"/>
      <c r="J25" s="79"/>
    </row>
    <row r="26" spans="4:10" x14ac:dyDescent="0.25">
      <c r="D26" s="79"/>
      <c r="F26" s="79"/>
      <c r="H26" s="79"/>
      <c r="J26" s="79"/>
    </row>
    <row r="27" spans="4:10" x14ac:dyDescent="0.25">
      <c r="D27" s="79"/>
      <c r="F27" s="79"/>
      <c r="H27" s="79"/>
      <c r="J27" s="79"/>
    </row>
    <row r="28" spans="4:10" x14ac:dyDescent="0.25">
      <c r="D28" s="79"/>
      <c r="F28" s="79"/>
      <c r="H28" s="79"/>
      <c r="J28" s="79"/>
    </row>
    <row r="29" spans="4:10" x14ac:dyDescent="0.25">
      <c r="D29" s="79"/>
      <c r="F29" s="79"/>
      <c r="H29" s="79"/>
      <c r="J29" s="79"/>
    </row>
    <row r="30" spans="4:10" x14ac:dyDescent="0.25">
      <c r="D30" s="79"/>
      <c r="F30" s="79"/>
      <c r="H30" s="79"/>
      <c r="J30" s="79"/>
    </row>
    <row r="31" spans="4:10" x14ac:dyDescent="0.25">
      <c r="D31" s="79"/>
      <c r="F31" s="79"/>
      <c r="H31" s="79"/>
      <c r="J31" s="79"/>
    </row>
    <row r="32" spans="4:10" x14ac:dyDescent="0.25">
      <c r="D32" s="79"/>
      <c r="F32" s="79"/>
      <c r="H32" s="79"/>
      <c r="J32" s="79"/>
    </row>
    <row r="33" spans="4:10" x14ac:dyDescent="0.25">
      <c r="D33" s="79"/>
      <c r="F33" s="79"/>
      <c r="H33" s="79"/>
      <c r="J33" s="79"/>
    </row>
    <row r="34" spans="4:10" x14ac:dyDescent="0.25">
      <c r="D34" s="79"/>
      <c r="F34" s="79"/>
      <c r="H34" s="79"/>
      <c r="J34" s="79"/>
    </row>
    <row r="35" spans="4:10" x14ac:dyDescent="0.25">
      <c r="D35" s="79"/>
      <c r="F35" s="79"/>
      <c r="H35" s="79"/>
      <c r="J35" s="79"/>
    </row>
    <row r="36" spans="4:10" x14ac:dyDescent="0.25">
      <c r="D36" s="79"/>
      <c r="F36" s="79"/>
      <c r="H36" s="79"/>
      <c r="J36" s="79"/>
    </row>
    <row r="37" spans="4:10" x14ac:dyDescent="0.25">
      <c r="D37" s="79"/>
      <c r="F37" s="79"/>
      <c r="H37" s="79"/>
      <c r="J37" s="79"/>
    </row>
    <row r="38" spans="4:10" x14ac:dyDescent="0.25">
      <c r="D38" s="79"/>
      <c r="F38" s="79"/>
      <c r="H38" s="79"/>
      <c r="J38" s="79"/>
    </row>
    <row r="39" spans="4:10" x14ac:dyDescent="0.25">
      <c r="D39" s="79"/>
      <c r="F39" s="79"/>
      <c r="H39" s="79"/>
      <c r="J39" s="79"/>
    </row>
    <row r="40" spans="4:10" ht="15.75" thickBot="1" x14ac:dyDescent="0.3">
      <c r="D40" s="80"/>
      <c r="F40" s="80"/>
      <c r="H40" s="80"/>
      <c r="J40" s="80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zoomScaleNormal="100" workbookViewId="0">
      <selection activeCell="I11" sqref="I11"/>
    </sheetView>
  </sheetViews>
  <sheetFormatPr baseColWidth="10" defaultColWidth="11.5703125" defaultRowHeight="15" x14ac:dyDescent="0.25"/>
  <cols>
    <col min="1" max="3" width="3.85546875" style="5" customWidth="1"/>
    <col min="4" max="4" width="15.85546875" style="5" customWidth="1"/>
    <col min="5" max="5" width="17.42578125" style="5" bestFit="1" customWidth="1"/>
    <col min="6" max="6" width="20.85546875" style="5" customWidth="1"/>
    <col min="7" max="11" width="15.85546875" style="5" customWidth="1"/>
    <col min="12" max="12" width="74.140625" style="5" bestFit="1" customWidth="1"/>
    <col min="13" max="16384" width="11.5703125" style="5"/>
  </cols>
  <sheetData>
    <row r="1" spans="2:12" s="92" customFormat="1" ht="24.95" customHeight="1" x14ac:dyDescent="0.25">
      <c r="B1" s="94" t="s">
        <v>277</v>
      </c>
      <c r="H1" s="95"/>
      <c r="I1" s="95"/>
      <c r="J1" s="95"/>
      <c r="K1" s="95"/>
    </row>
    <row r="3" spans="2:12" ht="15.75" thickBot="1" x14ac:dyDescent="0.3">
      <c r="D3" s="38" t="str">
        <f>JESA_UploadTable(B1,D4:L17,db)</f>
        <v>Beneficiation options @16:45:56</v>
      </c>
    </row>
    <row r="4" spans="2:12" ht="30" customHeight="1" thickBot="1" x14ac:dyDescent="0.3">
      <c r="D4" s="96" t="s">
        <v>8</v>
      </c>
      <c r="E4" s="96" t="s">
        <v>30</v>
      </c>
      <c r="F4" s="97" t="s">
        <v>25</v>
      </c>
      <c r="G4" s="97" t="s">
        <v>266</v>
      </c>
      <c r="H4" s="98" t="s">
        <v>17</v>
      </c>
      <c r="I4" s="98" t="s">
        <v>70</v>
      </c>
      <c r="J4" s="98" t="s">
        <v>144</v>
      </c>
      <c r="K4" s="98" t="s">
        <v>148</v>
      </c>
      <c r="L4" s="96" t="s">
        <v>149</v>
      </c>
    </row>
    <row r="5" spans="2:12" x14ac:dyDescent="0.25">
      <c r="D5" s="8" t="s">
        <v>90</v>
      </c>
      <c r="E5" s="8" t="s">
        <v>294</v>
      </c>
      <c r="F5" s="8" t="s">
        <v>294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25">
      <c r="D6" s="9" t="s">
        <v>9</v>
      </c>
      <c r="E6" s="9" t="s">
        <v>283</v>
      </c>
      <c r="F6" s="107" t="s">
        <v>283</v>
      </c>
      <c r="G6" s="18">
        <v>3</v>
      </c>
      <c r="H6" s="11" t="s">
        <v>139</v>
      </c>
      <c r="I6" s="11" t="s">
        <v>36</v>
      </c>
      <c r="J6" s="15">
        <v>2019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WP/3/Existing/2019/2050</v>
      </c>
    </row>
    <row r="7" spans="2:12" x14ac:dyDescent="0.25">
      <c r="D7" s="9" t="s">
        <v>9</v>
      </c>
      <c r="E7" s="9" t="s">
        <v>283</v>
      </c>
      <c r="F7" s="107" t="s">
        <v>283</v>
      </c>
      <c r="G7" s="149">
        <v>9</v>
      </c>
      <c r="H7" s="11" t="s">
        <v>139</v>
      </c>
      <c r="I7" s="147" t="s">
        <v>416</v>
      </c>
      <c r="J7" s="15">
        <v>2022</v>
      </c>
      <c r="K7" s="15">
        <v>2050</v>
      </c>
      <c r="L7" s="9" t="str">
        <f t="shared" si="0"/>
        <v>/WP/Benguerir/BG WP/BG WP/9/Extension/2022/2050</v>
      </c>
    </row>
    <row r="8" spans="2:12" x14ac:dyDescent="0.25">
      <c r="D8" s="9" t="s">
        <v>9</v>
      </c>
      <c r="E8" s="9" t="s">
        <v>283</v>
      </c>
      <c r="F8" s="107" t="s">
        <v>283</v>
      </c>
      <c r="G8" s="149">
        <v>8.5</v>
      </c>
      <c r="H8" s="11" t="s">
        <v>139</v>
      </c>
      <c r="I8" s="147" t="s">
        <v>416</v>
      </c>
      <c r="J8" s="15">
        <v>2022</v>
      </c>
      <c r="K8" s="15">
        <v>2050</v>
      </c>
      <c r="L8" s="9" t="str">
        <f t="shared" si="0"/>
        <v>/WP/Benguerir/BG WP/BG WP/8,5/Extension/2022/2050</v>
      </c>
    </row>
    <row r="9" spans="2:12" x14ac:dyDescent="0.25">
      <c r="D9" s="9" t="s">
        <v>6</v>
      </c>
      <c r="E9" s="9" t="s">
        <v>291</v>
      </c>
      <c r="F9" s="9" t="s">
        <v>291</v>
      </c>
      <c r="G9" s="18">
        <v>4.5</v>
      </c>
      <c r="H9" s="11" t="s">
        <v>139</v>
      </c>
      <c r="I9" s="9" t="s">
        <v>146</v>
      </c>
      <c r="J9" s="15">
        <v>2022</v>
      </c>
      <c r="K9" s="9">
        <v>2050</v>
      </c>
      <c r="L9" s="9" t="str">
        <f t="shared" si="0"/>
        <v>/WP/Louta/Louta WP/Louta WP/4,5/New/2022/2050</v>
      </c>
    </row>
    <row r="10" spans="2:12" x14ac:dyDescent="0.25">
      <c r="D10" s="9" t="s">
        <v>4</v>
      </c>
      <c r="E10" s="9" t="s">
        <v>289</v>
      </c>
      <c r="F10" s="9" t="s">
        <v>289</v>
      </c>
      <c r="G10" s="18">
        <v>5</v>
      </c>
      <c r="H10" s="11" t="s">
        <v>139</v>
      </c>
      <c r="I10" s="11" t="s">
        <v>146</v>
      </c>
      <c r="J10" s="15">
        <v>2022</v>
      </c>
      <c r="K10" s="15">
        <v>2050</v>
      </c>
      <c r="L10" s="9" t="str">
        <f t="shared" si="0"/>
        <v>/WP/Tassaout/Tassaout WP/Tassaout WP/5/New/2022/2050</v>
      </c>
    </row>
    <row r="11" spans="2:12" x14ac:dyDescent="0.25">
      <c r="D11" s="9" t="s">
        <v>4</v>
      </c>
      <c r="E11" s="9" t="s">
        <v>289</v>
      </c>
      <c r="F11" s="9" t="s">
        <v>289</v>
      </c>
      <c r="G11" s="149">
        <v>15</v>
      </c>
      <c r="H11" s="11" t="s">
        <v>139</v>
      </c>
      <c r="I11" s="147" t="s">
        <v>416</v>
      </c>
      <c r="J11" s="15">
        <v>2022</v>
      </c>
      <c r="K11" s="15">
        <v>2050</v>
      </c>
      <c r="L11" s="9" t="str">
        <f>IF(D11="","","/WP/"&amp;CONCATENATE(D11,"/",E11,"/",F11,"/",G11,"/",I11,"/",J11,"/",K11))</f>
        <v>/WP/Tassaout/Tassaout WP/Tassaout WP/15/Extension/2022/2050</v>
      </c>
    </row>
    <row r="12" spans="2:12" x14ac:dyDescent="0.25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25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25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.75" thickBot="1" x14ac:dyDescent="0.3">
      <c r="D17" s="10"/>
      <c r="E17" s="10"/>
      <c r="F17" s="10"/>
      <c r="G17" s="43"/>
      <c r="H17" s="12"/>
      <c r="I17" s="12"/>
      <c r="J17" s="16"/>
      <c r="K17" s="16"/>
      <c r="L17" s="10" t="str">
        <f t="shared" si="0"/>
        <v/>
      </c>
    </row>
  </sheetData>
  <dataValidations count="7"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I5:I17">
      <formula1>"Existing,New,Extension"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I7" sqref="I7"/>
    </sheetView>
  </sheetViews>
  <sheetFormatPr baseColWidth="10" defaultColWidth="11.5703125" defaultRowHeight="15" outlineLevelCol="1" x14ac:dyDescent="0.25"/>
  <cols>
    <col min="1" max="3" width="3.85546875" style="5" customWidth="1"/>
    <col min="4" max="4" width="20.85546875" style="5" customWidth="1"/>
    <col min="5" max="6" width="15.85546875" style="5" customWidth="1"/>
    <col min="7" max="7" width="10.5703125" style="5" customWidth="1"/>
    <col min="8" max="8" width="8.85546875" style="5" customWidth="1"/>
    <col min="9" max="18" width="8.85546875" style="5" customWidth="1" outlineLevel="1"/>
    <col min="19" max="16384" width="11.5703125" style="5"/>
  </cols>
  <sheetData>
    <row r="1" spans="2:19" s="92" customFormat="1" ht="24.95" customHeight="1" x14ac:dyDescent="0.25">
      <c r="B1" s="94" t="s">
        <v>278</v>
      </c>
    </row>
    <row r="2" spans="2:19" x14ac:dyDescent="0.25">
      <c r="G2" s="100"/>
    </row>
    <row r="3" spans="2:19" ht="15.75" thickBot="1" x14ac:dyDescent="0.3">
      <c r="D3" s="38" t="str">
        <f>JESA_UploadTable(B1,D4:S50,db)</f>
        <v>Beneficiation production @16:45:55</v>
      </c>
    </row>
    <row r="4" spans="2:19" ht="30" customHeight="1" thickBot="1" x14ac:dyDescent="0.3">
      <c r="D4" s="97" t="s">
        <v>25</v>
      </c>
      <c r="E4" s="97" t="s">
        <v>279</v>
      </c>
      <c r="F4" s="96" t="s">
        <v>280</v>
      </c>
      <c r="G4" s="96" t="s">
        <v>295</v>
      </c>
      <c r="H4" s="96" t="s">
        <v>17</v>
      </c>
      <c r="I4" s="109" t="s">
        <v>37</v>
      </c>
      <c r="J4" s="109" t="s">
        <v>38</v>
      </c>
      <c r="K4" s="109" t="s">
        <v>39</v>
      </c>
      <c r="L4" s="109" t="s">
        <v>40</v>
      </c>
      <c r="M4" s="109" t="s">
        <v>41</v>
      </c>
      <c r="N4" s="109" t="s">
        <v>42</v>
      </c>
      <c r="O4" s="109" t="s">
        <v>43</v>
      </c>
      <c r="P4" s="109" t="s">
        <v>44</v>
      </c>
      <c r="Q4" s="109" t="s">
        <v>45</v>
      </c>
      <c r="R4" s="109" t="s">
        <v>46</v>
      </c>
      <c r="S4" s="109" t="s">
        <v>47</v>
      </c>
    </row>
    <row r="5" spans="2:19" x14ac:dyDescent="0.25">
      <c r="D5" s="8" t="s">
        <v>294</v>
      </c>
      <c r="E5" s="8" t="s">
        <v>20</v>
      </c>
      <c r="F5" s="8" t="s">
        <v>288</v>
      </c>
      <c r="G5" s="8" t="s">
        <v>296</v>
      </c>
      <c r="H5" s="8" t="s">
        <v>147</v>
      </c>
      <c r="I5" s="110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25">
      <c r="D6" s="9" t="s">
        <v>294</v>
      </c>
      <c r="E6" s="9" t="s">
        <v>19</v>
      </c>
      <c r="F6" s="9" t="s">
        <v>288</v>
      </c>
      <c r="G6" s="9" t="s">
        <v>296</v>
      </c>
      <c r="H6" s="9" t="s">
        <v>147</v>
      </c>
      <c r="I6" s="108">
        <v>0</v>
      </c>
      <c r="J6" s="18">
        <f t="shared" ref="J6:S21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25">
      <c r="D7" s="9" t="s">
        <v>294</v>
      </c>
      <c r="E7" s="9" t="s">
        <v>18</v>
      </c>
      <c r="F7" s="9" t="s">
        <v>288</v>
      </c>
      <c r="G7" s="9" t="s">
        <v>296</v>
      </c>
      <c r="H7" s="9" t="s">
        <v>147</v>
      </c>
      <c r="I7" s="108">
        <v>1</v>
      </c>
      <c r="J7" s="18">
        <f t="shared" si="1"/>
        <v>1</v>
      </c>
      <c r="K7" s="18">
        <f t="shared" si="1"/>
        <v>1</v>
      </c>
      <c r="L7" s="18">
        <f t="shared" si="1"/>
        <v>1</v>
      </c>
      <c r="M7" s="18">
        <f t="shared" si="1"/>
        <v>1</v>
      </c>
      <c r="N7" s="18">
        <f t="shared" si="1"/>
        <v>1</v>
      </c>
      <c r="O7" s="18">
        <f t="shared" si="1"/>
        <v>1</v>
      </c>
      <c r="P7" s="18">
        <f t="shared" si="1"/>
        <v>1</v>
      </c>
      <c r="Q7" s="18">
        <f t="shared" si="1"/>
        <v>1</v>
      </c>
      <c r="R7" s="18">
        <f t="shared" si="1"/>
        <v>1</v>
      </c>
      <c r="S7" s="18">
        <f t="shared" si="1"/>
        <v>1</v>
      </c>
    </row>
    <row r="8" spans="2:19" x14ac:dyDescent="0.25">
      <c r="D8" s="9" t="s">
        <v>294</v>
      </c>
      <c r="E8" s="9" t="s">
        <v>301</v>
      </c>
      <c r="F8" s="9" t="s">
        <v>288</v>
      </c>
      <c r="G8" s="9" t="s">
        <v>296</v>
      </c>
      <c r="H8" s="9" t="s">
        <v>147</v>
      </c>
      <c r="I8" s="108">
        <v>0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  <c r="P8" s="18">
        <f t="shared" si="1"/>
        <v>0</v>
      </c>
      <c r="Q8" s="18">
        <f t="shared" si="1"/>
        <v>0</v>
      </c>
      <c r="R8" s="18">
        <f t="shared" si="1"/>
        <v>0</v>
      </c>
      <c r="S8" s="18">
        <f t="shared" si="1"/>
        <v>0</v>
      </c>
    </row>
    <row r="9" spans="2:19" x14ac:dyDescent="0.25">
      <c r="D9" s="9" t="s">
        <v>283</v>
      </c>
      <c r="E9" s="9" t="s">
        <v>20</v>
      </c>
      <c r="F9" s="9" t="s">
        <v>288</v>
      </c>
      <c r="G9" s="9" t="s">
        <v>296</v>
      </c>
      <c r="H9" s="9" t="s">
        <v>147</v>
      </c>
      <c r="I9" s="108">
        <v>0</v>
      </c>
      <c r="J9" s="18">
        <f t="shared" si="1"/>
        <v>0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  <c r="P9" s="18">
        <f t="shared" si="1"/>
        <v>0</v>
      </c>
      <c r="Q9" s="18">
        <f t="shared" si="1"/>
        <v>0</v>
      </c>
      <c r="R9" s="18">
        <f t="shared" si="1"/>
        <v>0</v>
      </c>
      <c r="S9" s="18">
        <f t="shared" si="1"/>
        <v>0</v>
      </c>
    </row>
    <row r="10" spans="2:19" x14ac:dyDescent="0.25">
      <c r="D10" s="9" t="s">
        <v>283</v>
      </c>
      <c r="E10" s="9" t="s">
        <v>19</v>
      </c>
      <c r="F10" s="9" t="s">
        <v>288</v>
      </c>
      <c r="G10" s="9" t="s">
        <v>296</v>
      </c>
      <c r="H10" s="9" t="s">
        <v>147</v>
      </c>
      <c r="I10" s="108">
        <v>0</v>
      </c>
      <c r="J10" s="18">
        <f t="shared" si="1"/>
        <v>0</v>
      </c>
      <c r="K10" s="18">
        <f t="shared" si="1"/>
        <v>0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  <c r="P10" s="18">
        <f t="shared" si="1"/>
        <v>0</v>
      </c>
      <c r="Q10" s="18">
        <f t="shared" si="1"/>
        <v>0</v>
      </c>
      <c r="R10" s="18">
        <f t="shared" si="1"/>
        <v>0</v>
      </c>
      <c r="S10" s="18">
        <f t="shared" si="1"/>
        <v>0</v>
      </c>
    </row>
    <row r="11" spans="2:19" x14ac:dyDescent="0.25">
      <c r="D11" s="9" t="s">
        <v>283</v>
      </c>
      <c r="E11" s="9" t="s">
        <v>18</v>
      </c>
      <c r="F11" s="9" t="s">
        <v>288</v>
      </c>
      <c r="G11" s="9" t="s">
        <v>296</v>
      </c>
      <c r="H11" s="9" t="s">
        <v>147</v>
      </c>
      <c r="I11" s="108">
        <v>1</v>
      </c>
      <c r="J11" s="18">
        <f t="shared" si="1"/>
        <v>1</v>
      </c>
      <c r="K11" s="18">
        <f t="shared" si="1"/>
        <v>1</v>
      </c>
      <c r="L11" s="18">
        <f t="shared" si="1"/>
        <v>1</v>
      </c>
      <c r="M11" s="18">
        <f t="shared" si="1"/>
        <v>1</v>
      </c>
      <c r="N11" s="18">
        <f t="shared" si="1"/>
        <v>1</v>
      </c>
      <c r="O11" s="18">
        <f t="shared" si="1"/>
        <v>1</v>
      </c>
      <c r="P11" s="18">
        <f t="shared" si="1"/>
        <v>1</v>
      </c>
      <c r="Q11" s="18">
        <f t="shared" si="1"/>
        <v>1</v>
      </c>
      <c r="R11" s="18">
        <f t="shared" si="1"/>
        <v>1</v>
      </c>
      <c r="S11" s="18">
        <f t="shared" si="1"/>
        <v>1</v>
      </c>
    </row>
    <row r="12" spans="2:19" x14ac:dyDescent="0.25">
      <c r="D12" s="9" t="s">
        <v>283</v>
      </c>
      <c r="E12" s="9" t="s">
        <v>301</v>
      </c>
      <c r="F12" s="9" t="s">
        <v>288</v>
      </c>
      <c r="G12" s="9" t="s">
        <v>296</v>
      </c>
      <c r="H12" s="9" t="s">
        <v>147</v>
      </c>
      <c r="I12" s="108">
        <v>0</v>
      </c>
      <c r="J12" s="18">
        <f t="shared" si="1"/>
        <v>0</v>
      </c>
      <c r="K12" s="18">
        <f t="shared" si="1"/>
        <v>0</v>
      </c>
      <c r="L12" s="18">
        <f t="shared" si="1"/>
        <v>0</v>
      </c>
      <c r="M12" s="18">
        <f t="shared" si="1"/>
        <v>0</v>
      </c>
      <c r="N12" s="18">
        <f t="shared" si="1"/>
        <v>0</v>
      </c>
      <c r="O12" s="18">
        <f t="shared" si="1"/>
        <v>0</v>
      </c>
      <c r="P12" s="18">
        <f t="shared" si="1"/>
        <v>0</v>
      </c>
      <c r="Q12" s="18">
        <f t="shared" si="1"/>
        <v>0</v>
      </c>
      <c r="R12" s="18">
        <f t="shared" si="1"/>
        <v>0</v>
      </c>
      <c r="S12" s="18">
        <f t="shared" si="1"/>
        <v>0</v>
      </c>
    </row>
    <row r="13" spans="2:19" x14ac:dyDescent="0.25">
      <c r="D13" s="9" t="s">
        <v>286</v>
      </c>
      <c r="E13" s="9" t="s">
        <v>20</v>
      </c>
      <c r="F13" s="9" t="s">
        <v>288</v>
      </c>
      <c r="G13" s="9" t="s">
        <v>296</v>
      </c>
      <c r="H13" s="9" t="s">
        <v>147</v>
      </c>
      <c r="I13" s="108">
        <v>0</v>
      </c>
      <c r="J13" s="18">
        <f t="shared" si="1"/>
        <v>0</v>
      </c>
      <c r="K13" s="18">
        <f t="shared" si="1"/>
        <v>0</v>
      </c>
      <c r="L13" s="18">
        <f t="shared" si="1"/>
        <v>0</v>
      </c>
      <c r="M13" s="18">
        <f t="shared" si="1"/>
        <v>0</v>
      </c>
      <c r="N13" s="18">
        <f t="shared" si="1"/>
        <v>0</v>
      </c>
      <c r="O13" s="18">
        <f t="shared" si="1"/>
        <v>0</v>
      </c>
      <c r="P13" s="18">
        <f t="shared" si="1"/>
        <v>0</v>
      </c>
      <c r="Q13" s="18">
        <f t="shared" si="1"/>
        <v>0</v>
      </c>
      <c r="R13" s="18">
        <f t="shared" si="1"/>
        <v>0</v>
      </c>
      <c r="S13" s="18">
        <f t="shared" si="1"/>
        <v>0</v>
      </c>
    </row>
    <row r="14" spans="2:19" x14ac:dyDescent="0.25">
      <c r="D14" s="9" t="s">
        <v>286</v>
      </c>
      <c r="E14" s="9" t="s">
        <v>19</v>
      </c>
      <c r="F14" s="9" t="s">
        <v>288</v>
      </c>
      <c r="G14" s="9" t="s">
        <v>296</v>
      </c>
      <c r="H14" s="9" t="s">
        <v>147</v>
      </c>
      <c r="I14" s="108">
        <v>0</v>
      </c>
      <c r="J14" s="18">
        <f t="shared" si="1"/>
        <v>0</v>
      </c>
      <c r="K14" s="18">
        <f t="shared" si="1"/>
        <v>0</v>
      </c>
      <c r="L14" s="18">
        <f t="shared" si="1"/>
        <v>0</v>
      </c>
      <c r="M14" s="18">
        <f t="shared" si="1"/>
        <v>0</v>
      </c>
      <c r="N14" s="18">
        <f t="shared" si="1"/>
        <v>0</v>
      </c>
      <c r="O14" s="18">
        <f t="shared" si="1"/>
        <v>0</v>
      </c>
      <c r="P14" s="18">
        <f t="shared" si="1"/>
        <v>0</v>
      </c>
      <c r="Q14" s="18">
        <f t="shared" si="1"/>
        <v>0</v>
      </c>
      <c r="R14" s="18">
        <f t="shared" si="1"/>
        <v>0</v>
      </c>
      <c r="S14" s="18">
        <f t="shared" si="1"/>
        <v>0</v>
      </c>
    </row>
    <row r="15" spans="2:19" x14ac:dyDescent="0.25">
      <c r="D15" s="9" t="s">
        <v>286</v>
      </c>
      <c r="E15" s="9" t="s">
        <v>18</v>
      </c>
      <c r="F15" s="9" t="s">
        <v>288</v>
      </c>
      <c r="G15" s="9" t="s">
        <v>296</v>
      </c>
      <c r="H15" s="9" t="s">
        <v>147</v>
      </c>
      <c r="I15" s="108">
        <v>1</v>
      </c>
      <c r="J15" s="18">
        <f t="shared" si="1"/>
        <v>1</v>
      </c>
      <c r="K15" s="18">
        <f t="shared" si="1"/>
        <v>1</v>
      </c>
      <c r="L15" s="18">
        <f t="shared" si="1"/>
        <v>1</v>
      </c>
      <c r="M15" s="18">
        <f t="shared" si="1"/>
        <v>1</v>
      </c>
      <c r="N15" s="18">
        <f t="shared" si="1"/>
        <v>1</v>
      </c>
      <c r="O15" s="18">
        <f t="shared" si="1"/>
        <v>1</v>
      </c>
      <c r="P15" s="18">
        <f t="shared" si="1"/>
        <v>1</v>
      </c>
      <c r="Q15" s="18">
        <f t="shared" si="1"/>
        <v>1</v>
      </c>
      <c r="R15" s="18">
        <f t="shared" si="1"/>
        <v>1</v>
      </c>
      <c r="S15" s="18">
        <f t="shared" si="1"/>
        <v>1</v>
      </c>
    </row>
    <row r="16" spans="2:19" x14ac:dyDescent="0.25">
      <c r="D16" s="9" t="s">
        <v>286</v>
      </c>
      <c r="E16" s="9" t="s">
        <v>301</v>
      </c>
      <c r="F16" s="9" t="s">
        <v>288</v>
      </c>
      <c r="G16" s="9" t="s">
        <v>296</v>
      </c>
      <c r="H16" s="9" t="s">
        <v>147</v>
      </c>
      <c r="I16" s="108">
        <v>0</v>
      </c>
      <c r="J16" s="18">
        <f t="shared" si="1"/>
        <v>0</v>
      </c>
      <c r="K16" s="18">
        <f t="shared" si="1"/>
        <v>0</v>
      </c>
      <c r="L16" s="18">
        <f t="shared" si="1"/>
        <v>0</v>
      </c>
      <c r="M16" s="18">
        <f t="shared" si="1"/>
        <v>0</v>
      </c>
      <c r="N16" s="18">
        <f t="shared" si="1"/>
        <v>0</v>
      </c>
      <c r="O16" s="18">
        <f t="shared" si="1"/>
        <v>0</v>
      </c>
      <c r="P16" s="18">
        <f t="shared" si="1"/>
        <v>0</v>
      </c>
      <c r="Q16" s="18">
        <f t="shared" si="1"/>
        <v>0</v>
      </c>
      <c r="R16" s="18">
        <f t="shared" si="1"/>
        <v>0</v>
      </c>
      <c r="S16" s="18">
        <f t="shared" si="1"/>
        <v>0</v>
      </c>
    </row>
    <row r="17" spans="4:19" x14ac:dyDescent="0.25">
      <c r="D17" s="9" t="s">
        <v>289</v>
      </c>
      <c r="E17" s="9" t="s">
        <v>20</v>
      </c>
      <c r="F17" s="9" t="s">
        <v>288</v>
      </c>
      <c r="G17" s="9" t="s">
        <v>296</v>
      </c>
      <c r="H17" s="9" t="s">
        <v>147</v>
      </c>
      <c r="I17" s="108">
        <v>0</v>
      </c>
      <c r="J17" s="18">
        <f t="shared" si="1"/>
        <v>0</v>
      </c>
      <c r="K17" s="18">
        <f t="shared" si="1"/>
        <v>0</v>
      </c>
      <c r="L17" s="18">
        <f t="shared" si="1"/>
        <v>0</v>
      </c>
      <c r="M17" s="18">
        <f t="shared" si="1"/>
        <v>0</v>
      </c>
      <c r="N17" s="18">
        <f t="shared" si="1"/>
        <v>0</v>
      </c>
      <c r="O17" s="18">
        <f t="shared" si="1"/>
        <v>0</v>
      </c>
      <c r="P17" s="18">
        <f t="shared" si="1"/>
        <v>0</v>
      </c>
      <c r="Q17" s="18">
        <f t="shared" si="1"/>
        <v>0</v>
      </c>
      <c r="R17" s="18">
        <f t="shared" si="1"/>
        <v>0</v>
      </c>
      <c r="S17" s="18">
        <f t="shared" si="1"/>
        <v>0</v>
      </c>
    </row>
    <row r="18" spans="4:19" x14ac:dyDescent="0.25">
      <c r="D18" s="9" t="s">
        <v>289</v>
      </c>
      <c r="E18" s="9" t="s">
        <v>19</v>
      </c>
      <c r="F18" s="9" t="s">
        <v>288</v>
      </c>
      <c r="G18" s="9" t="s">
        <v>296</v>
      </c>
      <c r="H18" s="9" t="s">
        <v>147</v>
      </c>
      <c r="I18" s="108">
        <v>0</v>
      </c>
      <c r="J18" s="18">
        <f t="shared" si="1"/>
        <v>0</v>
      </c>
      <c r="K18" s="18">
        <f t="shared" si="1"/>
        <v>0</v>
      </c>
      <c r="L18" s="18">
        <f t="shared" si="1"/>
        <v>0</v>
      </c>
      <c r="M18" s="18">
        <f t="shared" si="1"/>
        <v>0</v>
      </c>
      <c r="N18" s="18">
        <f t="shared" si="1"/>
        <v>0</v>
      </c>
      <c r="O18" s="18">
        <f t="shared" si="1"/>
        <v>0</v>
      </c>
      <c r="P18" s="18">
        <f t="shared" si="1"/>
        <v>0</v>
      </c>
      <c r="Q18" s="18">
        <f t="shared" si="1"/>
        <v>0</v>
      </c>
      <c r="R18" s="18">
        <f t="shared" si="1"/>
        <v>0</v>
      </c>
      <c r="S18" s="18">
        <f t="shared" si="1"/>
        <v>0</v>
      </c>
    </row>
    <row r="19" spans="4:19" x14ac:dyDescent="0.25">
      <c r="D19" s="9" t="s">
        <v>289</v>
      </c>
      <c r="E19" s="9" t="s">
        <v>18</v>
      </c>
      <c r="F19" s="9" t="s">
        <v>288</v>
      </c>
      <c r="G19" s="9" t="s">
        <v>296</v>
      </c>
      <c r="H19" s="9" t="s">
        <v>147</v>
      </c>
      <c r="I19" s="108">
        <v>1</v>
      </c>
      <c r="J19" s="18">
        <f t="shared" si="1"/>
        <v>1</v>
      </c>
      <c r="K19" s="18">
        <f t="shared" si="1"/>
        <v>1</v>
      </c>
      <c r="L19" s="18">
        <f t="shared" si="1"/>
        <v>1</v>
      </c>
      <c r="M19" s="18">
        <f t="shared" si="1"/>
        <v>1</v>
      </c>
      <c r="N19" s="18">
        <f t="shared" si="1"/>
        <v>1</v>
      </c>
      <c r="O19" s="18">
        <f t="shared" si="1"/>
        <v>1</v>
      </c>
      <c r="P19" s="18">
        <f t="shared" si="1"/>
        <v>1</v>
      </c>
      <c r="Q19" s="18">
        <f t="shared" si="1"/>
        <v>1</v>
      </c>
      <c r="R19" s="18">
        <f t="shared" si="1"/>
        <v>1</v>
      </c>
      <c r="S19" s="18">
        <f t="shared" si="1"/>
        <v>1</v>
      </c>
    </row>
    <row r="20" spans="4:19" x14ac:dyDescent="0.25">
      <c r="D20" s="9" t="s">
        <v>289</v>
      </c>
      <c r="E20" s="9" t="s">
        <v>301</v>
      </c>
      <c r="F20" s="9" t="s">
        <v>288</v>
      </c>
      <c r="G20" s="9" t="s">
        <v>296</v>
      </c>
      <c r="H20" s="9" t="s">
        <v>147</v>
      </c>
      <c r="I20" s="108">
        <v>0</v>
      </c>
      <c r="J20" s="18">
        <f t="shared" si="1"/>
        <v>0</v>
      </c>
      <c r="K20" s="18">
        <f t="shared" si="1"/>
        <v>0</v>
      </c>
      <c r="L20" s="18">
        <f t="shared" si="1"/>
        <v>0</v>
      </c>
      <c r="M20" s="18">
        <f t="shared" si="1"/>
        <v>0</v>
      </c>
      <c r="N20" s="18">
        <f t="shared" si="1"/>
        <v>0</v>
      </c>
      <c r="O20" s="18">
        <f t="shared" si="1"/>
        <v>0</v>
      </c>
      <c r="P20" s="18">
        <f t="shared" si="1"/>
        <v>0</v>
      </c>
      <c r="Q20" s="18">
        <f t="shared" si="1"/>
        <v>0</v>
      </c>
      <c r="R20" s="18">
        <f t="shared" si="1"/>
        <v>0</v>
      </c>
      <c r="S20" s="18">
        <f t="shared" si="1"/>
        <v>0</v>
      </c>
    </row>
    <row r="21" spans="4:19" x14ac:dyDescent="0.25">
      <c r="D21" s="9" t="s">
        <v>291</v>
      </c>
      <c r="E21" s="9" t="s">
        <v>20</v>
      </c>
      <c r="F21" s="9" t="s">
        <v>288</v>
      </c>
      <c r="G21" s="9" t="s">
        <v>296</v>
      </c>
      <c r="H21" s="9" t="s">
        <v>147</v>
      </c>
      <c r="I21" s="108">
        <v>0</v>
      </c>
      <c r="J21" s="18">
        <f t="shared" si="1"/>
        <v>0</v>
      </c>
      <c r="K21" s="18">
        <f t="shared" si="1"/>
        <v>0</v>
      </c>
      <c r="L21" s="18">
        <f t="shared" si="1"/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</row>
    <row r="22" spans="4:19" x14ac:dyDescent="0.25">
      <c r="D22" s="9" t="s">
        <v>291</v>
      </c>
      <c r="E22" s="9" t="s">
        <v>19</v>
      </c>
      <c r="F22" s="9" t="s">
        <v>288</v>
      </c>
      <c r="G22" s="9" t="s">
        <v>296</v>
      </c>
      <c r="H22" s="9" t="s">
        <v>147</v>
      </c>
      <c r="I22" s="108">
        <v>0</v>
      </c>
      <c r="J22" s="18">
        <f t="shared" ref="J22:S22" si="2">IF(I22="","",I22)</f>
        <v>0</v>
      </c>
      <c r="K22" s="18">
        <f t="shared" si="2"/>
        <v>0</v>
      </c>
      <c r="L22" s="18">
        <f t="shared" si="2"/>
        <v>0</v>
      </c>
      <c r="M22" s="18">
        <f t="shared" si="2"/>
        <v>0</v>
      </c>
      <c r="N22" s="18">
        <f t="shared" si="2"/>
        <v>0</v>
      </c>
      <c r="O22" s="18">
        <f t="shared" si="2"/>
        <v>0</v>
      </c>
      <c r="P22" s="18">
        <f t="shared" si="2"/>
        <v>0</v>
      </c>
      <c r="Q22" s="18">
        <f t="shared" si="2"/>
        <v>0</v>
      </c>
      <c r="R22" s="18">
        <f t="shared" si="2"/>
        <v>0</v>
      </c>
      <c r="S22" s="18">
        <f t="shared" si="2"/>
        <v>0</v>
      </c>
    </row>
    <row r="23" spans="4:19" x14ac:dyDescent="0.25">
      <c r="D23" s="9" t="s">
        <v>291</v>
      </c>
      <c r="E23" s="9" t="s">
        <v>18</v>
      </c>
      <c r="F23" s="9" t="s">
        <v>288</v>
      </c>
      <c r="G23" s="9" t="s">
        <v>296</v>
      </c>
      <c r="H23" s="9" t="s">
        <v>147</v>
      </c>
      <c r="I23" s="108">
        <v>1</v>
      </c>
      <c r="J23" s="18">
        <f t="shared" ref="J23:S23" si="3">IF(I23="","",I23)</f>
        <v>1</v>
      </c>
      <c r="K23" s="18">
        <f t="shared" si="3"/>
        <v>1</v>
      </c>
      <c r="L23" s="18">
        <f t="shared" si="3"/>
        <v>1</v>
      </c>
      <c r="M23" s="18">
        <f t="shared" si="3"/>
        <v>1</v>
      </c>
      <c r="N23" s="18">
        <f t="shared" si="3"/>
        <v>1</v>
      </c>
      <c r="O23" s="18">
        <f t="shared" si="3"/>
        <v>1</v>
      </c>
      <c r="P23" s="18">
        <f t="shared" si="3"/>
        <v>1</v>
      </c>
      <c r="Q23" s="18">
        <f t="shared" si="3"/>
        <v>1</v>
      </c>
      <c r="R23" s="18">
        <f t="shared" si="3"/>
        <v>1</v>
      </c>
      <c r="S23" s="18">
        <f t="shared" si="3"/>
        <v>1</v>
      </c>
    </row>
    <row r="24" spans="4:19" x14ac:dyDescent="0.25">
      <c r="D24" s="9" t="s">
        <v>291</v>
      </c>
      <c r="E24" s="9" t="s">
        <v>301</v>
      </c>
      <c r="F24" s="9" t="s">
        <v>288</v>
      </c>
      <c r="G24" s="9" t="s">
        <v>296</v>
      </c>
      <c r="H24" s="9" t="s">
        <v>147</v>
      </c>
      <c r="I24" s="108">
        <v>0</v>
      </c>
      <c r="J24" s="18">
        <f t="shared" ref="J24:S24" si="4">IF(I24="","",I24)</f>
        <v>0</v>
      </c>
      <c r="K24" s="18">
        <f t="shared" si="4"/>
        <v>0</v>
      </c>
      <c r="L24" s="18">
        <f t="shared" si="4"/>
        <v>0</v>
      </c>
      <c r="M24" s="18">
        <f t="shared" si="4"/>
        <v>0</v>
      </c>
      <c r="N24" s="18">
        <f t="shared" si="4"/>
        <v>0</v>
      </c>
      <c r="O24" s="18">
        <f t="shared" si="4"/>
        <v>0</v>
      </c>
      <c r="P24" s="18">
        <f t="shared" si="4"/>
        <v>0</v>
      </c>
      <c r="Q24" s="18">
        <f t="shared" si="4"/>
        <v>0</v>
      </c>
      <c r="R24" s="18">
        <f t="shared" si="4"/>
        <v>0</v>
      </c>
      <c r="S24" s="18">
        <f t="shared" si="4"/>
        <v>0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5">IF(I25="","",I25)</f>
        <v/>
      </c>
      <c r="K25" s="18" t="str">
        <f t="shared" si="5"/>
        <v/>
      </c>
      <c r="L25" s="18" t="str">
        <f t="shared" si="5"/>
        <v/>
      </c>
      <c r="M25" s="18" t="str">
        <f t="shared" si="5"/>
        <v/>
      </c>
      <c r="N25" s="18" t="str">
        <f t="shared" si="5"/>
        <v/>
      </c>
      <c r="O25" s="18" t="str">
        <f t="shared" si="5"/>
        <v/>
      </c>
      <c r="P25" s="18" t="str">
        <f t="shared" si="5"/>
        <v/>
      </c>
      <c r="Q25" s="18" t="str">
        <f t="shared" si="5"/>
        <v/>
      </c>
      <c r="R25" s="18" t="str">
        <f t="shared" si="5"/>
        <v/>
      </c>
      <c r="S25" s="18" t="str">
        <f t="shared" si="5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6">IF(I26="","",I26)</f>
        <v/>
      </c>
      <c r="K26" s="18" t="str">
        <f t="shared" si="6"/>
        <v/>
      </c>
      <c r="L26" s="18" t="str">
        <f t="shared" si="6"/>
        <v/>
      </c>
      <c r="M26" s="18" t="str">
        <f t="shared" si="6"/>
        <v/>
      </c>
      <c r="N26" s="18" t="str">
        <f t="shared" si="6"/>
        <v/>
      </c>
      <c r="O26" s="18" t="str">
        <f t="shared" si="6"/>
        <v/>
      </c>
      <c r="P26" s="18" t="str">
        <f t="shared" si="6"/>
        <v/>
      </c>
      <c r="Q26" s="18" t="str">
        <f t="shared" si="6"/>
        <v/>
      </c>
      <c r="R26" s="18" t="str">
        <f t="shared" si="6"/>
        <v/>
      </c>
      <c r="S26" s="18" t="str">
        <f t="shared" si="6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7">IF(I27="","",I27)</f>
        <v/>
      </c>
      <c r="K27" s="18" t="str">
        <f t="shared" si="7"/>
        <v/>
      </c>
      <c r="L27" s="18" t="str">
        <f t="shared" si="7"/>
        <v/>
      </c>
      <c r="M27" s="18" t="str">
        <f t="shared" si="7"/>
        <v/>
      </c>
      <c r="N27" s="18" t="str">
        <f t="shared" si="7"/>
        <v/>
      </c>
      <c r="O27" s="18" t="str">
        <f t="shared" si="7"/>
        <v/>
      </c>
      <c r="P27" s="18" t="str">
        <f t="shared" si="7"/>
        <v/>
      </c>
      <c r="Q27" s="18" t="str">
        <f t="shared" si="7"/>
        <v/>
      </c>
      <c r="R27" s="18" t="str">
        <f t="shared" si="7"/>
        <v/>
      </c>
      <c r="S27" s="18" t="str">
        <f t="shared" si="7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8">IF(I28="","",I28)</f>
        <v/>
      </c>
      <c r="K28" s="18" t="str">
        <f t="shared" si="8"/>
        <v/>
      </c>
      <c r="L28" s="18" t="str">
        <f t="shared" si="8"/>
        <v/>
      </c>
      <c r="M28" s="18" t="str">
        <f t="shared" si="8"/>
        <v/>
      </c>
      <c r="N28" s="18" t="str">
        <f t="shared" si="8"/>
        <v/>
      </c>
      <c r="O28" s="18" t="str">
        <f t="shared" si="8"/>
        <v/>
      </c>
      <c r="P28" s="18" t="str">
        <f t="shared" si="8"/>
        <v/>
      </c>
      <c r="Q28" s="18" t="str">
        <f t="shared" si="8"/>
        <v/>
      </c>
      <c r="R28" s="18" t="str">
        <f t="shared" si="8"/>
        <v/>
      </c>
      <c r="S28" s="18" t="str">
        <f t="shared" si="8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9">IF(I29="","",I29)</f>
        <v/>
      </c>
      <c r="K29" s="18" t="str">
        <f t="shared" si="9"/>
        <v/>
      </c>
      <c r="L29" s="18" t="str">
        <f t="shared" si="9"/>
        <v/>
      </c>
      <c r="M29" s="18" t="str">
        <f t="shared" si="9"/>
        <v/>
      </c>
      <c r="N29" s="18" t="str">
        <f t="shared" si="9"/>
        <v/>
      </c>
      <c r="O29" s="18" t="str">
        <f t="shared" si="9"/>
        <v/>
      </c>
      <c r="P29" s="18" t="str">
        <f t="shared" si="9"/>
        <v/>
      </c>
      <c r="Q29" s="18" t="str">
        <f t="shared" si="9"/>
        <v/>
      </c>
      <c r="R29" s="18" t="str">
        <f t="shared" si="9"/>
        <v/>
      </c>
      <c r="S29" s="18" t="str">
        <f t="shared" si="9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10">IF(I30="","",I30)</f>
        <v/>
      </c>
      <c r="K30" s="18" t="str">
        <f t="shared" si="10"/>
        <v/>
      </c>
      <c r="L30" s="18" t="str">
        <f t="shared" si="10"/>
        <v/>
      </c>
      <c r="M30" s="18" t="str">
        <f t="shared" si="10"/>
        <v/>
      </c>
      <c r="N30" s="18" t="str">
        <f t="shared" si="10"/>
        <v/>
      </c>
      <c r="O30" s="18" t="str">
        <f t="shared" si="10"/>
        <v/>
      </c>
      <c r="P30" s="18" t="str">
        <f t="shared" si="10"/>
        <v/>
      </c>
      <c r="Q30" s="18" t="str">
        <f t="shared" si="10"/>
        <v/>
      </c>
      <c r="R30" s="18" t="str">
        <f t="shared" si="10"/>
        <v/>
      </c>
      <c r="S30" s="18" t="str">
        <f t="shared" si="10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11">IF(I31="","",I31)</f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  <c r="R31" s="18" t="str">
        <f t="shared" si="11"/>
        <v/>
      </c>
      <c r="S31" s="18" t="str">
        <f t="shared" si="11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2">IF(I32="","",I32)</f>
        <v/>
      </c>
      <c r="K32" s="18" t="str">
        <f t="shared" si="12"/>
        <v/>
      </c>
      <c r="L32" s="18" t="str">
        <f t="shared" si="12"/>
        <v/>
      </c>
      <c r="M32" s="18" t="str">
        <f t="shared" si="12"/>
        <v/>
      </c>
      <c r="N32" s="18" t="str">
        <f t="shared" si="12"/>
        <v/>
      </c>
      <c r="O32" s="18" t="str">
        <f t="shared" si="12"/>
        <v/>
      </c>
      <c r="P32" s="18" t="str">
        <f t="shared" si="12"/>
        <v/>
      </c>
      <c r="Q32" s="18" t="str">
        <f t="shared" si="12"/>
        <v/>
      </c>
      <c r="R32" s="18" t="str">
        <f t="shared" si="12"/>
        <v/>
      </c>
      <c r="S32" s="18" t="str">
        <f t="shared" si="12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3">IF(I33="","",I33)</f>
        <v/>
      </c>
      <c r="K33" s="18" t="str">
        <f t="shared" si="13"/>
        <v/>
      </c>
      <c r="L33" s="18" t="str">
        <f t="shared" si="13"/>
        <v/>
      </c>
      <c r="M33" s="18" t="str">
        <f t="shared" si="13"/>
        <v/>
      </c>
      <c r="N33" s="18" t="str">
        <f t="shared" si="13"/>
        <v/>
      </c>
      <c r="O33" s="18" t="str">
        <f t="shared" si="13"/>
        <v/>
      </c>
      <c r="P33" s="18" t="str">
        <f t="shared" si="13"/>
        <v/>
      </c>
      <c r="Q33" s="18" t="str">
        <f t="shared" si="13"/>
        <v/>
      </c>
      <c r="R33" s="18" t="str">
        <f t="shared" si="13"/>
        <v/>
      </c>
      <c r="S33" s="18" t="str">
        <f t="shared" si="13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4">IF(I34="","",I34)</f>
        <v/>
      </c>
      <c r="K34" s="18" t="str">
        <f t="shared" si="14"/>
        <v/>
      </c>
      <c r="L34" s="18" t="str">
        <f t="shared" si="14"/>
        <v/>
      </c>
      <c r="M34" s="18" t="str">
        <f t="shared" si="14"/>
        <v/>
      </c>
      <c r="N34" s="18" t="str">
        <f t="shared" si="14"/>
        <v/>
      </c>
      <c r="O34" s="18" t="str">
        <f t="shared" si="14"/>
        <v/>
      </c>
      <c r="P34" s="18" t="str">
        <f t="shared" si="14"/>
        <v/>
      </c>
      <c r="Q34" s="18" t="str">
        <f t="shared" si="14"/>
        <v/>
      </c>
      <c r="R34" s="18" t="str">
        <f t="shared" si="14"/>
        <v/>
      </c>
      <c r="S34" s="18" t="str">
        <f t="shared" si="14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5">IF(I35="","",I35)</f>
        <v/>
      </c>
      <c r="K35" s="18" t="str">
        <f t="shared" si="15"/>
        <v/>
      </c>
      <c r="L35" s="18" t="str">
        <f t="shared" si="15"/>
        <v/>
      </c>
      <c r="M35" s="18" t="str">
        <f t="shared" si="15"/>
        <v/>
      </c>
      <c r="N35" s="18" t="str">
        <f t="shared" si="15"/>
        <v/>
      </c>
      <c r="O35" s="18" t="str">
        <f t="shared" si="15"/>
        <v/>
      </c>
      <c r="P35" s="18" t="str">
        <f t="shared" si="15"/>
        <v/>
      </c>
      <c r="Q35" s="18" t="str">
        <f t="shared" si="15"/>
        <v/>
      </c>
      <c r="R35" s="18" t="str">
        <f t="shared" si="15"/>
        <v/>
      </c>
      <c r="S35" s="18" t="str">
        <f t="shared" si="15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6">IF(I36="","",I36)</f>
        <v/>
      </c>
      <c r="K36" s="18" t="str">
        <f t="shared" si="16"/>
        <v/>
      </c>
      <c r="L36" s="18" t="str">
        <f t="shared" si="16"/>
        <v/>
      </c>
      <c r="M36" s="18" t="str">
        <f t="shared" si="16"/>
        <v/>
      </c>
      <c r="N36" s="18" t="str">
        <f t="shared" si="16"/>
        <v/>
      </c>
      <c r="O36" s="18" t="str">
        <f t="shared" si="16"/>
        <v/>
      </c>
      <c r="P36" s="18" t="str">
        <f t="shared" si="16"/>
        <v/>
      </c>
      <c r="Q36" s="18" t="str">
        <f t="shared" si="16"/>
        <v/>
      </c>
      <c r="R36" s="18" t="str">
        <f t="shared" si="16"/>
        <v/>
      </c>
      <c r="S36" s="18" t="str">
        <f t="shared" si="16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17">IF(I37="","",I37)</f>
        <v/>
      </c>
      <c r="K37" s="18" t="str">
        <f t="shared" si="17"/>
        <v/>
      </c>
      <c r="L37" s="18" t="str">
        <f t="shared" si="17"/>
        <v/>
      </c>
      <c r="M37" s="18" t="str">
        <f t="shared" si="17"/>
        <v/>
      </c>
      <c r="N37" s="18" t="str">
        <f t="shared" si="17"/>
        <v/>
      </c>
      <c r="O37" s="18" t="str">
        <f t="shared" si="17"/>
        <v/>
      </c>
      <c r="P37" s="18" t="str">
        <f t="shared" si="17"/>
        <v/>
      </c>
      <c r="Q37" s="18" t="str">
        <f t="shared" si="17"/>
        <v/>
      </c>
      <c r="R37" s="18" t="str">
        <f t="shared" si="17"/>
        <v/>
      </c>
      <c r="S37" s="18" t="str">
        <f t="shared" si="17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18">IF(I38="","",I38)</f>
        <v/>
      </c>
      <c r="K38" s="18" t="str">
        <f t="shared" si="18"/>
        <v/>
      </c>
      <c r="L38" s="18" t="str">
        <f t="shared" si="18"/>
        <v/>
      </c>
      <c r="M38" s="18" t="str">
        <f t="shared" si="18"/>
        <v/>
      </c>
      <c r="N38" s="18" t="str">
        <f t="shared" si="18"/>
        <v/>
      </c>
      <c r="O38" s="18" t="str">
        <f t="shared" si="18"/>
        <v/>
      </c>
      <c r="P38" s="18" t="str">
        <f t="shared" si="18"/>
        <v/>
      </c>
      <c r="Q38" s="18" t="str">
        <f t="shared" si="18"/>
        <v/>
      </c>
      <c r="R38" s="18" t="str">
        <f t="shared" si="18"/>
        <v/>
      </c>
      <c r="S38" s="18" t="str">
        <f t="shared" si="18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19">IF(I39="","",I39)</f>
        <v/>
      </c>
      <c r="K39" s="18" t="str">
        <f t="shared" si="19"/>
        <v/>
      </c>
      <c r="L39" s="18" t="str">
        <f t="shared" si="19"/>
        <v/>
      </c>
      <c r="M39" s="18" t="str">
        <f t="shared" si="19"/>
        <v/>
      </c>
      <c r="N39" s="18" t="str">
        <f t="shared" si="19"/>
        <v/>
      </c>
      <c r="O39" s="18" t="str">
        <f t="shared" si="19"/>
        <v/>
      </c>
      <c r="P39" s="18" t="str">
        <f t="shared" si="19"/>
        <v/>
      </c>
      <c r="Q39" s="18" t="str">
        <f t="shared" si="19"/>
        <v/>
      </c>
      <c r="R39" s="18" t="str">
        <f t="shared" si="19"/>
        <v/>
      </c>
      <c r="S39" s="18" t="str">
        <f t="shared" si="19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20">IF(I40="","",I40)</f>
        <v/>
      </c>
      <c r="K40" s="18" t="str">
        <f t="shared" si="20"/>
        <v/>
      </c>
      <c r="L40" s="18" t="str">
        <f t="shared" si="20"/>
        <v/>
      </c>
      <c r="M40" s="18" t="str">
        <f t="shared" si="20"/>
        <v/>
      </c>
      <c r="N40" s="18" t="str">
        <f t="shared" si="20"/>
        <v/>
      </c>
      <c r="O40" s="18" t="str">
        <f t="shared" si="20"/>
        <v/>
      </c>
      <c r="P40" s="18" t="str">
        <f t="shared" si="20"/>
        <v/>
      </c>
      <c r="Q40" s="18" t="str">
        <f t="shared" si="20"/>
        <v/>
      </c>
      <c r="R40" s="18" t="str">
        <f t="shared" si="20"/>
        <v/>
      </c>
      <c r="S40" s="18" t="str">
        <f t="shared" si="20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21">IF(I41="","",I41)</f>
        <v/>
      </c>
      <c r="K41" s="18" t="str">
        <f t="shared" si="21"/>
        <v/>
      </c>
      <c r="L41" s="18" t="str">
        <f t="shared" si="21"/>
        <v/>
      </c>
      <c r="M41" s="18" t="str">
        <f t="shared" si="21"/>
        <v/>
      </c>
      <c r="N41" s="18" t="str">
        <f t="shared" si="21"/>
        <v/>
      </c>
      <c r="O41" s="18" t="str">
        <f t="shared" si="21"/>
        <v/>
      </c>
      <c r="P41" s="18" t="str">
        <f t="shared" si="21"/>
        <v/>
      </c>
      <c r="Q41" s="18" t="str">
        <f t="shared" si="21"/>
        <v/>
      </c>
      <c r="R41" s="18" t="str">
        <f t="shared" si="21"/>
        <v/>
      </c>
      <c r="S41" s="18" t="str">
        <f t="shared" si="21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2">IF(I42="","",I42)</f>
        <v/>
      </c>
      <c r="K42" s="18" t="str">
        <f t="shared" si="22"/>
        <v/>
      </c>
      <c r="L42" s="18" t="str">
        <f t="shared" si="22"/>
        <v/>
      </c>
      <c r="M42" s="18" t="str">
        <f t="shared" si="22"/>
        <v/>
      </c>
      <c r="N42" s="18" t="str">
        <f t="shared" si="22"/>
        <v/>
      </c>
      <c r="O42" s="18" t="str">
        <f t="shared" si="22"/>
        <v/>
      </c>
      <c r="P42" s="18" t="str">
        <f t="shared" si="22"/>
        <v/>
      </c>
      <c r="Q42" s="18" t="str">
        <f t="shared" si="22"/>
        <v/>
      </c>
      <c r="R42" s="18" t="str">
        <f t="shared" si="22"/>
        <v/>
      </c>
      <c r="S42" s="18" t="str">
        <f t="shared" si="22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3">IF(I43="","",I43)</f>
        <v/>
      </c>
      <c r="K43" s="18" t="str">
        <f t="shared" si="23"/>
        <v/>
      </c>
      <c r="L43" s="18" t="str">
        <f t="shared" si="23"/>
        <v/>
      </c>
      <c r="M43" s="18" t="str">
        <f t="shared" si="23"/>
        <v/>
      </c>
      <c r="N43" s="18" t="str">
        <f t="shared" si="23"/>
        <v/>
      </c>
      <c r="O43" s="18" t="str">
        <f t="shared" si="23"/>
        <v/>
      </c>
      <c r="P43" s="18" t="str">
        <f t="shared" si="23"/>
        <v/>
      </c>
      <c r="Q43" s="18" t="str">
        <f t="shared" si="23"/>
        <v/>
      </c>
      <c r="R43" s="18" t="str">
        <f t="shared" si="23"/>
        <v/>
      </c>
      <c r="S43" s="18" t="str">
        <f t="shared" si="23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4">IF(I44="","",I44)</f>
        <v/>
      </c>
      <c r="K44" s="18" t="str">
        <f t="shared" si="24"/>
        <v/>
      </c>
      <c r="L44" s="18" t="str">
        <f t="shared" si="24"/>
        <v/>
      </c>
      <c r="M44" s="18" t="str">
        <f t="shared" si="24"/>
        <v/>
      </c>
      <c r="N44" s="18" t="str">
        <f t="shared" si="24"/>
        <v/>
      </c>
      <c r="O44" s="18" t="str">
        <f t="shared" si="24"/>
        <v/>
      </c>
      <c r="P44" s="18" t="str">
        <f t="shared" si="24"/>
        <v/>
      </c>
      <c r="Q44" s="18" t="str">
        <f t="shared" si="24"/>
        <v/>
      </c>
      <c r="R44" s="18" t="str">
        <f t="shared" si="24"/>
        <v/>
      </c>
      <c r="S44" s="18" t="str">
        <f t="shared" si="24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5">IF(I45="","",I45)</f>
        <v/>
      </c>
      <c r="K45" s="18" t="str">
        <f t="shared" si="25"/>
        <v/>
      </c>
      <c r="L45" s="18" t="str">
        <f t="shared" si="25"/>
        <v/>
      </c>
      <c r="M45" s="18" t="str">
        <f t="shared" si="25"/>
        <v/>
      </c>
      <c r="N45" s="18" t="str">
        <f t="shared" si="25"/>
        <v/>
      </c>
      <c r="O45" s="18" t="str">
        <f t="shared" si="25"/>
        <v/>
      </c>
      <c r="P45" s="18" t="str">
        <f t="shared" si="25"/>
        <v/>
      </c>
      <c r="Q45" s="18" t="str">
        <f t="shared" si="25"/>
        <v/>
      </c>
      <c r="R45" s="18" t="str">
        <f t="shared" si="25"/>
        <v/>
      </c>
      <c r="S45" s="18" t="str">
        <f t="shared" si="25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6">IF(I46="","",I46)</f>
        <v/>
      </c>
      <c r="K46" s="18" t="str">
        <f t="shared" si="26"/>
        <v/>
      </c>
      <c r="L46" s="18" t="str">
        <f t="shared" si="26"/>
        <v/>
      </c>
      <c r="M46" s="18" t="str">
        <f t="shared" si="26"/>
        <v/>
      </c>
      <c r="N46" s="18" t="str">
        <f t="shared" si="26"/>
        <v/>
      </c>
      <c r="O46" s="18" t="str">
        <f t="shared" si="26"/>
        <v/>
      </c>
      <c r="P46" s="18" t="str">
        <f t="shared" si="26"/>
        <v/>
      </c>
      <c r="Q46" s="18" t="str">
        <f t="shared" si="26"/>
        <v/>
      </c>
      <c r="R46" s="18" t="str">
        <f t="shared" si="26"/>
        <v/>
      </c>
      <c r="S46" s="18" t="str">
        <f t="shared" si="26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27">IF(I47="","",I47)</f>
        <v/>
      </c>
      <c r="K47" s="18" t="str">
        <f t="shared" si="27"/>
        <v/>
      </c>
      <c r="L47" s="18" t="str">
        <f t="shared" si="27"/>
        <v/>
      </c>
      <c r="M47" s="18" t="str">
        <f t="shared" si="27"/>
        <v/>
      </c>
      <c r="N47" s="18" t="str">
        <f t="shared" si="27"/>
        <v/>
      </c>
      <c r="O47" s="18" t="str">
        <f t="shared" si="27"/>
        <v/>
      </c>
      <c r="P47" s="18" t="str">
        <f t="shared" si="27"/>
        <v/>
      </c>
      <c r="Q47" s="18" t="str">
        <f t="shared" si="27"/>
        <v/>
      </c>
      <c r="R47" s="18" t="str">
        <f t="shared" si="27"/>
        <v/>
      </c>
      <c r="S47" s="18" t="str">
        <f t="shared" si="27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28">IF(I48="","",I48)</f>
        <v/>
      </c>
      <c r="K48" s="18" t="str">
        <f t="shared" si="28"/>
        <v/>
      </c>
      <c r="L48" s="18" t="str">
        <f t="shared" si="28"/>
        <v/>
      </c>
      <c r="M48" s="18" t="str">
        <f t="shared" si="28"/>
        <v/>
      </c>
      <c r="N48" s="18" t="str">
        <f t="shared" si="28"/>
        <v/>
      </c>
      <c r="O48" s="18" t="str">
        <f t="shared" si="28"/>
        <v/>
      </c>
      <c r="P48" s="18" t="str">
        <f t="shared" si="28"/>
        <v/>
      </c>
      <c r="Q48" s="18" t="str">
        <f t="shared" si="28"/>
        <v/>
      </c>
      <c r="R48" s="18" t="str">
        <f t="shared" si="28"/>
        <v/>
      </c>
      <c r="S48" s="18" t="str">
        <f t="shared" si="28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29">IF(I49="","",I49)</f>
        <v/>
      </c>
      <c r="K49" s="18" t="str">
        <f t="shared" si="29"/>
        <v/>
      </c>
      <c r="L49" s="18" t="str">
        <f t="shared" si="29"/>
        <v/>
      </c>
      <c r="M49" s="18" t="str">
        <f t="shared" si="29"/>
        <v/>
      </c>
      <c r="N49" s="18" t="str">
        <f t="shared" si="29"/>
        <v/>
      </c>
      <c r="O49" s="18" t="str">
        <f t="shared" si="29"/>
        <v/>
      </c>
      <c r="P49" s="18" t="str">
        <f t="shared" si="29"/>
        <v/>
      </c>
      <c r="Q49" s="18" t="str">
        <f t="shared" si="29"/>
        <v/>
      </c>
      <c r="R49" s="18" t="str">
        <f t="shared" si="29"/>
        <v/>
      </c>
      <c r="S49" s="18" t="str">
        <f t="shared" si="29"/>
        <v/>
      </c>
    </row>
    <row r="50" spans="4:19" ht="15.75" thickBot="1" x14ac:dyDescent="0.3">
      <c r="D50" s="10"/>
      <c r="E50" s="10"/>
      <c r="F50" s="10"/>
      <c r="G50" s="10"/>
      <c r="H50" s="10"/>
      <c r="I50" s="43"/>
      <c r="J50" s="43" t="str">
        <f t="shared" ref="J50:S50" si="30">IF(I50="","",I50)</f>
        <v/>
      </c>
      <c r="K50" s="43" t="str">
        <f t="shared" si="30"/>
        <v/>
      </c>
      <c r="L50" s="43" t="str">
        <f t="shared" si="30"/>
        <v/>
      </c>
      <c r="M50" s="43" t="str">
        <f t="shared" si="30"/>
        <v/>
      </c>
      <c r="N50" s="43" t="str">
        <f t="shared" si="30"/>
        <v/>
      </c>
      <c r="O50" s="43" t="str">
        <f t="shared" si="30"/>
        <v/>
      </c>
      <c r="P50" s="43" t="str">
        <f t="shared" si="30"/>
        <v/>
      </c>
      <c r="Q50" s="43" t="str">
        <f t="shared" si="30"/>
        <v/>
      </c>
      <c r="R50" s="43" t="str">
        <f t="shared" si="30"/>
        <v/>
      </c>
      <c r="S50" s="43" t="str">
        <f t="shared" si="30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9"/>
  <sheetViews>
    <sheetView workbookViewId="0">
      <selection activeCell="H7" sqref="H7"/>
    </sheetView>
  </sheetViews>
  <sheetFormatPr baseColWidth="10" defaultColWidth="11.5703125" defaultRowHeight="15" outlineLevelCol="1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 outlineLevel="1"/>
    <col min="19" max="16384" width="11.5703125" style="5"/>
  </cols>
  <sheetData>
    <row r="1" spans="2:19" s="92" customFormat="1" ht="24.95" customHeight="1" x14ac:dyDescent="0.25">
      <c r="B1" s="94" t="s">
        <v>281</v>
      </c>
    </row>
    <row r="3" spans="2:19" ht="15.75" thickBot="1" x14ac:dyDescent="0.3">
      <c r="D3" s="38" t="str">
        <f>JESA_UploadTable(B1,D4:S76,db)</f>
        <v>Beneficiation opex &amp; specific consumptions @16:45:56</v>
      </c>
    </row>
    <row r="4" spans="2:19" ht="30" customHeight="1" thickBot="1" x14ac:dyDescent="0.3">
      <c r="D4" s="97" t="s">
        <v>25</v>
      </c>
      <c r="E4" s="97" t="s">
        <v>279</v>
      </c>
      <c r="F4" s="96" t="s">
        <v>280</v>
      </c>
      <c r="G4" s="96" t="s">
        <v>12</v>
      </c>
      <c r="H4" s="96" t="s">
        <v>17</v>
      </c>
      <c r="I4" s="109" t="s">
        <v>37</v>
      </c>
      <c r="J4" s="109" t="s">
        <v>38</v>
      </c>
      <c r="K4" s="109" t="s">
        <v>39</v>
      </c>
      <c r="L4" s="109" t="s">
        <v>40</v>
      </c>
      <c r="M4" s="109" t="s">
        <v>41</v>
      </c>
      <c r="N4" s="109" t="s">
        <v>42</v>
      </c>
      <c r="O4" s="109" t="s">
        <v>43</v>
      </c>
      <c r="P4" s="109" t="s">
        <v>44</v>
      </c>
      <c r="Q4" s="109" t="s">
        <v>45</v>
      </c>
      <c r="R4" s="109" t="s">
        <v>46</v>
      </c>
      <c r="S4" s="109" t="s">
        <v>47</v>
      </c>
    </row>
    <row r="5" spans="2:19" x14ac:dyDescent="0.25">
      <c r="D5" s="8" t="s">
        <v>294</v>
      </c>
      <c r="E5" s="8" t="s">
        <v>20</v>
      </c>
      <c r="F5" s="8" t="s">
        <v>288</v>
      </c>
      <c r="G5" s="8" t="s">
        <v>22</v>
      </c>
      <c r="H5" s="8" t="s">
        <v>133</v>
      </c>
      <c r="I5" s="17">
        <f>55/9.5</f>
        <v>5.7894736842105265</v>
      </c>
      <c r="J5" s="17">
        <f>I5</f>
        <v>5.7894736842105265</v>
      </c>
      <c r="K5" s="17">
        <f t="shared" ref="K5:S6" si="0">J5</f>
        <v>5.7894736842105265</v>
      </c>
      <c r="L5" s="17">
        <f t="shared" si="0"/>
        <v>5.7894736842105265</v>
      </c>
      <c r="M5" s="17">
        <f t="shared" si="0"/>
        <v>5.7894736842105265</v>
      </c>
      <c r="N5" s="17">
        <f t="shared" si="0"/>
        <v>5.7894736842105265</v>
      </c>
      <c r="O5" s="17">
        <f t="shared" si="0"/>
        <v>5.7894736842105265</v>
      </c>
      <c r="P5" s="17">
        <f t="shared" si="0"/>
        <v>5.7894736842105265</v>
      </c>
      <c r="Q5" s="17">
        <f t="shared" si="0"/>
        <v>5.7894736842105265</v>
      </c>
      <c r="R5" s="17">
        <f t="shared" si="0"/>
        <v>5.7894736842105265</v>
      </c>
      <c r="S5" s="17">
        <f t="shared" si="0"/>
        <v>5.7894736842105265</v>
      </c>
    </row>
    <row r="6" spans="2:19" x14ac:dyDescent="0.25">
      <c r="D6" s="9" t="s">
        <v>294</v>
      </c>
      <c r="E6" s="9" t="s">
        <v>19</v>
      </c>
      <c r="F6" s="9" t="s">
        <v>288</v>
      </c>
      <c r="G6" s="9" t="s">
        <v>22</v>
      </c>
      <c r="H6" s="9" t="s">
        <v>133</v>
      </c>
      <c r="I6" s="18">
        <f t="shared" ref="I6:I24" si="1">55/9.5</f>
        <v>5.7894736842105265</v>
      </c>
      <c r="J6" s="18">
        <f>I6</f>
        <v>5.7894736842105265</v>
      </c>
      <c r="K6" s="18">
        <f t="shared" si="0"/>
        <v>5.7894736842105265</v>
      </c>
      <c r="L6" s="18">
        <f t="shared" si="0"/>
        <v>5.7894736842105265</v>
      </c>
      <c r="M6" s="18">
        <f t="shared" si="0"/>
        <v>5.7894736842105265</v>
      </c>
      <c r="N6" s="18">
        <f t="shared" si="0"/>
        <v>5.7894736842105265</v>
      </c>
      <c r="O6" s="18">
        <f t="shared" si="0"/>
        <v>5.7894736842105265</v>
      </c>
      <c r="P6" s="18">
        <f t="shared" si="0"/>
        <v>5.7894736842105265</v>
      </c>
      <c r="Q6" s="18">
        <f t="shared" si="0"/>
        <v>5.7894736842105265</v>
      </c>
      <c r="R6" s="18">
        <f t="shared" si="0"/>
        <v>5.7894736842105265</v>
      </c>
      <c r="S6" s="18">
        <f t="shared" si="0"/>
        <v>5.7894736842105265</v>
      </c>
    </row>
    <row r="7" spans="2:19" x14ac:dyDescent="0.25">
      <c r="D7" s="9" t="s">
        <v>294</v>
      </c>
      <c r="E7" s="9" t="s">
        <v>18</v>
      </c>
      <c r="F7" s="9" t="s">
        <v>288</v>
      </c>
      <c r="G7" s="9" t="s">
        <v>22</v>
      </c>
      <c r="H7" s="9" t="s">
        <v>133</v>
      </c>
      <c r="I7" s="18">
        <f t="shared" si="1"/>
        <v>5.7894736842105265</v>
      </c>
      <c r="J7" s="18">
        <f t="shared" ref="J7:S24" si="2">I7</f>
        <v>5.7894736842105265</v>
      </c>
      <c r="K7" s="18">
        <f t="shared" si="2"/>
        <v>5.7894736842105265</v>
      </c>
      <c r="L7" s="18">
        <f t="shared" si="2"/>
        <v>5.7894736842105265</v>
      </c>
      <c r="M7" s="18">
        <f t="shared" si="2"/>
        <v>5.7894736842105265</v>
      </c>
      <c r="N7" s="18">
        <f t="shared" si="2"/>
        <v>5.7894736842105265</v>
      </c>
      <c r="O7" s="18">
        <f t="shared" si="2"/>
        <v>5.7894736842105265</v>
      </c>
      <c r="P7" s="18">
        <f t="shared" si="2"/>
        <v>5.7894736842105265</v>
      </c>
      <c r="Q7" s="18">
        <f t="shared" si="2"/>
        <v>5.7894736842105265</v>
      </c>
      <c r="R7" s="18">
        <f t="shared" si="2"/>
        <v>5.7894736842105265</v>
      </c>
      <c r="S7" s="18">
        <f t="shared" si="2"/>
        <v>5.7894736842105265</v>
      </c>
    </row>
    <row r="8" spans="2:19" ht="15.75" thickBot="1" x14ac:dyDescent="0.3">
      <c r="D8" s="9" t="s">
        <v>294</v>
      </c>
      <c r="E8" s="9" t="s">
        <v>301</v>
      </c>
      <c r="F8" s="9" t="s">
        <v>288</v>
      </c>
      <c r="G8" s="9" t="s">
        <v>22</v>
      </c>
      <c r="H8" s="9" t="s">
        <v>133</v>
      </c>
      <c r="I8" s="18">
        <f t="shared" si="1"/>
        <v>5.7894736842105265</v>
      </c>
      <c r="J8" s="18">
        <f t="shared" ref="J8:S8" si="3">I8</f>
        <v>5.7894736842105265</v>
      </c>
      <c r="K8" s="18">
        <f t="shared" si="3"/>
        <v>5.7894736842105265</v>
      </c>
      <c r="L8" s="18">
        <f t="shared" si="3"/>
        <v>5.7894736842105265</v>
      </c>
      <c r="M8" s="18">
        <f t="shared" si="3"/>
        <v>5.7894736842105265</v>
      </c>
      <c r="N8" s="18">
        <f t="shared" si="3"/>
        <v>5.7894736842105265</v>
      </c>
      <c r="O8" s="18">
        <f t="shared" si="3"/>
        <v>5.7894736842105265</v>
      </c>
      <c r="P8" s="18">
        <f t="shared" si="3"/>
        <v>5.7894736842105265</v>
      </c>
      <c r="Q8" s="18">
        <f t="shared" si="3"/>
        <v>5.7894736842105265</v>
      </c>
      <c r="R8" s="18">
        <f t="shared" si="3"/>
        <v>5.7894736842105265</v>
      </c>
      <c r="S8" s="18">
        <f t="shared" si="3"/>
        <v>5.7894736842105265</v>
      </c>
    </row>
    <row r="9" spans="2:19" x14ac:dyDescent="0.25">
      <c r="D9" s="9" t="s">
        <v>283</v>
      </c>
      <c r="E9" s="8" t="s">
        <v>20</v>
      </c>
      <c r="F9" s="9" t="s">
        <v>288</v>
      </c>
      <c r="G9" s="9" t="s">
        <v>22</v>
      </c>
      <c r="H9" s="9" t="s">
        <v>133</v>
      </c>
      <c r="I9" s="18">
        <f t="shared" si="1"/>
        <v>5.7894736842105265</v>
      </c>
      <c r="J9" s="18">
        <f t="shared" si="2"/>
        <v>5.7894736842105265</v>
      </c>
      <c r="K9" s="18">
        <f t="shared" si="2"/>
        <v>5.7894736842105265</v>
      </c>
      <c r="L9" s="18">
        <f t="shared" si="2"/>
        <v>5.7894736842105265</v>
      </c>
      <c r="M9" s="18">
        <f t="shared" si="2"/>
        <v>5.7894736842105265</v>
      </c>
      <c r="N9" s="18">
        <f t="shared" si="2"/>
        <v>5.7894736842105265</v>
      </c>
      <c r="O9" s="18">
        <f t="shared" si="2"/>
        <v>5.7894736842105265</v>
      </c>
      <c r="P9" s="18">
        <f t="shared" si="2"/>
        <v>5.7894736842105265</v>
      </c>
      <c r="Q9" s="18">
        <f t="shared" si="2"/>
        <v>5.7894736842105265</v>
      </c>
      <c r="R9" s="18">
        <f t="shared" si="2"/>
        <v>5.7894736842105265</v>
      </c>
      <c r="S9" s="18">
        <f t="shared" si="2"/>
        <v>5.7894736842105265</v>
      </c>
    </row>
    <row r="10" spans="2:19" x14ac:dyDescent="0.25">
      <c r="D10" s="9" t="s">
        <v>283</v>
      </c>
      <c r="E10" s="9" t="s">
        <v>19</v>
      </c>
      <c r="F10" s="9" t="s">
        <v>288</v>
      </c>
      <c r="G10" s="9" t="s">
        <v>22</v>
      </c>
      <c r="H10" s="9" t="s">
        <v>133</v>
      </c>
      <c r="I10" s="18">
        <f t="shared" si="1"/>
        <v>5.7894736842105265</v>
      </c>
      <c r="J10" s="18">
        <f t="shared" si="2"/>
        <v>5.7894736842105265</v>
      </c>
      <c r="K10" s="18">
        <f t="shared" si="2"/>
        <v>5.7894736842105265</v>
      </c>
      <c r="L10" s="18">
        <f t="shared" si="2"/>
        <v>5.7894736842105265</v>
      </c>
      <c r="M10" s="18">
        <f t="shared" si="2"/>
        <v>5.7894736842105265</v>
      </c>
      <c r="N10" s="18">
        <f t="shared" si="2"/>
        <v>5.7894736842105265</v>
      </c>
      <c r="O10" s="18">
        <f t="shared" si="2"/>
        <v>5.7894736842105265</v>
      </c>
      <c r="P10" s="18">
        <f t="shared" si="2"/>
        <v>5.7894736842105265</v>
      </c>
      <c r="Q10" s="18">
        <f t="shared" si="2"/>
        <v>5.7894736842105265</v>
      </c>
      <c r="R10" s="18">
        <f t="shared" si="2"/>
        <v>5.7894736842105265</v>
      </c>
      <c r="S10" s="18">
        <f t="shared" si="2"/>
        <v>5.7894736842105265</v>
      </c>
    </row>
    <row r="11" spans="2:19" x14ac:dyDescent="0.25">
      <c r="D11" s="9" t="s">
        <v>283</v>
      </c>
      <c r="E11" s="9" t="s">
        <v>18</v>
      </c>
      <c r="F11" s="9" t="s">
        <v>288</v>
      </c>
      <c r="G11" s="9" t="s">
        <v>22</v>
      </c>
      <c r="H11" s="9" t="s">
        <v>133</v>
      </c>
      <c r="I11" s="18">
        <f t="shared" si="1"/>
        <v>5.7894736842105265</v>
      </c>
      <c r="J11" s="18">
        <f t="shared" ref="J11:S11" si="4">I11</f>
        <v>5.7894736842105265</v>
      </c>
      <c r="K11" s="18">
        <f t="shared" si="4"/>
        <v>5.7894736842105265</v>
      </c>
      <c r="L11" s="18">
        <f t="shared" si="4"/>
        <v>5.7894736842105265</v>
      </c>
      <c r="M11" s="18">
        <f t="shared" si="4"/>
        <v>5.7894736842105265</v>
      </c>
      <c r="N11" s="18">
        <f t="shared" si="4"/>
        <v>5.7894736842105265</v>
      </c>
      <c r="O11" s="18">
        <f t="shared" si="4"/>
        <v>5.7894736842105265</v>
      </c>
      <c r="P11" s="18">
        <f t="shared" si="4"/>
        <v>5.7894736842105265</v>
      </c>
      <c r="Q11" s="18">
        <f t="shared" si="4"/>
        <v>5.7894736842105265</v>
      </c>
      <c r="R11" s="18">
        <f t="shared" si="4"/>
        <v>5.7894736842105265</v>
      </c>
      <c r="S11" s="18">
        <f t="shared" si="4"/>
        <v>5.7894736842105265</v>
      </c>
    </row>
    <row r="12" spans="2:19" ht="15.75" thickBot="1" x14ac:dyDescent="0.3">
      <c r="D12" s="9" t="s">
        <v>283</v>
      </c>
      <c r="E12" s="9" t="s">
        <v>301</v>
      </c>
      <c r="F12" s="9" t="s">
        <v>288</v>
      </c>
      <c r="G12" s="9" t="s">
        <v>22</v>
      </c>
      <c r="H12" s="9" t="s">
        <v>133</v>
      </c>
      <c r="I12" s="18">
        <f t="shared" si="1"/>
        <v>5.7894736842105265</v>
      </c>
      <c r="J12" s="18">
        <f t="shared" si="2"/>
        <v>5.7894736842105265</v>
      </c>
      <c r="K12" s="18">
        <f t="shared" si="2"/>
        <v>5.7894736842105265</v>
      </c>
      <c r="L12" s="18">
        <f t="shared" si="2"/>
        <v>5.7894736842105265</v>
      </c>
      <c r="M12" s="18">
        <f t="shared" si="2"/>
        <v>5.7894736842105265</v>
      </c>
      <c r="N12" s="18">
        <f t="shared" si="2"/>
        <v>5.7894736842105265</v>
      </c>
      <c r="O12" s="18">
        <f t="shared" si="2"/>
        <v>5.7894736842105265</v>
      </c>
      <c r="P12" s="18">
        <f t="shared" si="2"/>
        <v>5.7894736842105265</v>
      </c>
      <c r="Q12" s="18">
        <f t="shared" si="2"/>
        <v>5.7894736842105265</v>
      </c>
      <c r="R12" s="18">
        <f t="shared" si="2"/>
        <v>5.7894736842105265</v>
      </c>
      <c r="S12" s="18">
        <f t="shared" si="2"/>
        <v>5.7894736842105265</v>
      </c>
    </row>
    <row r="13" spans="2:19" x14ac:dyDescent="0.25">
      <c r="D13" s="9" t="s">
        <v>286</v>
      </c>
      <c r="E13" s="8" t="s">
        <v>20</v>
      </c>
      <c r="F13" s="9" t="s">
        <v>288</v>
      </c>
      <c r="G13" s="9" t="s">
        <v>22</v>
      </c>
      <c r="H13" s="9" t="s">
        <v>133</v>
      </c>
      <c r="I13" s="18">
        <f t="shared" si="1"/>
        <v>5.7894736842105265</v>
      </c>
      <c r="J13" s="18">
        <f t="shared" si="2"/>
        <v>5.7894736842105265</v>
      </c>
      <c r="K13" s="18">
        <f t="shared" si="2"/>
        <v>5.7894736842105265</v>
      </c>
      <c r="L13" s="18">
        <f t="shared" si="2"/>
        <v>5.7894736842105265</v>
      </c>
      <c r="M13" s="18">
        <f t="shared" si="2"/>
        <v>5.7894736842105265</v>
      </c>
      <c r="N13" s="18">
        <f t="shared" si="2"/>
        <v>5.7894736842105265</v>
      </c>
      <c r="O13" s="18">
        <f t="shared" si="2"/>
        <v>5.7894736842105265</v>
      </c>
      <c r="P13" s="18">
        <f t="shared" si="2"/>
        <v>5.7894736842105265</v>
      </c>
      <c r="Q13" s="18">
        <f t="shared" si="2"/>
        <v>5.7894736842105265</v>
      </c>
      <c r="R13" s="18">
        <f t="shared" si="2"/>
        <v>5.7894736842105265</v>
      </c>
      <c r="S13" s="18">
        <f t="shared" si="2"/>
        <v>5.7894736842105265</v>
      </c>
    </row>
    <row r="14" spans="2:19" x14ac:dyDescent="0.25">
      <c r="D14" s="9" t="s">
        <v>286</v>
      </c>
      <c r="E14" s="9" t="s">
        <v>19</v>
      </c>
      <c r="F14" s="9" t="s">
        <v>288</v>
      </c>
      <c r="G14" s="9" t="s">
        <v>22</v>
      </c>
      <c r="H14" s="9" t="s">
        <v>133</v>
      </c>
      <c r="I14" s="18">
        <f t="shared" si="1"/>
        <v>5.7894736842105265</v>
      </c>
      <c r="J14" s="18">
        <f t="shared" si="2"/>
        <v>5.7894736842105265</v>
      </c>
      <c r="K14" s="18">
        <f t="shared" si="2"/>
        <v>5.7894736842105265</v>
      </c>
      <c r="L14" s="18">
        <f t="shared" si="2"/>
        <v>5.7894736842105265</v>
      </c>
      <c r="M14" s="18">
        <f t="shared" si="2"/>
        <v>5.7894736842105265</v>
      </c>
      <c r="N14" s="18">
        <f t="shared" si="2"/>
        <v>5.7894736842105265</v>
      </c>
      <c r="O14" s="18">
        <f t="shared" si="2"/>
        <v>5.7894736842105265</v>
      </c>
      <c r="P14" s="18">
        <f t="shared" si="2"/>
        <v>5.7894736842105265</v>
      </c>
      <c r="Q14" s="18">
        <f t="shared" si="2"/>
        <v>5.7894736842105265</v>
      </c>
      <c r="R14" s="18">
        <f t="shared" si="2"/>
        <v>5.7894736842105265</v>
      </c>
      <c r="S14" s="18">
        <f t="shared" si="2"/>
        <v>5.7894736842105265</v>
      </c>
    </row>
    <row r="15" spans="2:19" x14ac:dyDescent="0.25">
      <c r="D15" s="9" t="s">
        <v>286</v>
      </c>
      <c r="E15" s="9" t="s">
        <v>18</v>
      </c>
      <c r="F15" s="9" t="s">
        <v>288</v>
      </c>
      <c r="G15" s="9" t="s">
        <v>22</v>
      </c>
      <c r="H15" s="9" t="s">
        <v>133</v>
      </c>
      <c r="I15" s="18">
        <f t="shared" si="1"/>
        <v>5.7894736842105265</v>
      </c>
      <c r="J15" s="18">
        <f t="shared" ref="J15:S15" si="5">I15</f>
        <v>5.7894736842105265</v>
      </c>
      <c r="K15" s="18">
        <f t="shared" si="5"/>
        <v>5.7894736842105265</v>
      </c>
      <c r="L15" s="18">
        <f t="shared" si="5"/>
        <v>5.7894736842105265</v>
      </c>
      <c r="M15" s="18">
        <f t="shared" si="5"/>
        <v>5.7894736842105265</v>
      </c>
      <c r="N15" s="18">
        <f t="shared" si="5"/>
        <v>5.7894736842105265</v>
      </c>
      <c r="O15" s="18">
        <f t="shared" si="5"/>
        <v>5.7894736842105265</v>
      </c>
      <c r="P15" s="18">
        <f t="shared" si="5"/>
        <v>5.7894736842105265</v>
      </c>
      <c r="Q15" s="18">
        <f t="shared" si="5"/>
        <v>5.7894736842105265</v>
      </c>
      <c r="R15" s="18">
        <f t="shared" si="5"/>
        <v>5.7894736842105265</v>
      </c>
      <c r="S15" s="18">
        <f t="shared" si="5"/>
        <v>5.7894736842105265</v>
      </c>
    </row>
    <row r="16" spans="2:19" ht="15.75" thickBot="1" x14ac:dyDescent="0.3">
      <c r="D16" s="9" t="s">
        <v>286</v>
      </c>
      <c r="E16" s="9" t="s">
        <v>301</v>
      </c>
      <c r="F16" s="9" t="s">
        <v>288</v>
      </c>
      <c r="G16" s="9" t="s">
        <v>22</v>
      </c>
      <c r="H16" s="9" t="s">
        <v>133</v>
      </c>
      <c r="I16" s="18">
        <f t="shared" si="1"/>
        <v>5.7894736842105265</v>
      </c>
      <c r="J16" s="18">
        <f t="shared" si="2"/>
        <v>5.7894736842105265</v>
      </c>
      <c r="K16" s="18">
        <f t="shared" si="2"/>
        <v>5.7894736842105265</v>
      </c>
      <c r="L16" s="18">
        <f t="shared" si="2"/>
        <v>5.7894736842105265</v>
      </c>
      <c r="M16" s="18">
        <f t="shared" si="2"/>
        <v>5.7894736842105265</v>
      </c>
      <c r="N16" s="18">
        <f t="shared" si="2"/>
        <v>5.7894736842105265</v>
      </c>
      <c r="O16" s="18">
        <f t="shared" si="2"/>
        <v>5.7894736842105265</v>
      </c>
      <c r="P16" s="18">
        <f t="shared" si="2"/>
        <v>5.7894736842105265</v>
      </c>
      <c r="Q16" s="18">
        <f t="shared" si="2"/>
        <v>5.7894736842105265</v>
      </c>
      <c r="R16" s="18">
        <f t="shared" si="2"/>
        <v>5.7894736842105265</v>
      </c>
      <c r="S16" s="18">
        <f t="shared" si="2"/>
        <v>5.7894736842105265</v>
      </c>
    </row>
    <row r="17" spans="4:19" x14ac:dyDescent="0.25">
      <c r="D17" s="9" t="s">
        <v>289</v>
      </c>
      <c r="E17" s="8" t="s">
        <v>20</v>
      </c>
      <c r="F17" s="9" t="s">
        <v>288</v>
      </c>
      <c r="G17" s="9" t="s">
        <v>22</v>
      </c>
      <c r="H17" s="9" t="s">
        <v>133</v>
      </c>
      <c r="I17" s="18">
        <f t="shared" si="1"/>
        <v>5.7894736842105265</v>
      </c>
      <c r="J17" s="18">
        <f t="shared" si="2"/>
        <v>5.7894736842105265</v>
      </c>
      <c r="K17" s="18">
        <f t="shared" si="2"/>
        <v>5.7894736842105265</v>
      </c>
      <c r="L17" s="18">
        <f t="shared" si="2"/>
        <v>5.7894736842105265</v>
      </c>
      <c r="M17" s="18">
        <f t="shared" si="2"/>
        <v>5.7894736842105265</v>
      </c>
      <c r="N17" s="18">
        <f t="shared" si="2"/>
        <v>5.7894736842105265</v>
      </c>
      <c r="O17" s="18">
        <f t="shared" si="2"/>
        <v>5.7894736842105265</v>
      </c>
      <c r="P17" s="18">
        <f t="shared" si="2"/>
        <v>5.7894736842105265</v>
      </c>
      <c r="Q17" s="18">
        <f t="shared" si="2"/>
        <v>5.7894736842105265</v>
      </c>
      <c r="R17" s="18">
        <f t="shared" si="2"/>
        <v>5.7894736842105265</v>
      </c>
      <c r="S17" s="18">
        <f t="shared" si="2"/>
        <v>5.7894736842105265</v>
      </c>
    </row>
    <row r="18" spans="4:19" x14ac:dyDescent="0.25">
      <c r="D18" s="9" t="s">
        <v>289</v>
      </c>
      <c r="E18" s="9" t="s">
        <v>19</v>
      </c>
      <c r="F18" s="9" t="s">
        <v>288</v>
      </c>
      <c r="G18" s="9" t="s">
        <v>22</v>
      </c>
      <c r="H18" s="9" t="s">
        <v>133</v>
      </c>
      <c r="I18" s="18">
        <f t="shared" si="1"/>
        <v>5.7894736842105265</v>
      </c>
      <c r="J18" s="18">
        <f t="shared" si="2"/>
        <v>5.7894736842105265</v>
      </c>
      <c r="K18" s="18">
        <f t="shared" si="2"/>
        <v>5.7894736842105265</v>
      </c>
      <c r="L18" s="18">
        <f t="shared" si="2"/>
        <v>5.7894736842105265</v>
      </c>
      <c r="M18" s="18">
        <f t="shared" si="2"/>
        <v>5.7894736842105265</v>
      </c>
      <c r="N18" s="18">
        <f t="shared" si="2"/>
        <v>5.7894736842105265</v>
      </c>
      <c r="O18" s="18">
        <f t="shared" si="2"/>
        <v>5.7894736842105265</v>
      </c>
      <c r="P18" s="18">
        <f t="shared" si="2"/>
        <v>5.7894736842105265</v>
      </c>
      <c r="Q18" s="18">
        <f t="shared" si="2"/>
        <v>5.7894736842105265</v>
      </c>
      <c r="R18" s="18">
        <f t="shared" si="2"/>
        <v>5.7894736842105265</v>
      </c>
      <c r="S18" s="18">
        <f t="shared" si="2"/>
        <v>5.7894736842105265</v>
      </c>
    </row>
    <row r="19" spans="4:19" x14ac:dyDescent="0.25">
      <c r="D19" s="9" t="s">
        <v>289</v>
      </c>
      <c r="E19" s="9" t="s">
        <v>18</v>
      </c>
      <c r="F19" s="9" t="s">
        <v>288</v>
      </c>
      <c r="G19" s="9" t="s">
        <v>22</v>
      </c>
      <c r="H19" s="9" t="s">
        <v>133</v>
      </c>
      <c r="I19" s="18">
        <f t="shared" si="1"/>
        <v>5.7894736842105265</v>
      </c>
      <c r="J19" s="18">
        <f t="shared" ref="J19:S19" si="6">I19</f>
        <v>5.7894736842105265</v>
      </c>
      <c r="K19" s="18">
        <f t="shared" si="6"/>
        <v>5.7894736842105265</v>
      </c>
      <c r="L19" s="18">
        <f t="shared" si="6"/>
        <v>5.7894736842105265</v>
      </c>
      <c r="M19" s="18">
        <f t="shared" si="6"/>
        <v>5.7894736842105265</v>
      </c>
      <c r="N19" s="18">
        <f t="shared" si="6"/>
        <v>5.7894736842105265</v>
      </c>
      <c r="O19" s="18">
        <f t="shared" si="6"/>
        <v>5.7894736842105265</v>
      </c>
      <c r="P19" s="18">
        <f t="shared" si="6"/>
        <v>5.7894736842105265</v>
      </c>
      <c r="Q19" s="18">
        <f t="shared" si="6"/>
        <v>5.7894736842105265</v>
      </c>
      <c r="R19" s="18">
        <f t="shared" si="6"/>
        <v>5.7894736842105265</v>
      </c>
      <c r="S19" s="18">
        <f t="shared" si="6"/>
        <v>5.7894736842105265</v>
      </c>
    </row>
    <row r="20" spans="4:19" ht="15.75" thickBot="1" x14ac:dyDescent="0.3">
      <c r="D20" s="9" t="s">
        <v>289</v>
      </c>
      <c r="E20" s="9" t="s">
        <v>301</v>
      </c>
      <c r="F20" s="9" t="s">
        <v>288</v>
      </c>
      <c r="G20" s="9" t="s">
        <v>22</v>
      </c>
      <c r="H20" s="9" t="s">
        <v>133</v>
      </c>
      <c r="I20" s="18">
        <f t="shared" si="1"/>
        <v>5.7894736842105265</v>
      </c>
      <c r="J20" s="18">
        <f t="shared" si="2"/>
        <v>5.7894736842105265</v>
      </c>
      <c r="K20" s="18">
        <f t="shared" si="2"/>
        <v>5.7894736842105265</v>
      </c>
      <c r="L20" s="18">
        <f t="shared" si="2"/>
        <v>5.7894736842105265</v>
      </c>
      <c r="M20" s="18">
        <f t="shared" si="2"/>
        <v>5.7894736842105265</v>
      </c>
      <c r="N20" s="18">
        <f t="shared" si="2"/>
        <v>5.7894736842105265</v>
      </c>
      <c r="O20" s="18">
        <f t="shared" si="2"/>
        <v>5.7894736842105265</v>
      </c>
      <c r="P20" s="18">
        <f t="shared" si="2"/>
        <v>5.7894736842105265</v>
      </c>
      <c r="Q20" s="18">
        <f t="shared" si="2"/>
        <v>5.7894736842105265</v>
      </c>
      <c r="R20" s="18">
        <f t="shared" si="2"/>
        <v>5.7894736842105265</v>
      </c>
      <c r="S20" s="18">
        <f t="shared" si="2"/>
        <v>5.7894736842105265</v>
      </c>
    </row>
    <row r="21" spans="4:19" x14ac:dyDescent="0.25">
      <c r="D21" s="9" t="s">
        <v>291</v>
      </c>
      <c r="E21" s="8" t="s">
        <v>20</v>
      </c>
      <c r="F21" s="9" t="s">
        <v>288</v>
      </c>
      <c r="G21" s="9" t="s">
        <v>22</v>
      </c>
      <c r="H21" s="9" t="s">
        <v>133</v>
      </c>
      <c r="I21" s="18">
        <f t="shared" si="1"/>
        <v>5.7894736842105265</v>
      </c>
      <c r="J21" s="18">
        <f t="shared" si="2"/>
        <v>5.7894736842105265</v>
      </c>
      <c r="K21" s="18">
        <f t="shared" si="2"/>
        <v>5.7894736842105265</v>
      </c>
      <c r="L21" s="18">
        <f t="shared" si="2"/>
        <v>5.7894736842105265</v>
      </c>
      <c r="M21" s="18">
        <f t="shared" si="2"/>
        <v>5.7894736842105265</v>
      </c>
      <c r="N21" s="18">
        <f t="shared" si="2"/>
        <v>5.7894736842105265</v>
      </c>
      <c r="O21" s="18">
        <f t="shared" si="2"/>
        <v>5.7894736842105265</v>
      </c>
      <c r="P21" s="18">
        <f t="shared" si="2"/>
        <v>5.7894736842105265</v>
      </c>
      <c r="Q21" s="18">
        <f t="shared" si="2"/>
        <v>5.7894736842105265</v>
      </c>
      <c r="R21" s="18">
        <f t="shared" si="2"/>
        <v>5.7894736842105265</v>
      </c>
      <c r="S21" s="18">
        <f t="shared" si="2"/>
        <v>5.7894736842105265</v>
      </c>
    </row>
    <row r="22" spans="4:19" x14ac:dyDescent="0.25">
      <c r="D22" s="9" t="s">
        <v>291</v>
      </c>
      <c r="E22" s="9" t="s">
        <v>19</v>
      </c>
      <c r="F22" s="9" t="s">
        <v>288</v>
      </c>
      <c r="G22" s="9" t="s">
        <v>22</v>
      </c>
      <c r="H22" s="9" t="s">
        <v>133</v>
      </c>
      <c r="I22" s="18">
        <f t="shared" si="1"/>
        <v>5.7894736842105265</v>
      </c>
      <c r="J22" s="18">
        <f t="shared" si="2"/>
        <v>5.7894736842105265</v>
      </c>
      <c r="K22" s="18">
        <f t="shared" si="2"/>
        <v>5.7894736842105265</v>
      </c>
      <c r="L22" s="18">
        <f t="shared" si="2"/>
        <v>5.7894736842105265</v>
      </c>
      <c r="M22" s="18">
        <f t="shared" si="2"/>
        <v>5.7894736842105265</v>
      </c>
      <c r="N22" s="18">
        <f t="shared" si="2"/>
        <v>5.7894736842105265</v>
      </c>
      <c r="O22" s="18">
        <f t="shared" si="2"/>
        <v>5.7894736842105265</v>
      </c>
      <c r="P22" s="18">
        <f t="shared" si="2"/>
        <v>5.7894736842105265</v>
      </c>
      <c r="Q22" s="18">
        <f t="shared" si="2"/>
        <v>5.7894736842105265</v>
      </c>
      <c r="R22" s="18">
        <f t="shared" si="2"/>
        <v>5.7894736842105265</v>
      </c>
      <c r="S22" s="18">
        <f t="shared" si="2"/>
        <v>5.7894736842105265</v>
      </c>
    </row>
    <row r="23" spans="4:19" x14ac:dyDescent="0.25">
      <c r="D23" s="9" t="s">
        <v>291</v>
      </c>
      <c r="E23" s="9" t="s">
        <v>18</v>
      </c>
      <c r="F23" s="9" t="s">
        <v>288</v>
      </c>
      <c r="G23" s="9" t="s">
        <v>22</v>
      </c>
      <c r="H23" s="9" t="s">
        <v>133</v>
      </c>
      <c r="I23" s="18">
        <f t="shared" si="1"/>
        <v>5.7894736842105265</v>
      </c>
      <c r="J23" s="18">
        <f t="shared" ref="J23:S23" si="7">I23</f>
        <v>5.7894736842105265</v>
      </c>
      <c r="K23" s="18">
        <f t="shared" si="7"/>
        <v>5.7894736842105265</v>
      </c>
      <c r="L23" s="18">
        <f t="shared" si="7"/>
        <v>5.7894736842105265</v>
      </c>
      <c r="M23" s="18">
        <f t="shared" si="7"/>
        <v>5.7894736842105265</v>
      </c>
      <c r="N23" s="18">
        <f t="shared" si="7"/>
        <v>5.7894736842105265</v>
      </c>
      <c r="O23" s="18">
        <f t="shared" si="7"/>
        <v>5.7894736842105265</v>
      </c>
      <c r="P23" s="18">
        <f t="shared" si="7"/>
        <v>5.7894736842105265</v>
      </c>
      <c r="Q23" s="18">
        <f t="shared" si="7"/>
        <v>5.7894736842105265</v>
      </c>
      <c r="R23" s="18">
        <f t="shared" si="7"/>
        <v>5.7894736842105265</v>
      </c>
      <c r="S23" s="18">
        <f t="shared" si="7"/>
        <v>5.7894736842105265</v>
      </c>
    </row>
    <row r="24" spans="4:19" x14ac:dyDescent="0.25">
      <c r="D24" s="9" t="s">
        <v>291</v>
      </c>
      <c r="E24" s="9" t="s">
        <v>301</v>
      </c>
      <c r="F24" s="9" t="s">
        <v>288</v>
      </c>
      <c r="G24" s="9" t="s">
        <v>22</v>
      </c>
      <c r="H24" s="9" t="s">
        <v>133</v>
      </c>
      <c r="I24" s="18">
        <f t="shared" si="1"/>
        <v>5.7894736842105265</v>
      </c>
      <c r="J24" s="18">
        <f t="shared" si="2"/>
        <v>5.7894736842105265</v>
      </c>
      <c r="K24" s="18">
        <f t="shared" si="2"/>
        <v>5.7894736842105265</v>
      </c>
      <c r="L24" s="18">
        <f t="shared" si="2"/>
        <v>5.7894736842105265</v>
      </c>
      <c r="M24" s="18">
        <f t="shared" si="2"/>
        <v>5.7894736842105265</v>
      </c>
      <c r="N24" s="18">
        <f t="shared" si="2"/>
        <v>5.7894736842105265</v>
      </c>
      <c r="O24" s="18">
        <f t="shared" si="2"/>
        <v>5.7894736842105265</v>
      </c>
      <c r="P24" s="18">
        <f t="shared" si="2"/>
        <v>5.7894736842105265</v>
      </c>
      <c r="Q24" s="18">
        <f t="shared" si="2"/>
        <v>5.7894736842105265</v>
      </c>
      <c r="R24" s="18">
        <f t="shared" si="2"/>
        <v>5.7894736842105265</v>
      </c>
      <c r="S24" s="18">
        <f t="shared" si="2"/>
        <v>5.7894736842105265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8">IF(I25="","",I25)</f>
        <v/>
      </c>
      <c r="K25" s="18" t="str">
        <f t="shared" si="8"/>
        <v/>
      </c>
      <c r="L25" s="18" t="str">
        <f t="shared" si="8"/>
        <v/>
      </c>
      <c r="M25" s="18" t="str">
        <f t="shared" si="8"/>
        <v/>
      </c>
      <c r="N25" s="18" t="str">
        <f t="shared" si="8"/>
        <v/>
      </c>
      <c r="O25" s="18" t="str">
        <f t="shared" si="8"/>
        <v/>
      </c>
      <c r="P25" s="18" t="str">
        <f t="shared" si="8"/>
        <v/>
      </c>
      <c r="Q25" s="18" t="str">
        <f t="shared" si="8"/>
        <v/>
      </c>
      <c r="R25" s="18" t="str">
        <f t="shared" si="8"/>
        <v/>
      </c>
      <c r="S25" s="18" t="str">
        <f t="shared" si="8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9">IF(I26="","",I26)</f>
        <v/>
      </c>
      <c r="K26" s="18" t="str">
        <f t="shared" si="9"/>
        <v/>
      </c>
      <c r="L26" s="18" t="str">
        <f t="shared" si="9"/>
        <v/>
      </c>
      <c r="M26" s="18" t="str">
        <f t="shared" si="9"/>
        <v/>
      </c>
      <c r="N26" s="18" t="str">
        <f t="shared" si="9"/>
        <v/>
      </c>
      <c r="O26" s="18" t="str">
        <f t="shared" si="9"/>
        <v/>
      </c>
      <c r="P26" s="18" t="str">
        <f t="shared" si="9"/>
        <v/>
      </c>
      <c r="Q26" s="18" t="str">
        <f t="shared" si="9"/>
        <v/>
      </c>
      <c r="R26" s="18" t="str">
        <f t="shared" si="9"/>
        <v/>
      </c>
      <c r="S26" s="18" t="str">
        <f t="shared" si="9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10">IF(I27="","",I27)</f>
        <v/>
      </c>
      <c r="K27" s="18" t="str">
        <f t="shared" si="10"/>
        <v/>
      </c>
      <c r="L27" s="18" t="str">
        <f t="shared" si="10"/>
        <v/>
      </c>
      <c r="M27" s="18" t="str">
        <f t="shared" si="10"/>
        <v/>
      </c>
      <c r="N27" s="18" t="str">
        <f t="shared" si="10"/>
        <v/>
      </c>
      <c r="O27" s="18" t="str">
        <f t="shared" si="10"/>
        <v/>
      </c>
      <c r="P27" s="18" t="str">
        <f t="shared" si="10"/>
        <v/>
      </c>
      <c r="Q27" s="18" t="str">
        <f t="shared" si="10"/>
        <v/>
      </c>
      <c r="R27" s="18" t="str">
        <f t="shared" si="10"/>
        <v/>
      </c>
      <c r="S27" s="18" t="str">
        <f t="shared" si="10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11">IF(I28="","",I28)</f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  <c r="R28" s="18" t="str">
        <f t="shared" si="11"/>
        <v/>
      </c>
      <c r="S28" s="18" t="str">
        <f t="shared" si="11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12">IF(I29="","",I29)</f>
        <v/>
      </c>
      <c r="K29" s="18" t="str">
        <f t="shared" si="12"/>
        <v/>
      </c>
      <c r="L29" s="18" t="str">
        <f t="shared" si="12"/>
        <v/>
      </c>
      <c r="M29" s="18" t="str">
        <f t="shared" si="12"/>
        <v/>
      </c>
      <c r="N29" s="18" t="str">
        <f t="shared" si="12"/>
        <v/>
      </c>
      <c r="O29" s="18" t="str">
        <f t="shared" si="12"/>
        <v/>
      </c>
      <c r="P29" s="18" t="str">
        <f t="shared" si="12"/>
        <v/>
      </c>
      <c r="Q29" s="18" t="str">
        <f t="shared" si="12"/>
        <v/>
      </c>
      <c r="R29" s="18" t="str">
        <f t="shared" si="12"/>
        <v/>
      </c>
      <c r="S29" s="18" t="str">
        <f t="shared" si="12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13">IF(I30="","",I30)</f>
        <v/>
      </c>
      <c r="K30" s="18" t="str">
        <f t="shared" si="13"/>
        <v/>
      </c>
      <c r="L30" s="18" t="str">
        <f t="shared" si="13"/>
        <v/>
      </c>
      <c r="M30" s="18" t="str">
        <f t="shared" si="13"/>
        <v/>
      </c>
      <c r="N30" s="18" t="str">
        <f t="shared" si="13"/>
        <v/>
      </c>
      <c r="O30" s="18" t="str">
        <f t="shared" si="13"/>
        <v/>
      </c>
      <c r="P30" s="18" t="str">
        <f t="shared" si="13"/>
        <v/>
      </c>
      <c r="Q30" s="18" t="str">
        <f t="shared" si="13"/>
        <v/>
      </c>
      <c r="R30" s="18" t="str">
        <f t="shared" si="13"/>
        <v/>
      </c>
      <c r="S30" s="18" t="str">
        <f t="shared" si="13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14">IF(I31="","",I31)</f>
        <v/>
      </c>
      <c r="K31" s="18" t="str">
        <f t="shared" si="14"/>
        <v/>
      </c>
      <c r="L31" s="18" t="str">
        <f t="shared" si="14"/>
        <v/>
      </c>
      <c r="M31" s="18" t="str">
        <f t="shared" si="14"/>
        <v/>
      </c>
      <c r="N31" s="18" t="str">
        <f t="shared" si="14"/>
        <v/>
      </c>
      <c r="O31" s="18" t="str">
        <f t="shared" si="14"/>
        <v/>
      </c>
      <c r="P31" s="18" t="str">
        <f t="shared" si="14"/>
        <v/>
      </c>
      <c r="Q31" s="18" t="str">
        <f t="shared" si="14"/>
        <v/>
      </c>
      <c r="R31" s="18" t="str">
        <f t="shared" si="14"/>
        <v/>
      </c>
      <c r="S31" s="18" t="str">
        <f t="shared" si="14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5">IF(I32="","",I32)</f>
        <v/>
      </c>
      <c r="K32" s="18" t="str">
        <f t="shared" si="15"/>
        <v/>
      </c>
      <c r="L32" s="18" t="str">
        <f t="shared" si="15"/>
        <v/>
      </c>
      <c r="M32" s="18" t="str">
        <f t="shared" si="15"/>
        <v/>
      </c>
      <c r="N32" s="18" t="str">
        <f t="shared" si="15"/>
        <v/>
      </c>
      <c r="O32" s="18" t="str">
        <f t="shared" si="15"/>
        <v/>
      </c>
      <c r="P32" s="18" t="str">
        <f t="shared" si="15"/>
        <v/>
      </c>
      <c r="Q32" s="18" t="str">
        <f t="shared" si="15"/>
        <v/>
      </c>
      <c r="R32" s="18" t="str">
        <f t="shared" si="15"/>
        <v/>
      </c>
      <c r="S32" s="18" t="str">
        <f t="shared" si="15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6">IF(I33="","",I33)</f>
        <v/>
      </c>
      <c r="K33" s="18" t="str">
        <f t="shared" si="16"/>
        <v/>
      </c>
      <c r="L33" s="18" t="str">
        <f t="shared" si="16"/>
        <v/>
      </c>
      <c r="M33" s="18" t="str">
        <f t="shared" si="16"/>
        <v/>
      </c>
      <c r="N33" s="18" t="str">
        <f t="shared" si="16"/>
        <v/>
      </c>
      <c r="O33" s="18" t="str">
        <f t="shared" si="16"/>
        <v/>
      </c>
      <c r="P33" s="18" t="str">
        <f t="shared" si="16"/>
        <v/>
      </c>
      <c r="Q33" s="18" t="str">
        <f t="shared" si="16"/>
        <v/>
      </c>
      <c r="R33" s="18" t="str">
        <f t="shared" si="16"/>
        <v/>
      </c>
      <c r="S33" s="18" t="str">
        <f t="shared" si="16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7">IF(I34="","",I34)</f>
        <v/>
      </c>
      <c r="K34" s="18" t="str">
        <f t="shared" si="17"/>
        <v/>
      </c>
      <c r="L34" s="18" t="str">
        <f t="shared" si="17"/>
        <v/>
      </c>
      <c r="M34" s="18" t="str">
        <f t="shared" si="17"/>
        <v/>
      </c>
      <c r="N34" s="18" t="str">
        <f t="shared" si="17"/>
        <v/>
      </c>
      <c r="O34" s="18" t="str">
        <f t="shared" si="17"/>
        <v/>
      </c>
      <c r="P34" s="18" t="str">
        <f t="shared" si="17"/>
        <v/>
      </c>
      <c r="Q34" s="18" t="str">
        <f t="shared" si="17"/>
        <v/>
      </c>
      <c r="R34" s="18" t="str">
        <f t="shared" si="17"/>
        <v/>
      </c>
      <c r="S34" s="18" t="str">
        <f t="shared" si="17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8">IF(I35="","",I35)</f>
        <v/>
      </c>
      <c r="K35" s="18" t="str">
        <f t="shared" si="18"/>
        <v/>
      </c>
      <c r="L35" s="18" t="str">
        <f t="shared" si="18"/>
        <v/>
      </c>
      <c r="M35" s="18" t="str">
        <f t="shared" si="18"/>
        <v/>
      </c>
      <c r="N35" s="18" t="str">
        <f t="shared" si="18"/>
        <v/>
      </c>
      <c r="O35" s="18" t="str">
        <f t="shared" si="18"/>
        <v/>
      </c>
      <c r="P35" s="18" t="str">
        <f t="shared" si="18"/>
        <v/>
      </c>
      <c r="Q35" s="18" t="str">
        <f t="shared" si="18"/>
        <v/>
      </c>
      <c r="R35" s="18" t="str">
        <f t="shared" si="18"/>
        <v/>
      </c>
      <c r="S35" s="18" t="str">
        <f t="shared" si="18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9">IF(I36="","",I36)</f>
        <v/>
      </c>
      <c r="K36" s="18" t="str">
        <f t="shared" si="19"/>
        <v/>
      </c>
      <c r="L36" s="18" t="str">
        <f t="shared" si="19"/>
        <v/>
      </c>
      <c r="M36" s="18" t="str">
        <f t="shared" si="19"/>
        <v/>
      </c>
      <c r="N36" s="18" t="str">
        <f t="shared" si="19"/>
        <v/>
      </c>
      <c r="O36" s="18" t="str">
        <f t="shared" si="19"/>
        <v/>
      </c>
      <c r="P36" s="18" t="str">
        <f t="shared" si="19"/>
        <v/>
      </c>
      <c r="Q36" s="18" t="str">
        <f t="shared" si="19"/>
        <v/>
      </c>
      <c r="R36" s="18" t="str">
        <f t="shared" si="19"/>
        <v/>
      </c>
      <c r="S36" s="18" t="str">
        <f t="shared" si="19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20">IF(I37="","",I37)</f>
        <v/>
      </c>
      <c r="K37" s="18" t="str">
        <f t="shared" si="20"/>
        <v/>
      </c>
      <c r="L37" s="18" t="str">
        <f t="shared" si="20"/>
        <v/>
      </c>
      <c r="M37" s="18" t="str">
        <f t="shared" si="20"/>
        <v/>
      </c>
      <c r="N37" s="18" t="str">
        <f t="shared" si="20"/>
        <v/>
      </c>
      <c r="O37" s="18" t="str">
        <f t="shared" si="20"/>
        <v/>
      </c>
      <c r="P37" s="18" t="str">
        <f t="shared" si="20"/>
        <v/>
      </c>
      <c r="Q37" s="18" t="str">
        <f t="shared" si="20"/>
        <v/>
      </c>
      <c r="R37" s="18" t="str">
        <f t="shared" si="20"/>
        <v/>
      </c>
      <c r="S37" s="18" t="str">
        <f t="shared" si="20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21">IF(I38="","",I38)</f>
        <v/>
      </c>
      <c r="K38" s="18" t="str">
        <f t="shared" si="21"/>
        <v/>
      </c>
      <c r="L38" s="18" t="str">
        <f t="shared" si="21"/>
        <v/>
      </c>
      <c r="M38" s="18" t="str">
        <f t="shared" si="21"/>
        <v/>
      </c>
      <c r="N38" s="18" t="str">
        <f t="shared" si="21"/>
        <v/>
      </c>
      <c r="O38" s="18" t="str">
        <f t="shared" si="21"/>
        <v/>
      </c>
      <c r="P38" s="18" t="str">
        <f t="shared" si="21"/>
        <v/>
      </c>
      <c r="Q38" s="18" t="str">
        <f t="shared" si="21"/>
        <v/>
      </c>
      <c r="R38" s="18" t="str">
        <f t="shared" si="21"/>
        <v/>
      </c>
      <c r="S38" s="18" t="str">
        <f t="shared" si="21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22">IF(I39="","",I39)</f>
        <v/>
      </c>
      <c r="K39" s="18" t="str">
        <f t="shared" si="22"/>
        <v/>
      </c>
      <c r="L39" s="18" t="str">
        <f t="shared" si="22"/>
        <v/>
      </c>
      <c r="M39" s="18" t="str">
        <f t="shared" si="22"/>
        <v/>
      </c>
      <c r="N39" s="18" t="str">
        <f t="shared" si="22"/>
        <v/>
      </c>
      <c r="O39" s="18" t="str">
        <f t="shared" si="22"/>
        <v/>
      </c>
      <c r="P39" s="18" t="str">
        <f t="shared" si="22"/>
        <v/>
      </c>
      <c r="Q39" s="18" t="str">
        <f t="shared" si="22"/>
        <v/>
      </c>
      <c r="R39" s="18" t="str">
        <f t="shared" si="22"/>
        <v/>
      </c>
      <c r="S39" s="18" t="str">
        <f t="shared" si="22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23">IF(I40="","",I40)</f>
        <v/>
      </c>
      <c r="K40" s="18" t="str">
        <f t="shared" si="23"/>
        <v/>
      </c>
      <c r="L40" s="18" t="str">
        <f t="shared" si="23"/>
        <v/>
      </c>
      <c r="M40" s="18" t="str">
        <f t="shared" si="23"/>
        <v/>
      </c>
      <c r="N40" s="18" t="str">
        <f t="shared" si="23"/>
        <v/>
      </c>
      <c r="O40" s="18" t="str">
        <f t="shared" si="23"/>
        <v/>
      </c>
      <c r="P40" s="18" t="str">
        <f t="shared" si="23"/>
        <v/>
      </c>
      <c r="Q40" s="18" t="str">
        <f t="shared" si="23"/>
        <v/>
      </c>
      <c r="R40" s="18" t="str">
        <f t="shared" si="23"/>
        <v/>
      </c>
      <c r="S40" s="18" t="str">
        <f t="shared" si="23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24">IF(I41="","",I41)</f>
        <v/>
      </c>
      <c r="K41" s="18" t="str">
        <f t="shared" si="24"/>
        <v/>
      </c>
      <c r="L41" s="18" t="str">
        <f t="shared" si="24"/>
        <v/>
      </c>
      <c r="M41" s="18" t="str">
        <f t="shared" si="24"/>
        <v/>
      </c>
      <c r="N41" s="18" t="str">
        <f t="shared" si="24"/>
        <v/>
      </c>
      <c r="O41" s="18" t="str">
        <f t="shared" si="24"/>
        <v/>
      </c>
      <c r="P41" s="18" t="str">
        <f t="shared" si="24"/>
        <v/>
      </c>
      <c r="Q41" s="18" t="str">
        <f t="shared" si="24"/>
        <v/>
      </c>
      <c r="R41" s="18" t="str">
        <f t="shared" si="24"/>
        <v/>
      </c>
      <c r="S41" s="18" t="str">
        <f t="shared" si="24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5">IF(I42="","",I42)</f>
        <v/>
      </c>
      <c r="K42" s="18" t="str">
        <f t="shared" si="25"/>
        <v/>
      </c>
      <c r="L42" s="18" t="str">
        <f t="shared" si="25"/>
        <v/>
      </c>
      <c r="M42" s="18" t="str">
        <f t="shared" si="25"/>
        <v/>
      </c>
      <c r="N42" s="18" t="str">
        <f t="shared" si="25"/>
        <v/>
      </c>
      <c r="O42" s="18" t="str">
        <f t="shared" si="25"/>
        <v/>
      </c>
      <c r="P42" s="18" t="str">
        <f t="shared" si="25"/>
        <v/>
      </c>
      <c r="Q42" s="18" t="str">
        <f t="shared" si="25"/>
        <v/>
      </c>
      <c r="R42" s="18" t="str">
        <f t="shared" si="25"/>
        <v/>
      </c>
      <c r="S42" s="18" t="str">
        <f t="shared" si="25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6">IF(I43="","",I43)</f>
        <v/>
      </c>
      <c r="K43" s="18" t="str">
        <f t="shared" si="26"/>
        <v/>
      </c>
      <c r="L43" s="18" t="str">
        <f t="shared" si="26"/>
        <v/>
      </c>
      <c r="M43" s="18" t="str">
        <f t="shared" si="26"/>
        <v/>
      </c>
      <c r="N43" s="18" t="str">
        <f t="shared" si="26"/>
        <v/>
      </c>
      <c r="O43" s="18" t="str">
        <f t="shared" si="26"/>
        <v/>
      </c>
      <c r="P43" s="18" t="str">
        <f t="shared" si="26"/>
        <v/>
      </c>
      <c r="Q43" s="18" t="str">
        <f t="shared" si="26"/>
        <v/>
      </c>
      <c r="R43" s="18" t="str">
        <f t="shared" si="26"/>
        <v/>
      </c>
      <c r="S43" s="18" t="str">
        <f t="shared" si="26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7">IF(I44="","",I44)</f>
        <v/>
      </c>
      <c r="K44" s="18" t="str">
        <f t="shared" si="27"/>
        <v/>
      </c>
      <c r="L44" s="18" t="str">
        <f t="shared" si="27"/>
        <v/>
      </c>
      <c r="M44" s="18" t="str">
        <f t="shared" si="27"/>
        <v/>
      </c>
      <c r="N44" s="18" t="str">
        <f t="shared" si="27"/>
        <v/>
      </c>
      <c r="O44" s="18" t="str">
        <f t="shared" si="27"/>
        <v/>
      </c>
      <c r="P44" s="18" t="str">
        <f t="shared" si="27"/>
        <v/>
      </c>
      <c r="Q44" s="18" t="str">
        <f t="shared" si="27"/>
        <v/>
      </c>
      <c r="R44" s="18" t="str">
        <f t="shared" si="27"/>
        <v/>
      </c>
      <c r="S44" s="18" t="str">
        <f t="shared" si="27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8">IF(I45="","",I45)</f>
        <v/>
      </c>
      <c r="K45" s="18" t="str">
        <f t="shared" si="28"/>
        <v/>
      </c>
      <c r="L45" s="18" t="str">
        <f t="shared" si="28"/>
        <v/>
      </c>
      <c r="M45" s="18" t="str">
        <f t="shared" si="28"/>
        <v/>
      </c>
      <c r="N45" s="18" t="str">
        <f t="shared" si="28"/>
        <v/>
      </c>
      <c r="O45" s="18" t="str">
        <f t="shared" si="28"/>
        <v/>
      </c>
      <c r="P45" s="18" t="str">
        <f t="shared" si="28"/>
        <v/>
      </c>
      <c r="Q45" s="18" t="str">
        <f t="shared" si="28"/>
        <v/>
      </c>
      <c r="R45" s="18" t="str">
        <f t="shared" si="28"/>
        <v/>
      </c>
      <c r="S45" s="18" t="str">
        <f t="shared" si="28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9">IF(I46="","",I46)</f>
        <v/>
      </c>
      <c r="K46" s="18" t="str">
        <f t="shared" si="29"/>
        <v/>
      </c>
      <c r="L46" s="18" t="str">
        <f t="shared" si="29"/>
        <v/>
      </c>
      <c r="M46" s="18" t="str">
        <f t="shared" si="29"/>
        <v/>
      </c>
      <c r="N46" s="18" t="str">
        <f t="shared" si="29"/>
        <v/>
      </c>
      <c r="O46" s="18" t="str">
        <f t="shared" si="29"/>
        <v/>
      </c>
      <c r="P46" s="18" t="str">
        <f t="shared" si="29"/>
        <v/>
      </c>
      <c r="Q46" s="18" t="str">
        <f t="shared" si="29"/>
        <v/>
      </c>
      <c r="R46" s="18" t="str">
        <f t="shared" si="29"/>
        <v/>
      </c>
      <c r="S46" s="18" t="str">
        <f t="shared" si="29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30">IF(I47="","",I47)</f>
        <v/>
      </c>
      <c r="K47" s="18" t="str">
        <f t="shared" si="30"/>
        <v/>
      </c>
      <c r="L47" s="18" t="str">
        <f t="shared" si="30"/>
        <v/>
      </c>
      <c r="M47" s="18" t="str">
        <f t="shared" si="30"/>
        <v/>
      </c>
      <c r="N47" s="18" t="str">
        <f t="shared" si="30"/>
        <v/>
      </c>
      <c r="O47" s="18" t="str">
        <f t="shared" si="30"/>
        <v/>
      </c>
      <c r="P47" s="18" t="str">
        <f t="shared" si="30"/>
        <v/>
      </c>
      <c r="Q47" s="18" t="str">
        <f t="shared" si="30"/>
        <v/>
      </c>
      <c r="R47" s="18" t="str">
        <f t="shared" si="30"/>
        <v/>
      </c>
      <c r="S47" s="18" t="str">
        <f t="shared" si="30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31">IF(I48="","",I48)</f>
        <v/>
      </c>
      <c r="K48" s="18" t="str">
        <f t="shared" si="31"/>
        <v/>
      </c>
      <c r="L48" s="18" t="str">
        <f t="shared" si="31"/>
        <v/>
      </c>
      <c r="M48" s="18" t="str">
        <f t="shared" si="31"/>
        <v/>
      </c>
      <c r="N48" s="18" t="str">
        <f t="shared" si="31"/>
        <v/>
      </c>
      <c r="O48" s="18" t="str">
        <f t="shared" si="31"/>
        <v/>
      </c>
      <c r="P48" s="18" t="str">
        <f t="shared" si="31"/>
        <v/>
      </c>
      <c r="Q48" s="18" t="str">
        <f t="shared" si="31"/>
        <v/>
      </c>
      <c r="R48" s="18" t="str">
        <f t="shared" si="31"/>
        <v/>
      </c>
      <c r="S48" s="18" t="str">
        <f t="shared" si="31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32">IF(I49="","",I49)</f>
        <v/>
      </c>
      <c r="K49" s="18" t="str">
        <f t="shared" si="32"/>
        <v/>
      </c>
      <c r="L49" s="18" t="str">
        <f t="shared" si="32"/>
        <v/>
      </c>
      <c r="M49" s="18" t="str">
        <f t="shared" si="32"/>
        <v/>
      </c>
      <c r="N49" s="18" t="str">
        <f t="shared" si="32"/>
        <v/>
      </c>
      <c r="O49" s="18" t="str">
        <f t="shared" si="32"/>
        <v/>
      </c>
      <c r="P49" s="18" t="str">
        <f t="shared" si="32"/>
        <v/>
      </c>
      <c r="Q49" s="18" t="str">
        <f t="shared" si="32"/>
        <v/>
      </c>
      <c r="R49" s="18" t="str">
        <f t="shared" si="32"/>
        <v/>
      </c>
      <c r="S49" s="18" t="str">
        <f t="shared" si="32"/>
        <v/>
      </c>
    </row>
    <row r="50" spans="4:19" x14ac:dyDescent="0.25">
      <c r="D50" s="9"/>
      <c r="E50" s="9"/>
      <c r="F50" s="9"/>
      <c r="G50" s="9"/>
      <c r="H50" s="9"/>
      <c r="I50" s="18"/>
      <c r="J50" s="18" t="str">
        <f t="shared" ref="J50:S50" si="33">IF(I50="","",I50)</f>
        <v/>
      </c>
      <c r="K50" s="18" t="str">
        <f t="shared" si="33"/>
        <v/>
      </c>
      <c r="L50" s="18" t="str">
        <f t="shared" si="33"/>
        <v/>
      </c>
      <c r="M50" s="18" t="str">
        <f t="shared" si="33"/>
        <v/>
      </c>
      <c r="N50" s="18" t="str">
        <f t="shared" si="33"/>
        <v/>
      </c>
      <c r="O50" s="18" t="str">
        <f t="shared" si="33"/>
        <v/>
      </c>
      <c r="P50" s="18" t="str">
        <f t="shared" si="33"/>
        <v/>
      </c>
      <c r="Q50" s="18" t="str">
        <f t="shared" si="33"/>
        <v/>
      </c>
      <c r="R50" s="18" t="str">
        <f t="shared" si="33"/>
        <v/>
      </c>
      <c r="S50" s="18" t="str">
        <f t="shared" si="33"/>
        <v/>
      </c>
    </row>
    <row r="51" spans="4:19" x14ac:dyDescent="0.25">
      <c r="D51" s="9"/>
      <c r="E51" s="9"/>
      <c r="F51" s="9"/>
      <c r="G51" s="9"/>
      <c r="H51" s="9"/>
      <c r="I51" s="18"/>
      <c r="J51" s="18" t="str">
        <f t="shared" ref="J51:S51" si="34">IF(I51="","",I51)</f>
        <v/>
      </c>
      <c r="K51" s="18" t="str">
        <f t="shared" si="34"/>
        <v/>
      </c>
      <c r="L51" s="18" t="str">
        <f t="shared" si="34"/>
        <v/>
      </c>
      <c r="M51" s="18" t="str">
        <f t="shared" si="34"/>
        <v/>
      </c>
      <c r="N51" s="18" t="str">
        <f t="shared" si="34"/>
        <v/>
      </c>
      <c r="O51" s="18" t="str">
        <f t="shared" si="34"/>
        <v/>
      </c>
      <c r="P51" s="18" t="str">
        <f t="shared" si="34"/>
        <v/>
      </c>
      <c r="Q51" s="18" t="str">
        <f t="shared" si="34"/>
        <v/>
      </c>
      <c r="R51" s="18" t="str">
        <f t="shared" si="34"/>
        <v/>
      </c>
      <c r="S51" s="18" t="str">
        <f t="shared" si="34"/>
        <v/>
      </c>
    </row>
    <row r="52" spans="4:19" x14ac:dyDescent="0.25">
      <c r="D52" s="9"/>
      <c r="E52" s="9"/>
      <c r="F52" s="9"/>
      <c r="G52" s="9"/>
      <c r="H52" s="9"/>
      <c r="I52" s="18"/>
      <c r="J52" s="18" t="str">
        <f t="shared" ref="J52:S52" si="35">IF(I52="","",I52)</f>
        <v/>
      </c>
      <c r="K52" s="18" t="str">
        <f t="shared" si="35"/>
        <v/>
      </c>
      <c r="L52" s="18" t="str">
        <f t="shared" si="35"/>
        <v/>
      </c>
      <c r="M52" s="18" t="str">
        <f t="shared" si="35"/>
        <v/>
      </c>
      <c r="N52" s="18" t="str">
        <f t="shared" si="35"/>
        <v/>
      </c>
      <c r="O52" s="18" t="str">
        <f t="shared" si="35"/>
        <v/>
      </c>
      <c r="P52" s="18" t="str">
        <f t="shared" si="35"/>
        <v/>
      </c>
      <c r="Q52" s="18" t="str">
        <f t="shared" si="35"/>
        <v/>
      </c>
      <c r="R52" s="18" t="str">
        <f t="shared" si="35"/>
        <v/>
      </c>
      <c r="S52" s="18" t="str">
        <f t="shared" si="35"/>
        <v/>
      </c>
    </row>
    <row r="53" spans="4:19" x14ac:dyDescent="0.25">
      <c r="D53" s="9"/>
      <c r="E53" s="9"/>
      <c r="F53" s="9"/>
      <c r="G53" s="9"/>
      <c r="H53" s="9"/>
      <c r="I53" s="18"/>
      <c r="J53" s="18" t="str">
        <f t="shared" ref="J53:S53" si="36">IF(I53="","",I53)</f>
        <v/>
      </c>
      <c r="K53" s="18" t="str">
        <f t="shared" si="36"/>
        <v/>
      </c>
      <c r="L53" s="18" t="str">
        <f t="shared" si="36"/>
        <v/>
      </c>
      <c r="M53" s="18" t="str">
        <f t="shared" si="36"/>
        <v/>
      </c>
      <c r="N53" s="18" t="str">
        <f t="shared" si="36"/>
        <v/>
      </c>
      <c r="O53" s="18" t="str">
        <f t="shared" si="36"/>
        <v/>
      </c>
      <c r="P53" s="18" t="str">
        <f t="shared" si="36"/>
        <v/>
      </c>
      <c r="Q53" s="18" t="str">
        <f t="shared" si="36"/>
        <v/>
      </c>
      <c r="R53" s="18" t="str">
        <f t="shared" si="36"/>
        <v/>
      </c>
      <c r="S53" s="18" t="str">
        <f t="shared" si="36"/>
        <v/>
      </c>
    </row>
    <row r="54" spans="4:19" x14ac:dyDescent="0.25">
      <c r="D54" s="9"/>
      <c r="E54" s="9"/>
      <c r="F54" s="9"/>
      <c r="G54" s="9"/>
      <c r="H54" s="9"/>
      <c r="I54" s="18"/>
      <c r="J54" s="18" t="str">
        <f t="shared" ref="J54:S54" si="37">IF(I54="","",I54)</f>
        <v/>
      </c>
      <c r="K54" s="18" t="str">
        <f t="shared" si="37"/>
        <v/>
      </c>
      <c r="L54" s="18" t="str">
        <f t="shared" si="37"/>
        <v/>
      </c>
      <c r="M54" s="18" t="str">
        <f t="shared" si="37"/>
        <v/>
      </c>
      <c r="N54" s="18" t="str">
        <f t="shared" si="37"/>
        <v/>
      </c>
      <c r="O54" s="18" t="str">
        <f t="shared" si="37"/>
        <v/>
      </c>
      <c r="P54" s="18" t="str">
        <f t="shared" si="37"/>
        <v/>
      </c>
      <c r="Q54" s="18" t="str">
        <f t="shared" si="37"/>
        <v/>
      </c>
      <c r="R54" s="18" t="str">
        <f t="shared" si="37"/>
        <v/>
      </c>
      <c r="S54" s="18" t="str">
        <f t="shared" si="37"/>
        <v/>
      </c>
    </row>
    <row r="55" spans="4:19" x14ac:dyDescent="0.25">
      <c r="D55" s="9"/>
      <c r="E55" s="9"/>
      <c r="F55" s="9"/>
      <c r="G55" s="9"/>
      <c r="H55" s="9"/>
      <c r="I55" s="18"/>
      <c r="J55" s="18" t="str">
        <f t="shared" ref="J55:S55" si="38">IF(I55="","",I55)</f>
        <v/>
      </c>
      <c r="K55" s="18" t="str">
        <f t="shared" si="38"/>
        <v/>
      </c>
      <c r="L55" s="18" t="str">
        <f t="shared" si="38"/>
        <v/>
      </c>
      <c r="M55" s="18" t="str">
        <f t="shared" si="38"/>
        <v/>
      </c>
      <c r="N55" s="18" t="str">
        <f t="shared" si="38"/>
        <v/>
      </c>
      <c r="O55" s="18" t="str">
        <f t="shared" si="38"/>
        <v/>
      </c>
      <c r="P55" s="18" t="str">
        <f t="shared" si="38"/>
        <v/>
      </c>
      <c r="Q55" s="18" t="str">
        <f t="shared" si="38"/>
        <v/>
      </c>
      <c r="R55" s="18" t="str">
        <f t="shared" si="38"/>
        <v/>
      </c>
      <c r="S55" s="18" t="str">
        <f t="shared" si="38"/>
        <v/>
      </c>
    </row>
    <row r="56" spans="4:19" x14ac:dyDescent="0.25">
      <c r="D56" s="9"/>
      <c r="E56" s="9"/>
      <c r="F56" s="9"/>
      <c r="G56" s="9"/>
      <c r="H56" s="9"/>
      <c r="I56" s="18"/>
      <c r="J56" s="18" t="str">
        <f t="shared" ref="J56:S56" si="39">IF(I56="","",I56)</f>
        <v/>
      </c>
      <c r="K56" s="18" t="str">
        <f t="shared" si="39"/>
        <v/>
      </c>
      <c r="L56" s="18" t="str">
        <f t="shared" si="39"/>
        <v/>
      </c>
      <c r="M56" s="18" t="str">
        <f t="shared" si="39"/>
        <v/>
      </c>
      <c r="N56" s="18" t="str">
        <f t="shared" si="39"/>
        <v/>
      </c>
      <c r="O56" s="18" t="str">
        <f t="shared" si="39"/>
        <v/>
      </c>
      <c r="P56" s="18" t="str">
        <f t="shared" si="39"/>
        <v/>
      </c>
      <c r="Q56" s="18" t="str">
        <f t="shared" si="39"/>
        <v/>
      </c>
      <c r="R56" s="18" t="str">
        <f t="shared" si="39"/>
        <v/>
      </c>
      <c r="S56" s="18" t="str">
        <f t="shared" si="39"/>
        <v/>
      </c>
    </row>
    <row r="57" spans="4:19" x14ac:dyDescent="0.25">
      <c r="D57" s="9"/>
      <c r="E57" s="9"/>
      <c r="F57" s="9"/>
      <c r="G57" s="9"/>
      <c r="H57" s="9"/>
      <c r="I57" s="9"/>
      <c r="J57" s="9" t="str">
        <f t="shared" ref="J57:S57" si="40">IF(I57="","",I57)</f>
        <v/>
      </c>
      <c r="K57" s="9" t="str">
        <f t="shared" si="40"/>
        <v/>
      </c>
      <c r="L57" s="9" t="str">
        <f t="shared" si="40"/>
        <v/>
      </c>
      <c r="M57" s="9" t="str">
        <f t="shared" si="40"/>
        <v/>
      </c>
      <c r="N57" s="9" t="str">
        <f t="shared" si="40"/>
        <v/>
      </c>
      <c r="O57" s="9" t="str">
        <f t="shared" si="40"/>
        <v/>
      </c>
      <c r="P57" s="9" t="str">
        <f t="shared" si="40"/>
        <v/>
      </c>
      <c r="Q57" s="9" t="str">
        <f t="shared" si="40"/>
        <v/>
      </c>
      <c r="R57" s="9" t="str">
        <f t="shared" si="40"/>
        <v/>
      </c>
      <c r="S57" s="9" t="str">
        <f t="shared" si="40"/>
        <v/>
      </c>
    </row>
    <row r="58" spans="4:19" ht="15.75" thickBot="1" x14ac:dyDescent="0.3">
      <c r="D58" s="10"/>
      <c r="E58" s="10"/>
      <c r="F58" s="10"/>
      <c r="G58" s="10"/>
      <c r="H58" s="10"/>
      <c r="I58" s="10"/>
      <c r="J58" s="10" t="str">
        <f t="shared" ref="J58:S58" si="41">IF(I58="","",I58)</f>
        <v/>
      </c>
      <c r="K58" s="10" t="str">
        <f t="shared" si="41"/>
        <v/>
      </c>
      <c r="L58" s="10" t="str">
        <f t="shared" si="41"/>
        <v/>
      </c>
      <c r="M58" s="10" t="str">
        <f t="shared" si="41"/>
        <v/>
      </c>
      <c r="N58" s="10" t="str">
        <f t="shared" si="41"/>
        <v/>
      </c>
      <c r="O58" s="10" t="str">
        <f t="shared" si="41"/>
        <v/>
      </c>
      <c r="P58" s="10" t="str">
        <f t="shared" si="41"/>
        <v/>
      </c>
      <c r="Q58" s="10" t="str">
        <f t="shared" si="41"/>
        <v/>
      </c>
      <c r="R58" s="10" t="str">
        <f t="shared" si="41"/>
        <v/>
      </c>
      <c r="S58" s="10" t="str">
        <f t="shared" si="41"/>
        <v/>
      </c>
    </row>
    <row r="59" spans="4:19" x14ac:dyDescent="0.25">
      <c r="J59" s="5" t="s">
        <v>297</v>
      </c>
      <c r="K59" s="5" t="s">
        <v>297</v>
      </c>
      <c r="L59" s="5" t="s">
        <v>297</v>
      </c>
      <c r="M59" s="5" t="s">
        <v>297</v>
      </c>
      <c r="N59" s="5" t="s">
        <v>297</v>
      </c>
      <c r="O59" s="5" t="s">
        <v>297</v>
      </c>
      <c r="P59" s="5" t="s">
        <v>297</v>
      </c>
      <c r="Q59" s="5" t="s">
        <v>297</v>
      </c>
      <c r="R59" s="5" t="s">
        <v>297</v>
      </c>
      <c r="S59" s="5" t="s">
        <v>297</v>
      </c>
    </row>
  </sheetData>
  <dataValidations count="5">
    <dataValidation type="list" allowBlank="1" showInputMessage="1" showErrorMessage="1" sqref="F5:F56">
      <formula1>WPQuality</formula1>
    </dataValidation>
    <dataValidation type="list" allowBlank="1" showInputMessage="1" showErrorMessage="1" sqref="D5:D56">
      <formula1>WPProcess</formula1>
    </dataValidation>
    <dataValidation type="list" allowBlank="1" showInputMessage="1" showErrorMessage="1" sqref="E5:E56">
      <formula1>MineQuality</formula1>
    </dataValidation>
    <dataValidation type="list" allowBlank="1" showInputMessage="1" showErrorMessage="1" sqref="H5:H56">
      <formula1>Unit</formula1>
    </dataValidation>
    <dataValidation type="list" allowBlank="1" showInputMessage="1" showErrorMessage="1" sqref="G5:G56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zoomScaleNormal="100" workbookViewId="0">
      <selection activeCell="A8" sqref="A8:XFD8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5" width="20.85546875" style="5" customWidth="1"/>
    <col min="6" max="8" width="15.85546875" style="5" customWidth="1"/>
    <col min="9" max="9" width="15.85546875" style="102" customWidth="1"/>
    <col min="10" max="19" width="8.85546875" style="5" customWidth="1"/>
    <col min="20" max="16384" width="11.5703125" style="5"/>
  </cols>
  <sheetData>
    <row r="1" spans="2:19" s="92" customFormat="1" ht="24.95" customHeight="1" x14ac:dyDescent="0.25">
      <c r="B1" s="94" t="s">
        <v>282</v>
      </c>
      <c r="I1" s="101"/>
    </row>
    <row r="3" spans="2:19" ht="15.75" thickBot="1" x14ac:dyDescent="0.3">
      <c r="D3" s="38" t="str">
        <f>JESA_UploadTable(B1,D4:S12,db)</f>
        <v>Beneficiation capex @16:45:54</v>
      </c>
    </row>
    <row r="4" spans="2:19" ht="30" customHeight="1" x14ac:dyDescent="0.25">
      <c r="D4" s="96" t="s">
        <v>30</v>
      </c>
      <c r="E4" s="97" t="s">
        <v>25</v>
      </c>
      <c r="F4" s="97" t="s">
        <v>266</v>
      </c>
      <c r="G4" s="96" t="s">
        <v>12</v>
      </c>
      <c r="H4" s="96" t="s">
        <v>17</v>
      </c>
      <c r="I4" s="111" t="s">
        <v>145</v>
      </c>
      <c r="J4" s="109" t="s">
        <v>71</v>
      </c>
      <c r="K4" s="109" t="s">
        <v>72</v>
      </c>
      <c r="L4" s="109" t="s">
        <v>73</v>
      </c>
      <c r="M4" s="109" t="s">
        <v>74</v>
      </c>
      <c r="N4" s="109" t="s">
        <v>75</v>
      </c>
      <c r="O4" s="109" t="s">
        <v>358</v>
      </c>
      <c r="P4" s="109" t="s">
        <v>76</v>
      </c>
      <c r="Q4" s="109" t="s">
        <v>77</v>
      </c>
      <c r="R4" s="109" t="s">
        <v>78</v>
      </c>
      <c r="S4" s="109" t="s">
        <v>79</v>
      </c>
    </row>
    <row r="5" spans="2:19" x14ac:dyDescent="0.25">
      <c r="D5" s="9" t="s">
        <v>283</v>
      </c>
      <c r="E5" s="107" t="s">
        <v>283</v>
      </c>
      <c r="F5" s="18">
        <v>9</v>
      </c>
      <c r="G5" s="9" t="s">
        <v>22</v>
      </c>
      <c r="H5" s="9" t="s">
        <v>371</v>
      </c>
      <c r="I5" s="106">
        <f>2182*1000000/9.5</f>
        <v>229684210.52631578</v>
      </c>
      <c r="J5" s="27"/>
      <c r="K5" s="27"/>
      <c r="L5" s="27">
        <v>0.2</v>
      </c>
      <c r="M5" s="27">
        <v>0.4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283</v>
      </c>
      <c r="E6" s="107" t="s">
        <v>283</v>
      </c>
      <c r="F6" s="18">
        <v>8.5</v>
      </c>
      <c r="G6" s="9" t="s">
        <v>22</v>
      </c>
      <c r="H6" s="9" t="s">
        <v>371</v>
      </c>
      <c r="I6" s="106">
        <f>3055*1000000/9.5</f>
        <v>321578947.36842108</v>
      </c>
      <c r="J6" s="27"/>
      <c r="K6" s="27"/>
      <c r="L6" s="27">
        <v>0.2</v>
      </c>
      <c r="M6" s="27">
        <v>0.4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291</v>
      </c>
      <c r="E7" s="9" t="s">
        <v>291</v>
      </c>
      <c r="F7" s="18">
        <v>4.5</v>
      </c>
      <c r="G7" s="9" t="s">
        <v>22</v>
      </c>
      <c r="H7" s="9" t="s">
        <v>371</v>
      </c>
      <c r="I7" s="106">
        <f>2708*1000000/9.5</f>
        <v>285052631.57894737</v>
      </c>
      <c r="J7" s="27"/>
      <c r="K7" s="27"/>
      <c r="L7" s="27">
        <v>0.2</v>
      </c>
      <c r="M7" s="27">
        <v>0.4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289</v>
      </c>
      <c r="E8" s="9" t="s">
        <v>289</v>
      </c>
      <c r="F8" s="18">
        <v>5</v>
      </c>
      <c r="G8" s="9" t="s">
        <v>22</v>
      </c>
      <c r="H8" s="9" t="s">
        <v>371</v>
      </c>
      <c r="I8" s="106">
        <f>4524*1000000/2/9.5</f>
        <v>238105263.15789473</v>
      </c>
      <c r="J8" s="27"/>
      <c r="K8" s="27"/>
      <c r="L8" s="27">
        <v>0.2</v>
      </c>
      <c r="M8" s="27">
        <v>0.4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289</v>
      </c>
      <c r="E9" s="9" t="s">
        <v>289</v>
      </c>
      <c r="F9" s="149">
        <v>15</v>
      </c>
      <c r="G9" s="9" t="s">
        <v>22</v>
      </c>
      <c r="H9" s="9" t="s">
        <v>371</v>
      </c>
      <c r="I9" s="106">
        <f>I8</f>
        <v>238105263.15789473</v>
      </c>
      <c r="J9" s="27"/>
      <c r="K9" s="27"/>
      <c r="L9" s="27">
        <v>0.2</v>
      </c>
      <c r="M9" s="27">
        <v>0.4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/>
      <c r="E10" s="9"/>
      <c r="F10" s="18"/>
      <c r="G10" s="9"/>
      <c r="H10" s="9"/>
      <c r="I10" s="106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18"/>
      <c r="G11" s="9"/>
      <c r="H11" s="9"/>
      <c r="I11" s="106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18"/>
      <c r="G12" s="9"/>
      <c r="H12" s="9"/>
      <c r="I12" s="106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18"/>
      <c r="G13" s="9"/>
      <c r="H13" s="9"/>
      <c r="I13" s="106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18"/>
      <c r="G14" s="9"/>
      <c r="H14" s="9"/>
      <c r="I14" s="106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18"/>
      <c r="G15" s="9"/>
      <c r="H15" s="9"/>
      <c r="I15" s="106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18"/>
      <c r="G16" s="9"/>
      <c r="H16" s="9"/>
      <c r="I16" s="106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18"/>
      <c r="G17" s="9"/>
      <c r="H17" s="9"/>
      <c r="I17" s="106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18"/>
      <c r="G18" s="9"/>
      <c r="H18" s="9"/>
      <c r="I18" s="106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18"/>
      <c r="G19" s="9"/>
      <c r="H19" s="9"/>
      <c r="I19" s="106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18"/>
      <c r="G20" s="9"/>
      <c r="H20" s="9"/>
      <c r="I20" s="106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.75" thickBot="1" x14ac:dyDescent="0.3">
      <c r="D21" s="10"/>
      <c r="E21" s="10"/>
      <c r="F21" s="43"/>
      <c r="G21" s="10"/>
      <c r="H21" s="10"/>
      <c r="I21" s="112"/>
      <c r="J21" s="41"/>
      <c r="K21" s="41"/>
      <c r="L21" s="41"/>
      <c r="M21" s="41"/>
      <c r="N21" s="41"/>
      <c r="O21" s="41"/>
      <c r="P21" s="41"/>
      <c r="Q21" s="41"/>
      <c r="R21" s="41"/>
      <c r="S21" s="41"/>
    </row>
    <row r="22" spans="4:19" x14ac:dyDescent="0.25">
      <c r="I22" s="5"/>
    </row>
    <row r="23" spans="4:19" x14ac:dyDescent="0.25">
      <c r="I23" s="5"/>
    </row>
    <row r="24" spans="4:19" x14ac:dyDescent="0.25">
      <c r="I24" s="5"/>
    </row>
    <row r="25" spans="4:19" x14ac:dyDescent="0.25">
      <c r="I25" s="5"/>
    </row>
    <row r="26" spans="4:19" x14ac:dyDescent="0.25">
      <c r="I26" s="5"/>
    </row>
    <row r="27" spans="4:19" x14ac:dyDescent="0.25">
      <c r="I27" s="5"/>
    </row>
    <row r="28" spans="4:19" x14ac:dyDescent="0.25">
      <c r="I28" s="5"/>
    </row>
    <row r="29" spans="4:19" x14ac:dyDescent="0.25">
      <c r="I29" s="5"/>
    </row>
    <row r="30" spans="4:19" x14ac:dyDescent="0.25">
      <c r="I30" s="5"/>
    </row>
    <row r="31" spans="4:19" x14ac:dyDescent="0.25">
      <c r="I31" s="5"/>
    </row>
  </sheetData>
  <dataValidations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M4" sqref="M4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2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6384" width="11.5703125" style="31"/>
  </cols>
  <sheetData>
    <row r="1" spans="2:13" s="46" customFormat="1" ht="25.35" customHeight="1" x14ac:dyDescent="0.25">
      <c r="B1" s="45" t="s">
        <v>157</v>
      </c>
      <c r="I1" s="47"/>
    </row>
    <row r="3" spans="2:13" ht="15.75" thickBot="1" x14ac:dyDescent="0.3">
      <c r="D3" s="31" t="str">
        <f>JESA_UploadTable(D4,D4:D40,db)</f>
        <v>SAP/Name @16:45:54</v>
      </c>
      <c r="F3" s="31" t="str">
        <f>JESA_UploadTable(F4,F4:F40,db)</f>
        <v>SAP/Process @16:45:55</v>
      </c>
      <c r="H3" s="31" t="str">
        <f>JESA_UploadTable("sap.product",H4:I40,db)</f>
        <v>sap.product @16:45:55</v>
      </c>
      <c r="K3" s="31" t="str">
        <f>JESA_UploadTable(K4,K4:K40,db)</f>
        <v>SAP/CAPEX @16:45:54</v>
      </c>
      <c r="M3" s="31" t="str">
        <f>JESA_UploadTable(M4,M4:M40,db)</f>
        <v>SAP/Capacity[kt] @16:45:55</v>
      </c>
    </row>
    <row r="4" spans="2:13" ht="30" customHeight="1" thickBot="1" x14ac:dyDescent="0.3">
      <c r="D4" s="48" t="s">
        <v>158</v>
      </c>
      <c r="F4" s="48" t="s">
        <v>159</v>
      </c>
      <c r="H4" s="48" t="s">
        <v>24</v>
      </c>
      <c r="I4" s="48" t="s">
        <v>160</v>
      </c>
      <c r="K4" s="48" t="s">
        <v>161</v>
      </c>
      <c r="M4" s="48" t="s">
        <v>162</v>
      </c>
    </row>
    <row r="5" spans="2:13" x14ac:dyDescent="0.25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25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25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25">
      <c r="D8" s="33" t="s">
        <v>126</v>
      </c>
      <c r="F8" s="33"/>
      <c r="H8" s="33"/>
      <c r="I8" s="33"/>
      <c r="K8" s="33"/>
      <c r="M8" s="33"/>
    </row>
    <row r="9" spans="2:13" x14ac:dyDescent="0.25">
      <c r="D9" s="33" t="s">
        <v>127</v>
      </c>
      <c r="F9" s="33"/>
      <c r="H9" s="33"/>
      <c r="I9" s="33"/>
      <c r="K9" s="33"/>
      <c r="M9" s="33"/>
    </row>
    <row r="10" spans="2:13" x14ac:dyDescent="0.25">
      <c r="D10" s="33" t="s">
        <v>128</v>
      </c>
      <c r="F10" s="33"/>
      <c r="H10" s="33"/>
      <c r="I10" s="33"/>
      <c r="K10" s="33"/>
      <c r="M10" s="33"/>
    </row>
    <row r="11" spans="2:13" x14ac:dyDescent="0.25">
      <c r="D11" s="33" t="s">
        <v>170</v>
      </c>
      <c r="F11" s="33"/>
      <c r="H11" s="33"/>
      <c r="I11" s="33"/>
      <c r="K11" s="33"/>
      <c r="M11" s="33"/>
    </row>
    <row r="12" spans="2:13" x14ac:dyDescent="0.25">
      <c r="D12" s="33" t="s">
        <v>171</v>
      </c>
      <c r="F12" s="33"/>
      <c r="H12" s="33"/>
      <c r="I12" s="33"/>
      <c r="K12" s="33"/>
      <c r="M12" s="33"/>
    </row>
    <row r="13" spans="2:13" x14ac:dyDescent="0.25">
      <c r="D13" s="33" t="s">
        <v>172</v>
      </c>
      <c r="F13" s="33"/>
      <c r="H13" s="33"/>
      <c r="I13" s="33"/>
      <c r="K13" s="33"/>
      <c r="M13" s="33"/>
    </row>
    <row r="14" spans="2:13" x14ac:dyDescent="0.25">
      <c r="D14" s="33" t="s">
        <v>173</v>
      </c>
      <c r="F14" s="33"/>
      <c r="H14" s="33"/>
      <c r="I14" s="33"/>
      <c r="K14" s="33"/>
      <c r="M14" s="33"/>
    </row>
    <row r="15" spans="2:13" x14ac:dyDescent="0.25">
      <c r="D15" s="33" t="s">
        <v>174</v>
      </c>
      <c r="F15" s="33"/>
      <c r="H15" s="33"/>
      <c r="I15" s="33"/>
      <c r="K15" s="33"/>
      <c r="M15" s="33"/>
    </row>
    <row r="16" spans="2:13" x14ac:dyDescent="0.25">
      <c r="D16" s="33" t="s">
        <v>175</v>
      </c>
      <c r="F16" s="33"/>
      <c r="H16" s="33"/>
      <c r="I16" s="33"/>
      <c r="K16" s="33"/>
      <c r="M16" s="33"/>
    </row>
    <row r="17" spans="4:13" x14ac:dyDescent="0.25">
      <c r="D17" s="33"/>
      <c r="F17" s="33"/>
      <c r="H17" s="33"/>
      <c r="I17" s="33"/>
      <c r="K17" s="33"/>
      <c r="M17" s="33"/>
    </row>
    <row r="18" spans="4:13" x14ac:dyDescent="0.25">
      <c r="D18" s="33"/>
      <c r="F18" s="33"/>
      <c r="H18" s="33"/>
      <c r="I18" s="33"/>
      <c r="K18" s="33"/>
      <c r="M18" s="33"/>
    </row>
    <row r="19" spans="4:13" x14ac:dyDescent="0.25">
      <c r="D19" s="33"/>
      <c r="F19" s="33"/>
      <c r="H19" s="33"/>
      <c r="I19" s="33"/>
      <c r="K19" s="33"/>
      <c r="M19" s="33"/>
    </row>
    <row r="20" spans="4:13" x14ac:dyDescent="0.25">
      <c r="D20" s="33"/>
      <c r="F20" s="33"/>
      <c r="H20" s="33"/>
      <c r="I20" s="33"/>
      <c r="K20" s="33"/>
      <c r="M20" s="33"/>
    </row>
    <row r="21" spans="4:13" x14ac:dyDescent="0.25">
      <c r="D21" s="33"/>
      <c r="F21" s="33"/>
      <c r="H21" s="33"/>
      <c r="I21" s="33"/>
      <c r="K21" s="33"/>
      <c r="M21" s="33"/>
    </row>
    <row r="22" spans="4:13" x14ac:dyDescent="0.25">
      <c r="D22" s="33"/>
      <c r="F22" s="33"/>
      <c r="H22" s="33"/>
      <c r="I22" s="33"/>
      <c r="K22" s="33"/>
      <c r="M22" s="33"/>
    </row>
    <row r="23" spans="4:13" x14ac:dyDescent="0.25">
      <c r="D23" s="33"/>
      <c r="F23" s="33"/>
      <c r="H23" s="33"/>
      <c r="I23" s="33"/>
      <c r="K23" s="33"/>
      <c r="M23" s="33"/>
    </row>
    <row r="24" spans="4:13" x14ac:dyDescent="0.25">
      <c r="D24" s="33"/>
      <c r="F24" s="33"/>
      <c r="H24" s="33"/>
      <c r="I24" s="33"/>
      <c r="K24" s="33"/>
      <c r="M24" s="33"/>
    </row>
    <row r="25" spans="4:13" x14ac:dyDescent="0.25">
      <c r="D25" s="33"/>
      <c r="F25" s="33"/>
      <c r="H25" s="33"/>
      <c r="I25" s="33"/>
      <c r="K25" s="33"/>
      <c r="M25" s="33"/>
    </row>
    <row r="26" spans="4:13" x14ac:dyDescent="0.25">
      <c r="D26" s="33"/>
      <c r="F26" s="33"/>
      <c r="H26" s="33"/>
      <c r="I26" s="33"/>
      <c r="K26" s="33"/>
      <c r="M26" s="33"/>
    </row>
    <row r="27" spans="4:13" x14ac:dyDescent="0.25">
      <c r="D27" s="33"/>
      <c r="F27" s="33"/>
      <c r="H27" s="33"/>
      <c r="I27" s="33"/>
      <c r="K27" s="33"/>
      <c r="M27" s="33"/>
    </row>
    <row r="28" spans="4:13" x14ac:dyDescent="0.25">
      <c r="D28" s="33"/>
      <c r="F28" s="33"/>
      <c r="H28" s="33"/>
      <c r="I28" s="33"/>
      <c r="K28" s="33"/>
      <c r="M28" s="33"/>
    </row>
    <row r="29" spans="4:13" x14ac:dyDescent="0.25">
      <c r="D29" s="33"/>
      <c r="F29" s="33"/>
      <c r="H29" s="33"/>
      <c r="I29" s="33"/>
      <c r="K29" s="33"/>
      <c r="M29" s="33"/>
    </row>
    <row r="30" spans="4:13" x14ac:dyDescent="0.25">
      <c r="D30" s="33"/>
      <c r="F30" s="33"/>
      <c r="H30" s="33"/>
      <c r="I30" s="33"/>
      <c r="K30" s="33"/>
      <c r="M30" s="33"/>
    </row>
    <row r="31" spans="4:13" x14ac:dyDescent="0.25">
      <c r="D31" s="33"/>
      <c r="F31" s="33"/>
      <c r="H31" s="33"/>
      <c r="I31" s="33"/>
      <c r="K31" s="33"/>
      <c r="M31" s="33"/>
    </row>
    <row r="32" spans="4:13" x14ac:dyDescent="0.25">
      <c r="D32" s="33"/>
      <c r="F32" s="33"/>
      <c r="H32" s="33"/>
      <c r="I32" s="33"/>
      <c r="K32" s="33"/>
      <c r="M32" s="33"/>
    </row>
    <row r="33" spans="4:13" x14ac:dyDescent="0.25">
      <c r="D33" s="33"/>
      <c r="F33" s="33"/>
      <c r="H33" s="33"/>
      <c r="I33" s="33"/>
      <c r="K33" s="33"/>
      <c r="M33" s="33"/>
    </row>
    <row r="34" spans="4:13" x14ac:dyDescent="0.25">
      <c r="D34" s="33"/>
      <c r="F34" s="33"/>
      <c r="H34" s="33"/>
      <c r="I34" s="33"/>
      <c r="K34" s="33"/>
      <c r="M34" s="33"/>
    </row>
    <row r="35" spans="4:13" x14ac:dyDescent="0.25">
      <c r="D35" s="33"/>
      <c r="F35" s="33"/>
      <c r="H35" s="33"/>
      <c r="I35" s="33"/>
      <c r="K35" s="33"/>
      <c r="M35" s="33"/>
    </row>
    <row r="36" spans="4:13" x14ac:dyDescent="0.25">
      <c r="D36" s="33"/>
      <c r="F36" s="33"/>
      <c r="H36" s="33"/>
      <c r="I36" s="33"/>
      <c r="K36" s="33"/>
      <c r="M36" s="33"/>
    </row>
    <row r="37" spans="4:13" x14ac:dyDescent="0.25">
      <c r="D37" s="33"/>
      <c r="F37" s="33"/>
      <c r="H37" s="33"/>
      <c r="I37" s="33"/>
      <c r="K37" s="33"/>
      <c r="M37" s="33"/>
    </row>
    <row r="38" spans="4:13" x14ac:dyDescent="0.25">
      <c r="D38" s="33"/>
      <c r="F38" s="33"/>
      <c r="H38" s="33"/>
      <c r="I38" s="33"/>
      <c r="K38" s="33"/>
      <c r="M38" s="33"/>
    </row>
    <row r="39" spans="4:13" x14ac:dyDescent="0.25">
      <c r="D39" s="33"/>
      <c r="F39" s="33"/>
      <c r="H39" s="33"/>
      <c r="I39" s="33"/>
      <c r="K39" s="33"/>
      <c r="M39" s="33"/>
    </row>
    <row r="40" spans="4:13" ht="15.75" thickBot="1" x14ac:dyDescent="0.3">
      <c r="D40" s="34"/>
      <c r="F40" s="34"/>
      <c r="H40" s="34"/>
      <c r="I40" s="34"/>
      <c r="K40" s="34"/>
      <c r="M40" s="34"/>
    </row>
    <row r="41" spans="4:13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39"/>
  <sheetViews>
    <sheetView zoomScaleNormal="100" workbookViewId="0">
      <selection activeCell="F9" sqref="F9"/>
    </sheetView>
  </sheetViews>
  <sheetFormatPr baseColWidth="10" defaultColWidth="11.5703125" defaultRowHeight="15" x14ac:dyDescent="0.25"/>
  <cols>
    <col min="1" max="3" width="3.5703125" style="5" customWidth="1"/>
    <col min="4" max="7" width="15.5703125" style="5" customWidth="1"/>
    <col min="8" max="8" width="15.85546875" style="5" customWidth="1"/>
    <col min="9" max="11" width="15.5703125" style="5" customWidth="1"/>
    <col min="12" max="12" width="17.42578125" style="5" customWidth="1"/>
    <col min="13" max="13" width="62.5703125" style="5" bestFit="1" customWidth="1"/>
    <col min="14" max="16384" width="11.5703125" style="5"/>
  </cols>
  <sheetData>
    <row r="1" spans="2:13" s="49" customFormat="1" ht="25.35" customHeight="1" x14ac:dyDescent="0.25">
      <c r="B1" s="45" t="s">
        <v>176</v>
      </c>
      <c r="H1" s="50"/>
      <c r="I1" s="50"/>
      <c r="J1" s="50"/>
      <c r="K1" s="50"/>
      <c r="L1" s="50"/>
    </row>
    <row r="3" spans="2:13" ht="15.75" thickBot="1" x14ac:dyDescent="0.3">
      <c r="D3" s="38" t="str">
        <f>JESA_UploadTable(B1,D4:M44,db)</f>
        <v>SAP &amp; Power plant options @16:45:56</v>
      </c>
    </row>
    <row r="4" spans="2:13" ht="30" customHeight="1" thickBot="1" x14ac:dyDescent="0.3">
      <c r="D4" s="51" t="s">
        <v>8</v>
      </c>
      <c r="E4" s="51" t="s">
        <v>30</v>
      </c>
      <c r="F4" s="52" t="s">
        <v>25</v>
      </c>
      <c r="G4" s="53" t="s">
        <v>266</v>
      </c>
      <c r="H4" s="53" t="s">
        <v>17</v>
      </c>
      <c r="I4" s="53" t="s">
        <v>70</v>
      </c>
      <c r="J4" s="53" t="s">
        <v>356</v>
      </c>
      <c r="K4" s="53" t="s">
        <v>144</v>
      </c>
      <c r="L4" s="53" t="s">
        <v>148</v>
      </c>
      <c r="M4" s="51" t="s">
        <v>149</v>
      </c>
    </row>
    <row r="5" spans="2:13" x14ac:dyDescent="0.25">
      <c r="D5" s="8" t="s">
        <v>3</v>
      </c>
      <c r="E5" s="8" t="s">
        <v>124</v>
      </c>
      <c r="F5" s="8" t="s">
        <v>164</v>
      </c>
      <c r="G5" s="14">
        <v>1600</v>
      </c>
      <c r="H5" s="13" t="s">
        <v>335</v>
      </c>
      <c r="I5" s="13" t="s">
        <v>36</v>
      </c>
      <c r="J5" s="13"/>
      <c r="K5" s="14">
        <v>2022</v>
      </c>
      <c r="L5" s="14">
        <v>2100</v>
      </c>
      <c r="M5" s="8" t="str">
        <f>IF(D5="","","/SAP/"&amp;CONCATENATE(D5,"/",E5,"/",F5,"/",G5,"/",I5,"/",K5,"/",L5))</f>
        <v>/SAP/Mzinda/SAP1/DA-HRS/1600/Existing/2022/2100</v>
      </c>
    </row>
    <row r="6" spans="2:13" x14ac:dyDescent="0.25">
      <c r="D6" s="9" t="s">
        <v>3</v>
      </c>
      <c r="E6" s="9" t="s">
        <v>125</v>
      </c>
      <c r="F6" s="9" t="s">
        <v>164</v>
      </c>
      <c r="G6" s="15">
        <v>1600</v>
      </c>
      <c r="H6" s="11" t="s">
        <v>335</v>
      </c>
      <c r="I6" s="11" t="s">
        <v>36</v>
      </c>
      <c r="J6" s="11"/>
      <c r="K6" s="15">
        <v>2022</v>
      </c>
      <c r="L6" s="15">
        <v>2100</v>
      </c>
      <c r="M6" s="9" t="str">
        <f t="shared" ref="M6:M39" si="0">IF(D6="","","/SAP/"&amp;CONCATENATE(D6,"/",E6,"/",F6,"/",G6,"/",I6,"/",K6,"/",L6))</f>
        <v>/SAP/Mzinda/SAP2/DA-HRS/1600/Existing/2022/2100</v>
      </c>
    </row>
    <row r="7" spans="2:13" x14ac:dyDescent="0.25">
      <c r="D7" s="9" t="s">
        <v>3</v>
      </c>
      <c r="E7" s="9" t="s">
        <v>126</v>
      </c>
      <c r="F7" s="9" t="s">
        <v>164</v>
      </c>
      <c r="G7" s="15">
        <v>1600</v>
      </c>
      <c r="H7" s="11" t="s">
        <v>335</v>
      </c>
      <c r="I7" s="11" t="s">
        <v>36</v>
      </c>
      <c r="J7" s="11"/>
      <c r="K7" s="15">
        <v>2022</v>
      </c>
      <c r="L7" s="15">
        <v>2100</v>
      </c>
      <c r="M7" s="9" t="str">
        <f t="shared" si="0"/>
        <v>/SAP/Mzinda/SAP3/DA-HRS/1600/Existing/2022/2100</v>
      </c>
    </row>
    <row r="8" spans="2:13" x14ac:dyDescent="0.25">
      <c r="D8" s="9" t="s">
        <v>3</v>
      </c>
      <c r="E8" s="9">
        <v>8</v>
      </c>
      <c r="F8" s="9" t="s">
        <v>164</v>
      </c>
      <c r="G8" s="15">
        <v>1600</v>
      </c>
      <c r="H8" s="11" t="s">
        <v>335</v>
      </c>
      <c r="I8" s="11" t="s">
        <v>146</v>
      </c>
      <c r="J8" s="11"/>
      <c r="K8" s="15">
        <v>2022</v>
      </c>
      <c r="L8" s="15">
        <v>2100</v>
      </c>
      <c r="M8" s="9" t="str">
        <f t="shared" si="0"/>
        <v>/SAP/Mzinda/8/DA-HRS/1600/New/2022/2100</v>
      </c>
    </row>
    <row r="9" spans="2:13" x14ac:dyDescent="0.25">
      <c r="D9" s="9" t="s">
        <v>3</v>
      </c>
      <c r="E9" s="9">
        <v>4</v>
      </c>
      <c r="F9" s="9" t="s">
        <v>165</v>
      </c>
      <c r="G9" s="15">
        <v>3200</v>
      </c>
      <c r="H9" s="11" t="s">
        <v>335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25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335</v>
      </c>
      <c r="I10" s="11" t="s">
        <v>36</v>
      </c>
      <c r="J10" s="11" t="s">
        <v>357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25">
      <c r="D11" s="9"/>
      <c r="E11" s="9"/>
      <c r="F11" s="9"/>
      <c r="G11" s="15"/>
      <c r="H11" s="11"/>
      <c r="I11" s="11"/>
      <c r="J11" s="11"/>
      <c r="K11" s="15"/>
      <c r="L11" s="15"/>
      <c r="M11" s="9" t="str">
        <f t="shared" si="0"/>
        <v/>
      </c>
    </row>
    <row r="12" spans="2:13" x14ac:dyDescent="0.25">
      <c r="D12" s="9"/>
      <c r="E12" s="9"/>
      <c r="F12" s="9"/>
      <c r="G12" s="15"/>
      <c r="H12" s="11"/>
      <c r="I12" s="11"/>
      <c r="J12" s="11"/>
      <c r="K12" s="15"/>
      <c r="L12" s="15"/>
      <c r="M12" s="9" t="str">
        <f t="shared" si="0"/>
        <v/>
      </c>
    </row>
    <row r="13" spans="2:13" x14ac:dyDescent="0.25">
      <c r="D13" s="9"/>
      <c r="E13" s="9"/>
      <c r="F13" s="9"/>
      <c r="G13" s="15"/>
      <c r="H13" s="11"/>
      <c r="I13" s="11"/>
      <c r="J13" s="11"/>
      <c r="K13" s="15"/>
      <c r="L13" s="15"/>
      <c r="M13" s="9" t="str">
        <f t="shared" si="0"/>
        <v/>
      </c>
    </row>
    <row r="14" spans="2:13" x14ac:dyDescent="0.25">
      <c r="D14" s="9"/>
      <c r="E14" s="9"/>
      <c r="F14" s="9"/>
      <c r="G14" s="15"/>
      <c r="H14" s="11"/>
      <c r="I14" s="11"/>
      <c r="J14" s="11"/>
      <c r="K14" s="15"/>
      <c r="L14" s="15"/>
      <c r="M14" s="9" t="str">
        <f t="shared" si="0"/>
        <v/>
      </c>
    </row>
    <row r="15" spans="2:13" x14ac:dyDescent="0.25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25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25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25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25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25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25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25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25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25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25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25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25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25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25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25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25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25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25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25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25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25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25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ht="15.75" thickBot="1" x14ac:dyDescent="0.3">
      <c r="D38" s="10"/>
      <c r="E38" s="10"/>
      <c r="F38" s="10"/>
      <c r="G38" s="16"/>
      <c r="H38" s="12"/>
      <c r="I38" s="12"/>
      <c r="J38" s="12"/>
      <c r="K38" s="16"/>
      <c r="L38" s="16"/>
      <c r="M38" s="10" t="str">
        <f t="shared" si="0"/>
        <v/>
      </c>
    </row>
    <row r="39" spans="4:13" x14ac:dyDescent="0.25">
      <c r="D39" s="5" t="e">
        <v>#N/A</v>
      </c>
      <c r="E39" s="5" t="e">
        <v>#N/A</v>
      </c>
      <c r="F39" s="5" t="e">
        <v>#N/A</v>
      </c>
      <c r="G39" s="5" t="e">
        <v>#N/A</v>
      </c>
      <c r="I39" s="5" t="e">
        <v>#N/A</v>
      </c>
      <c r="K39" s="5" t="e">
        <v>#N/A</v>
      </c>
      <c r="L39" s="5" t="e">
        <v>#N/A</v>
      </c>
      <c r="M39" s="5" t="e">
        <f t="shared" si="0"/>
        <v>#N/A</v>
      </c>
    </row>
  </sheetData>
  <dataValidations count="5">
    <dataValidation type="list" allowBlank="1" showInputMessage="1" showErrorMessage="1" sqref="I5:J38">
      <formula1>"Existing,New"</formula1>
    </dataValidation>
    <dataValidation type="list" allowBlank="1" showInputMessage="1" showErrorMessage="1" sqref="D5:D38">
      <formula1>Location</formula1>
    </dataValidation>
    <dataValidation type="list" allowBlank="1" showInputMessage="1" showErrorMessage="1" sqref="G5:G38">
      <formula1>SAPSize</formula1>
    </dataValidation>
    <dataValidation type="list" allowBlank="1" showInputMessage="1" showErrorMessage="1" sqref="F5:F38">
      <formula1>SAPProcess</formula1>
    </dataValidation>
    <dataValidation type="list" allowBlank="1" showInputMessage="1" showErrorMessage="1" sqref="H5:H38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FF0000"/>
  </sheetPr>
  <dimension ref="B1:R47"/>
  <sheetViews>
    <sheetView zoomScaleNormal="100" workbookViewId="0">
      <selection activeCell="S5" sqref="S5"/>
    </sheetView>
  </sheetViews>
  <sheetFormatPr baseColWidth="10" defaultColWidth="11.5703125" defaultRowHeight="15" outlineLevelCol="1" x14ac:dyDescent="0.25"/>
  <cols>
    <col min="1" max="3" width="3.5703125" style="5" customWidth="1"/>
    <col min="4" max="4" width="15.5703125" style="5" customWidth="1"/>
    <col min="5" max="5" width="28.42578125" style="5" customWidth="1"/>
    <col min="6" max="7" width="15.5703125" style="5" customWidth="1"/>
    <col min="8" max="8" width="8.5703125" style="5" customWidth="1"/>
    <col min="9" max="18" width="8.5703125" style="5" customWidth="1" outlineLevel="1"/>
    <col min="19" max="16384" width="11.5703125" style="5"/>
  </cols>
  <sheetData>
    <row r="1" spans="2:18" s="49" customFormat="1" ht="25.35" customHeight="1" x14ac:dyDescent="0.25">
      <c r="B1" s="45" t="s">
        <v>177</v>
      </c>
    </row>
    <row r="3" spans="2:18" ht="15.75" thickBot="1" x14ac:dyDescent="0.3">
      <c r="D3" s="38" t="str">
        <f>JESA_UploadTable(B1,D4:R10,db)</f>
        <v>SAP &amp; Power plant production @16:45:54</v>
      </c>
      <c r="E3" s="38"/>
    </row>
    <row r="4" spans="2:18" ht="30" customHeight="1" thickBot="1" x14ac:dyDescent="0.3">
      <c r="D4" s="51" t="s">
        <v>8</v>
      </c>
      <c r="E4" s="51" t="s">
        <v>25</v>
      </c>
      <c r="F4" s="51" t="s">
        <v>24</v>
      </c>
      <c r="G4" s="53" t="s">
        <v>17</v>
      </c>
      <c r="H4" s="54" t="s">
        <v>37</v>
      </c>
      <c r="I4" s="54" t="s">
        <v>38</v>
      </c>
      <c r="J4" s="54" t="s">
        <v>39</v>
      </c>
      <c r="K4" s="54" t="s">
        <v>40</v>
      </c>
      <c r="L4" s="54" t="s">
        <v>41</v>
      </c>
      <c r="M4" s="54" t="s">
        <v>42</v>
      </c>
      <c r="N4" s="54" t="s">
        <v>43</v>
      </c>
      <c r="O4" s="54" t="s">
        <v>44</v>
      </c>
      <c r="P4" s="54" t="s">
        <v>45</v>
      </c>
      <c r="Q4" s="54" t="s">
        <v>46</v>
      </c>
      <c r="R4" s="54" t="s">
        <v>47</v>
      </c>
    </row>
    <row r="5" spans="2:18" x14ac:dyDescent="0.25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.75" thickBot="1" x14ac:dyDescent="0.3">
      <c r="D6" s="71" t="s">
        <v>3</v>
      </c>
      <c r="E6" s="71" t="s">
        <v>164</v>
      </c>
      <c r="F6" s="71" t="s">
        <v>15</v>
      </c>
      <c r="G6" s="71" t="s">
        <v>65</v>
      </c>
      <c r="H6" s="140">
        <v>370</v>
      </c>
      <c r="I6" s="140">
        <v>370</v>
      </c>
      <c r="J6" s="140">
        <v>370</v>
      </c>
      <c r="K6" s="140">
        <v>370</v>
      </c>
      <c r="L6" s="140">
        <v>370</v>
      </c>
      <c r="M6" s="140">
        <v>370</v>
      </c>
      <c r="N6" s="140">
        <v>370</v>
      </c>
      <c r="O6" s="140">
        <v>370</v>
      </c>
      <c r="P6" s="140">
        <v>370</v>
      </c>
      <c r="Q6" s="140">
        <v>370</v>
      </c>
      <c r="R6" s="140">
        <v>370</v>
      </c>
    </row>
    <row r="7" spans="2:18" x14ac:dyDescent="0.25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.75" thickBot="1" x14ac:dyDescent="0.3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25">
      <c r="D9" s="42" t="s">
        <v>26</v>
      </c>
      <c r="E9" s="42" t="s">
        <v>167</v>
      </c>
      <c r="F9" s="42" t="s">
        <v>29</v>
      </c>
      <c r="G9" s="42" t="s">
        <v>57</v>
      </c>
      <c r="H9" s="139">
        <v>1</v>
      </c>
      <c r="I9" s="139">
        <v>1</v>
      </c>
      <c r="J9" s="139">
        <v>1</v>
      </c>
      <c r="K9" s="139">
        <v>1</v>
      </c>
      <c r="L9" s="139">
        <v>1</v>
      </c>
      <c r="M9" s="139">
        <v>1</v>
      </c>
      <c r="N9" s="139">
        <v>1</v>
      </c>
      <c r="O9" s="139">
        <v>1</v>
      </c>
      <c r="P9" s="139">
        <v>1</v>
      </c>
      <c r="Q9" s="139">
        <v>1</v>
      </c>
      <c r="R9" s="139">
        <v>1</v>
      </c>
    </row>
    <row r="10" spans="2:18" ht="15.75" thickBot="1" x14ac:dyDescent="0.3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25">
      <c r="D11" s="42"/>
      <c r="E11" s="42"/>
      <c r="F11" s="42"/>
      <c r="G11" s="42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</row>
    <row r="12" spans="2:18" x14ac:dyDescent="0.25">
      <c r="D12" s="9"/>
      <c r="E12" s="9"/>
      <c r="F12" s="9"/>
      <c r="G12" s="9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</row>
    <row r="13" spans="2:18" x14ac:dyDescent="0.25">
      <c r="D13" s="9"/>
      <c r="E13" s="9"/>
      <c r="F13" s="9"/>
      <c r="G13" s="9"/>
      <c r="H13" s="20"/>
      <c r="I13" s="20" t="str">
        <f t="shared" ref="I13:R17" si="0">IF(H13="","",H13)</f>
        <v/>
      </c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</row>
    <row r="14" spans="2:18" x14ac:dyDescent="0.25">
      <c r="D14" s="9"/>
      <c r="E14" s="9"/>
      <c r="F14" s="9"/>
      <c r="G14" s="9"/>
      <c r="H14" s="20"/>
      <c r="I14" s="20" t="str">
        <f t="shared" si="0"/>
        <v/>
      </c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</row>
    <row r="15" spans="2:18" x14ac:dyDescent="0.25">
      <c r="D15" s="9"/>
      <c r="E15" s="9"/>
      <c r="F15" s="9"/>
      <c r="G15" s="9"/>
      <c r="H15" s="20"/>
      <c r="I15" s="20" t="str">
        <f t="shared" si="0"/>
        <v/>
      </c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</row>
    <row r="16" spans="2:18" x14ac:dyDescent="0.25">
      <c r="D16" s="9"/>
      <c r="E16" s="9"/>
      <c r="F16" s="9"/>
      <c r="G16" s="9"/>
      <c r="H16" s="20"/>
      <c r="I16" s="20" t="str">
        <f t="shared" si="0"/>
        <v/>
      </c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</row>
    <row r="17" spans="4:18" x14ac:dyDescent="0.25">
      <c r="D17" s="9"/>
      <c r="E17" s="9"/>
      <c r="F17" s="9"/>
      <c r="G17" s="9"/>
      <c r="H17" s="20"/>
      <c r="I17" s="20" t="str">
        <f t="shared" si="0"/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25">
      <c r="D18" s="9"/>
      <c r="E18" s="9"/>
      <c r="F18" s="9"/>
      <c r="G18" s="9"/>
      <c r="H18" s="20"/>
      <c r="I18" s="20" t="str">
        <f t="shared" ref="I18:R33" si="1">IF(H18="","",H18)</f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2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2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2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25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25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25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25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25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25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25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25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25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25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25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25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25">
      <c r="D34" s="9"/>
      <c r="E34" s="9"/>
      <c r="F34" s="9"/>
      <c r="G34" s="9"/>
      <c r="H34" s="20"/>
      <c r="I34" s="20" t="str">
        <f t="shared" ref="I34:R46" si="2">IF(H34="","",H34)</f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2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2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2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25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25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25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25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25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25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25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25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ht="15.75" thickBot="1" x14ac:dyDescent="0.3">
      <c r="D46" s="10"/>
      <c r="E46" s="10"/>
      <c r="F46" s="10"/>
      <c r="G46" s="10"/>
      <c r="H46" s="28"/>
      <c r="I46" s="28" t="str">
        <f t="shared" si="2"/>
        <v/>
      </c>
      <c r="J46" s="28" t="str">
        <f t="shared" si="2"/>
        <v/>
      </c>
      <c r="K46" s="28" t="str">
        <f t="shared" si="2"/>
        <v/>
      </c>
      <c r="L46" s="28" t="str">
        <f t="shared" si="2"/>
        <v/>
      </c>
      <c r="M46" s="28" t="str">
        <f t="shared" si="2"/>
        <v/>
      </c>
      <c r="N46" s="28" t="str">
        <f t="shared" si="2"/>
        <v/>
      </c>
      <c r="O46" s="28" t="str">
        <f t="shared" si="2"/>
        <v/>
      </c>
      <c r="P46" s="28" t="str">
        <f t="shared" si="2"/>
        <v/>
      </c>
      <c r="Q46" s="28" t="str">
        <f t="shared" si="2"/>
        <v/>
      </c>
      <c r="R46" s="28" t="str">
        <f t="shared" si="2"/>
        <v/>
      </c>
    </row>
    <row r="47" spans="4:18" x14ac:dyDescent="0.25">
      <c r="D47" s="5" t="e">
        <v>#N/A</v>
      </c>
      <c r="E47" s="5" t="e">
        <v>#N/A</v>
      </c>
      <c r="F47" s="5" t="e">
        <v>#N/A</v>
      </c>
      <c r="G47" s="5" t="e">
        <v>#N/A</v>
      </c>
      <c r="H47" s="5" t="e">
        <v>#N/A</v>
      </c>
      <c r="I47" s="5" t="e">
        <v>#N/A</v>
      </c>
      <c r="J47" s="5" t="e">
        <v>#N/A</v>
      </c>
      <c r="K47" s="5" t="e">
        <v>#N/A</v>
      </c>
      <c r="L47" s="5" t="e">
        <v>#N/A</v>
      </c>
      <c r="M47" s="5" t="e">
        <v>#N/A</v>
      </c>
      <c r="N47" s="5" t="e">
        <v>#N/A</v>
      </c>
      <c r="O47" s="5" t="e">
        <v>#N/A</v>
      </c>
      <c r="P47" s="5" t="e">
        <v>#N/A</v>
      </c>
      <c r="Q47" s="5" t="e">
        <v>#N/A</v>
      </c>
      <c r="R47" s="5" t="e">
        <v>#N/A</v>
      </c>
    </row>
  </sheetData>
  <dataValidations count="4">
    <dataValidation type="list" allowBlank="1" showInputMessage="1" showErrorMessage="1" sqref="E5:E46">
      <formula1>SAPOptionsProcess</formula1>
    </dataValidation>
    <dataValidation type="list" allowBlank="1" showInputMessage="1" showErrorMessage="1" sqref="F5:F46">
      <formula1>SAPProduct</formula1>
    </dataValidation>
    <dataValidation type="list" allowBlank="1" showInputMessage="1" showErrorMessage="1" sqref="G5:G46">
      <formula1>Unit</formula1>
    </dataValidation>
    <dataValidation type="list" allowBlank="1" showInputMessage="1" showErrorMessage="1" sqref="D5:D46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FF0000"/>
  </sheetPr>
  <dimension ref="A1:T41"/>
  <sheetViews>
    <sheetView zoomScaleNormal="100" workbookViewId="0">
      <selection activeCell="H6" sqref="H6"/>
    </sheetView>
  </sheetViews>
  <sheetFormatPr baseColWidth="10" defaultColWidth="11.5703125" defaultRowHeight="15" outlineLevelCol="1" x14ac:dyDescent="0.25"/>
  <cols>
    <col min="1" max="3" width="3.5703125" style="5" customWidth="1"/>
    <col min="4" max="5" width="15.5703125" style="5" customWidth="1"/>
    <col min="6" max="6" width="23.42578125" style="5" customWidth="1"/>
    <col min="7" max="7" width="15.5703125" style="5" customWidth="1"/>
    <col min="8" max="8" width="8.5703125" style="5" customWidth="1"/>
    <col min="9" max="18" width="8.5703125" style="5" customWidth="1" outlineLevel="1"/>
    <col min="19" max="19" width="11.5703125" style="5"/>
    <col min="20" max="20" width="14.85546875" style="5" bestFit="1" customWidth="1"/>
    <col min="21" max="16384" width="11.5703125" style="5"/>
  </cols>
  <sheetData>
    <row r="1" spans="1:20" s="49" customFormat="1" ht="25.35" customHeight="1" x14ac:dyDescent="0.25">
      <c r="B1" s="55" t="s">
        <v>178</v>
      </c>
    </row>
    <row r="2" spans="1:20" x14ac:dyDescent="0.25">
      <c r="A2" s="56"/>
    </row>
    <row r="3" spans="1:20" ht="15.75" thickBot="1" x14ac:dyDescent="0.3">
      <c r="D3" s="38" t="str">
        <f>JESA_UploadTable(B1,D4:R19,db)</f>
        <v>SAP &amp; Power plant opex &amp; specific consumptions @16:45:55</v>
      </c>
    </row>
    <row r="4" spans="1:20" ht="30" customHeight="1" thickBot="1" x14ac:dyDescent="0.3">
      <c r="D4" s="51" t="s">
        <v>8</v>
      </c>
      <c r="E4" s="51" t="s">
        <v>25</v>
      </c>
      <c r="F4" s="51" t="s">
        <v>12</v>
      </c>
      <c r="G4" s="53" t="s">
        <v>17</v>
      </c>
      <c r="H4" s="54" t="s">
        <v>37</v>
      </c>
      <c r="I4" s="54" t="s">
        <v>38</v>
      </c>
      <c r="J4" s="54" t="s">
        <v>39</v>
      </c>
      <c r="K4" s="54" t="s">
        <v>40</v>
      </c>
      <c r="L4" s="54" t="s">
        <v>41</v>
      </c>
      <c r="M4" s="54" t="s">
        <v>42</v>
      </c>
      <c r="N4" s="54" t="s">
        <v>43</v>
      </c>
      <c r="O4" s="54" t="s">
        <v>44</v>
      </c>
      <c r="P4" s="54" t="s">
        <v>45</v>
      </c>
      <c r="Q4" s="54" t="s">
        <v>46</v>
      </c>
      <c r="R4" s="54" t="s">
        <v>47</v>
      </c>
    </row>
    <row r="5" spans="1:20" x14ac:dyDescent="0.25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25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25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.75" thickBot="1" x14ac:dyDescent="0.3">
      <c r="D8" s="10" t="s">
        <v>3</v>
      </c>
      <c r="E8" s="10" t="s">
        <v>164</v>
      </c>
      <c r="F8" s="10" t="s">
        <v>22</v>
      </c>
      <c r="G8" s="10" t="s">
        <v>133</v>
      </c>
      <c r="H8" s="43">
        <v>44</v>
      </c>
      <c r="I8" s="43">
        <v>44</v>
      </c>
      <c r="J8" s="43">
        <v>44</v>
      </c>
      <c r="K8" s="43">
        <v>44</v>
      </c>
      <c r="L8" s="43">
        <v>44</v>
      </c>
      <c r="M8" s="43">
        <v>44</v>
      </c>
      <c r="N8" s="43">
        <v>44</v>
      </c>
      <c r="O8" s="43">
        <v>44</v>
      </c>
      <c r="P8" s="43">
        <v>44</v>
      </c>
      <c r="Q8" s="43">
        <v>44</v>
      </c>
      <c r="R8" s="43">
        <v>44</v>
      </c>
      <c r="T8" s="5">
        <f>1431000</f>
        <v>1431000</v>
      </c>
    </row>
    <row r="9" spans="1:20" x14ac:dyDescent="0.25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3">
        <f>T8*R8</f>
        <v>62964000</v>
      </c>
    </row>
    <row r="10" spans="1:20" x14ac:dyDescent="0.25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25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25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x14ac:dyDescent="0.25">
      <c r="D13" s="9" t="s">
        <v>26</v>
      </c>
      <c r="E13" s="9" t="s">
        <v>167</v>
      </c>
      <c r="F13" s="9" t="s">
        <v>13</v>
      </c>
      <c r="G13" s="9" t="s">
        <v>61</v>
      </c>
      <c r="H13" s="18">
        <v>0.33</v>
      </c>
      <c r="I13" s="18">
        <v>0.33</v>
      </c>
      <c r="J13" s="18">
        <v>0.33</v>
      </c>
      <c r="K13" s="18">
        <v>0.33</v>
      </c>
      <c r="L13" s="18">
        <v>0.33</v>
      </c>
      <c r="M13" s="18">
        <v>0.33</v>
      </c>
      <c r="N13" s="18">
        <v>0.33</v>
      </c>
      <c r="O13" s="18">
        <v>0.33</v>
      </c>
      <c r="P13" s="18">
        <v>0.33</v>
      </c>
      <c r="Q13" s="18">
        <v>0.33</v>
      </c>
      <c r="R13" s="18">
        <v>0.33</v>
      </c>
    </row>
    <row r="14" spans="1:20" ht="15.75" thickBot="1" x14ac:dyDescent="0.3">
      <c r="D14" s="10" t="s">
        <v>26</v>
      </c>
      <c r="E14" s="10" t="s">
        <v>167</v>
      </c>
      <c r="F14" s="10" t="s">
        <v>15</v>
      </c>
      <c r="G14" s="10" t="s">
        <v>65</v>
      </c>
      <c r="H14" s="43">
        <v>100</v>
      </c>
      <c r="I14" s="43">
        <v>100</v>
      </c>
      <c r="J14" s="43">
        <v>100</v>
      </c>
      <c r="K14" s="43">
        <v>100</v>
      </c>
      <c r="L14" s="43">
        <v>100</v>
      </c>
      <c r="M14" s="43">
        <v>100</v>
      </c>
      <c r="N14" s="43">
        <v>100</v>
      </c>
      <c r="O14" s="43">
        <v>100</v>
      </c>
      <c r="P14" s="43">
        <v>100</v>
      </c>
      <c r="Q14" s="43">
        <v>100</v>
      </c>
      <c r="R14" s="43">
        <v>100</v>
      </c>
    </row>
    <row r="15" spans="1:20" x14ac:dyDescent="0.25">
      <c r="D15" s="8" t="s">
        <v>26</v>
      </c>
      <c r="E15" s="8" t="s">
        <v>167</v>
      </c>
      <c r="F15" s="8" t="s">
        <v>34</v>
      </c>
      <c r="G15" s="8" t="s">
        <v>57</v>
      </c>
      <c r="H15" s="17">
        <v>0.33</v>
      </c>
      <c r="I15" s="17">
        <v>0.33</v>
      </c>
      <c r="J15" s="17">
        <v>0.33</v>
      </c>
      <c r="K15" s="17">
        <v>0.33</v>
      </c>
      <c r="L15" s="17">
        <v>0.33</v>
      </c>
      <c r="M15" s="17">
        <v>0.33</v>
      </c>
      <c r="N15" s="17">
        <v>0.33</v>
      </c>
      <c r="O15" s="17">
        <v>0.33</v>
      </c>
      <c r="P15" s="17">
        <v>0.33</v>
      </c>
      <c r="Q15" s="17">
        <v>0.33</v>
      </c>
      <c r="R15" s="17">
        <v>0.33</v>
      </c>
    </row>
    <row r="16" spans="1:20" x14ac:dyDescent="0.25">
      <c r="D16" s="9" t="s">
        <v>26</v>
      </c>
      <c r="E16" s="9" t="s">
        <v>167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25">
      <c r="D17" s="9" t="s">
        <v>26</v>
      </c>
      <c r="E17" s="9" t="s">
        <v>167</v>
      </c>
      <c r="F17" s="9" t="s">
        <v>22</v>
      </c>
      <c r="G17" s="9" t="s">
        <v>133</v>
      </c>
      <c r="H17" s="18">
        <v>66</v>
      </c>
      <c r="I17" s="18">
        <v>66</v>
      </c>
      <c r="J17" s="18">
        <v>66</v>
      </c>
      <c r="K17" s="18">
        <v>66</v>
      </c>
      <c r="L17" s="18">
        <v>66</v>
      </c>
      <c r="M17" s="18">
        <v>66</v>
      </c>
      <c r="N17" s="18">
        <v>66</v>
      </c>
      <c r="O17" s="18">
        <v>66</v>
      </c>
      <c r="P17" s="18">
        <v>66</v>
      </c>
      <c r="Q17" s="18">
        <v>66</v>
      </c>
      <c r="R17" s="18">
        <v>66</v>
      </c>
    </row>
    <row r="18" spans="4:18" x14ac:dyDescent="0.25">
      <c r="D18" s="9"/>
      <c r="E18" s="9"/>
      <c r="F18" s="9"/>
      <c r="G18" s="9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ht="15.75" thickBot="1" x14ac:dyDescent="0.3">
      <c r="D19" s="10"/>
      <c r="E19" s="10"/>
      <c r="F19" s="10"/>
      <c r="G19" s="10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</row>
    <row r="20" spans="4:18" x14ac:dyDescent="0.25">
      <c r="D20" s="42"/>
      <c r="E20" s="42"/>
      <c r="F20" s="42"/>
      <c r="G20" s="42"/>
      <c r="H20" s="141"/>
      <c r="I20" s="141" t="str">
        <f t="shared" ref="I20:R27" si="0">IF(H20="","",H20)</f>
        <v/>
      </c>
      <c r="J20" s="141" t="str">
        <f t="shared" si="0"/>
        <v/>
      </c>
      <c r="K20" s="141" t="str">
        <f t="shared" si="0"/>
        <v/>
      </c>
      <c r="L20" s="141" t="str">
        <f t="shared" si="0"/>
        <v/>
      </c>
      <c r="M20" s="141" t="str">
        <f t="shared" si="0"/>
        <v/>
      </c>
      <c r="N20" s="141" t="str">
        <f t="shared" si="0"/>
        <v/>
      </c>
      <c r="O20" s="141" t="str">
        <f t="shared" si="0"/>
        <v/>
      </c>
      <c r="P20" s="141" t="str">
        <f t="shared" si="0"/>
        <v/>
      </c>
      <c r="Q20" s="141" t="str">
        <f t="shared" si="0"/>
        <v/>
      </c>
      <c r="R20" s="141" t="str">
        <f t="shared" si="0"/>
        <v/>
      </c>
    </row>
    <row r="21" spans="4:18" x14ac:dyDescent="0.25">
      <c r="D21" s="9"/>
      <c r="E21" s="9"/>
      <c r="F21" s="9"/>
      <c r="G21" s="9"/>
      <c r="H21" s="18"/>
      <c r="I21" s="18" t="str">
        <f t="shared" si="0"/>
        <v/>
      </c>
      <c r="J21" s="18" t="str">
        <f t="shared" si="0"/>
        <v/>
      </c>
      <c r="K21" s="18" t="str">
        <f t="shared" si="0"/>
        <v/>
      </c>
      <c r="L21" s="18" t="str">
        <f t="shared" si="0"/>
        <v/>
      </c>
      <c r="M21" s="18" t="str">
        <f t="shared" si="0"/>
        <v/>
      </c>
      <c r="N21" s="18" t="str">
        <f t="shared" si="0"/>
        <v/>
      </c>
      <c r="O21" s="18" t="str">
        <f t="shared" si="0"/>
        <v/>
      </c>
      <c r="P21" s="18" t="str">
        <f t="shared" si="0"/>
        <v/>
      </c>
      <c r="Q21" s="18" t="str">
        <f t="shared" si="0"/>
        <v/>
      </c>
      <c r="R21" s="18" t="str">
        <f t="shared" si="0"/>
        <v/>
      </c>
    </row>
    <row r="22" spans="4:18" x14ac:dyDescent="0.25">
      <c r="D22" s="9"/>
      <c r="E22" s="9"/>
      <c r="F22" s="9"/>
      <c r="G22" s="9"/>
      <c r="H22" s="18"/>
      <c r="I22" s="18" t="str">
        <f t="shared" si="0"/>
        <v/>
      </c>
      <c r="J22" s="18" t="str">
        <f t="shared" si="0"/>
        <v/>
      </c>
      <c r="K22" s="18" t="str">
        <f t="shared" si="0"/>
        <v/>
      </c>
      <c r="L22" s="18" t="str">
        <f t="shared" si="0"/>
        <v/>
      </c>
      <c r="M22" s="18" t="str">
        <f t="shared" si="0"/>
        <v/>
      </c>
      <c r="N22" s="18" t="str">
        <f t="shared" si="0"/>
        <v/>
      </c>
      <c r="O22" s="18" t="str">
        <f t="shared" si="0"/>
        <v/>
      </c>
      <c r="P22" s="18" t="str">
        <f t="shared" si="0"/>
        <v/>
      </c>
      <c r="Q22" s="18" t="str">
        <f t="shared" si="0"/>
        <v/>
      </c>
      <c r="R22" s="18" t="str">
        <f t="shared" si="0"/>
        <v/>
      </c>
    </row>
    <row r="23" spans="4:18" x14ac:dyDescent="0.25">
      <c r="D23" s="9"/>
      <c r="E23" s="9"/>
      <c r="F23" s="9"/>
      <c r="G23" s="9"/>
      <c r="H23" s="18"/>
      <c r="I23" s="18" t="str">
        <f t="shared" si="0"/>
        <v/>
      </c>
      <c r="J23" s="18" t="str">
        <f t="shared" si="0"/>
        <v/>
      </c>
      <c r="K23" s="18" t="str">
        <f t="shared" si="0"/>
        <v/>
      </c>
      <c r="L23" s="18" t="str">
        <f t="shared" si="0"/>
        <v/>
      </c>
      <c r="M23" s="18" t="str">
        <f t="shared" si="0"/>
        <v/>
      </c>
      <c r="N23" s="18" t="str">
        <f t="shared" si="0"/>
        <v/>
      </c>
      <c r="O23" s="18" t="str">
        <f t="shared" si="0"/>
        <v/>
      </c>
      <c r="P23" s="18" t="str">
        <f t="shared" si="0"/>
        <v/>
      </c>
      <c r="Q23" s="18" t="str">
        <f t="shared" si="0"/>
        <v/>
      </c>
      <c r="R23" s="18" t="str">
        <f t="shared" si="0"/>
        <v/>
      </c>
    </row>
    <row r="24" spans="4:18" x14ac:dyDescent="0.25">
      <c r="D24" s="9"/>
      <c r="E24" s="9"/>
      <c r="F24" s="9"/>
      <c r="G24" s="9"/>
      <c r="H24" s="18"/>
      <c r="I24" s="18" t="str">
        <f t="shared" si="0"/>
        <v/>
      </c>
      <c r="J24" s="18" t="str">
        <f t="shared" si="0"/>
        <v/>
      </c>
      <c r="K24" s="18" t="str">
        <f t="shared" si="0"/>
        <v/>
      </c>
      <c r="L24" s="18" t="str">
        <f t="shared" si="0"/>
        <v/>
      </c>
      <c r="M24" s="18" t="str">
        <f t="shared" si="0"/>
        <v/>
      </c>
      <c r="N24" s="18" t="str">
        <f t="shared" si="0"/>
        <v/>
      </c>
      <c r="O24" s="18" t="str">
        <f t="shared" si="0"/>
        <v/>
      </c>
      <c r="P24" s="18" t="str">
        <f t="shared" si="0"/>
        <v/>
      </c>
      <c r="Q24" s="18" t="str">
        <f t="shared" si="0"/>
        <v/>
      </c>
      <c r="R24" s="18" t="str">
        <f t="shared" si="0"/>
        <v/>
      </c>
    </row>
    <row r="25" spans="4:18" x14ac:dyDescent="0.25">
      <c r="D25" s="9"/>
      <c r="E25" s="9"/>
      <c r="F25" s="9"/>
      <c r="G25" s="9"/>
      <c r="H25" s="18"/>
      <c r="I25" s="18" t="str">
        <f t="shared" si="0"/>
        <v/>
      </c>
      <c r="J25" s="18" t="str">
        <f t="shared" si="0"/>
        <v/>
      </c>
      <c r="K25" s="18" t="str">
        <f t="shared" si="0"/>
        <v/>
      </c>
      <c r="L25" s="18" t="str">
        <f t="shared" si="0"/>
        <v/>
      </c>
      <c r="M25" s="18" t="str">
        <f t="shared" si="0"/>
        <v/>
      </c>
      <c r="N25" s="18" t="str">
        <f t="shared" si="0"/>
        <v/>
      </c>
      <c r="O25" s="18" t="str">
        <f t="shared" si="0"/>
        <v/>
      </c>
      <c r="P25" s="18" t="str">
        <f t="shared" si="0"/>
        <v/>
      </c>
      <c r="Q25" s="18" t="str">
        <f t="shared" si="0"/>
        <v/>
      </c>
      <c r="R25" s="18" t="str">
        <f t="shared" si="0"/>
        <v/>
      </c>
    </row>
    <row r="26" spans="4:18" x14ac:dyDescent="0.25">
      <c r="D26" s="9"/>
      <c r="E26" s="9"/>
      <c r="F26" s="9"/>
      <c r="G26" s="9"/>
      <c r="H26" s="18"/>
      <c r="I26" s="18" t="str">
        <f t="shared" si="0"/>
        <v/>
      </c>
      <c r="J26" s="18" t="str">
        <f t="shared" si="0"/>
        <v/>
      </c>
      <c r="K26" s="18" t="str">
        <f t="shared" si="0"/>
        <v/>
      </c>
      <c r="L26" s="18" t="str">
        <f t="shared" si="0"/>
        <v/>
      </c>
      <c r="M26" s="18" t="str">
        <f t="shared" si="0"/>
        <v/>
      </c>
      <c r="N26" s="18" t="str">
        <f t="shared" si="0"/>
        <v/>
      </c>
      <c r="O26" s="18" t="str">
        <f t="shared" si="0"/>
        <v/>
      </c>
      <c r="P26" s="18" t="str">
        <f t="shared" si="0"/>
        <v/>
      </c>
      <c r="Q26" s="18" t="str">
        <f t="shared" si="0"/>
        <v/>
      </c>
      <c r="R26" s="18" t="str">
        <f t="shared" si="0"/>
        <v/>
      </c>
    </row>
    <row r="27" spans="4:18" x14ac:dyDescent="0.25">
      <c r="D27" s="9"/>
      <c r="E27" s="9"/>
      <c r="F27" s="9"/>
      <c r="G27" s="9"/>
      <c r="H27" s="18"/>
      <c r="I27" s="18" t="str">
        <f t="shared" si="0"/>
        <v/>
      </c>
      <c r="J27" s="18" t="str">
        <f t="shared" si="0"/>
        <v/>
      </c>
      <c r="K27" s="18" t="str">
        <f t="shared" si="0"/>
        <v/>
      </c>
      <c r="L27" s="18" t="str">
        <f t="shared" si="0"/>
        <v/>
      </c>
      <c r="M27" s="18" t="str">
        <f t="shared" si="0"/>
        <v/>
      </c>
      <c r="N27" s="18" t="str">
        <f t="shared" si="0"/>
        <v/>
      </c>
      <c r="O27" s="18" t="str">
        <f t="shared" si="0"/>
        <v/>
      </c>
      <c r="P27" s="18" t="str">
        <f t="shared" si="0"/>
        <v/>
      </c>
      <c r="Q27" s="18" t="str">
        <f t="shared" si="0"/>
        <v/>
      </c>
      <c r="R27" s="18" t="str">
        <f t="shared" si="0"/>
        <v/>
      </c>
    </row>
    <row r="28" spans="4:18" x14ac:dyDescent="0.25">
      <c r="D28" s="9"/>
      <c r="E28" s="9"/>
      <c r="F28" s="9"/>
      <c r="G28" s="9"/>
      <c r="H28" s="18"/>
      <c r="I28" s="18" t="str">
        <f t="shared" ref="I28:R40" si="1">IF(H28="","",H28)</f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2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2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2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2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2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2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2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2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25">
      <c r="D37" s="9"/>
      <c r="E37" s="9"/>
      <c r="F37" s="9"/>
      <c r="G37" s="9"/>
      <c r="H37" s="18"/>
      <c r="I37" s="18" t="str">
        <f t="shared" si="1"/>
        <v/>
      </c>
      <c r="J37" s="18" t="str">
        <f t="shared" si="1"/>
        <v/>
      </c>
      <c r="K37" s="18" t="str">
        <f t="shared" si="1"/>
        <v/>
      </c>
      <c r="L37" s="18" t="str">
        <f t="shared" si="1"/>
        <v/>
      </c>
      <c r="M37" s="18" t="str">
        <f t="shared" si="1"/>
        <v/>
      </c>
      <c r="N37" s="18" t="str">
        <f t="shared" si="1"/>
        <v/>
      </c>
      <c r="O37" s="18" t="str">
        <f t="shared" si="1"/>
        <v/>
      </c>
      <c r="P37" s="18" t="str">
        <f t="shared" si="1"/>
        <v/>
      </c>
      <c r="Q37" s="18" t="str">
        <f t="shared" si="1"/>
        <v/>
      </c>
      <c r="R37" s="18" t="str">
        <f t="shared" si="1"/>
        <v/>
      </c>
    </row>
    <row r="38" spans="4:18" x14ac:dyDescent="0.25">
      <c r="D38" s="9"/>
      <c r="E38" s="9"/>
      <c r="F38" s="9"/>
      <c r="G38" s="9"/>
      <c r="H38" s="18"/>
      <c r="I38" s="18" t="str">
        <f t="shared" si="1"/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25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ht="15.75" thickBot="1" x14ac:dyDescent="0.3">
      <c r="D40" s="10"/>
      <c r="E40" s="10"/>
      <c r="F40" s="10"/>
      <c r="G40" s="10"/>
      <c r="H40" s="43"/>
      <c r="I40" s="43" t="str">
        <f t="shared" si="1"/>
        <v/>
      </c>
      <c r="J40" s="43" t="str">
        <f t="shared" si="1"/>
        <v/>
      </c>
      <c r="K40" s="43" t="str">
        <f t="shared" si="1"/>
        <v/>
      </c>
      <c r="L40" s="43" t="str">
        <f t="shared" si="1"/>
        <v/>
      </c>
      <c r="M40" s="43" t="str">
        <f t="shared" si="1"/>
        <v/>
      </c>
      <c r="N40" s="43" t="str">
        <f t="shared" si="1"/>
        <v/>
      </c>
      <c r="O40" s="43" t="str">
        <f t="shared" si="1"/>
        <v/>
      </c>
      <c r="P40" s="43" t="str">
        <f t="shared" si="1"/>
        <v/>
      </c>
      <c r="Q40" s="43" t="str">
        <f t="shared" si="1"/>
        <v/>
      </c>
      <c r="R40" s="43" t="str">
        <f t="shared" si="1"/>
        <v/>
      </c>
    </row>
    <row r="41" spans="4:18" x14ac:dyDescent="0.25">
      <c r="D41" s="5" t="e">
        <v>#N/A</v>
      </c>
      <c r="E41" s="5" t="e">
        <v>#N/A</v>
      </c>
      <c r="F41" s="5" t="e">
        <v>#N/A</v>
      </c>
      <c r="G41" s="5" t="e">
        <v>#N/A</v>
      </c>
      <c r="H41" s="5" t="e">
        <v>#N/A</v>
      </c>
      <c r="I41" s="5" t="e">
        <v>#N/A</v>
      </c>
      <c r="J41" s="5" t="e">
        <v>#N/A</v>
      </c>
      <c r="K41" s="5" t="e">
        <v>#N/A</v>
      </c>
      <c r="L41" s="5" t="e">
        <v>#N/A</v>
      </c>
      <c r="M41" s="5" t="e">
        <v>#N/A</v>
      </c>
      <c r="N41" s="5" t="e">
        <v>#N/A</v>
      </c>
      <c r="O41" s="5" t="e">
        <v>#N/A</v>
      </c>
      <c r="P41" s="5" t="e">
        <v>#N/A</v>
      </c>
      <c r="Q41" s="5" t="e">
        <v>#N/A</v>
      </c>
      <c r="R41" s="5" t="e">
        <v>#N/A</v>
      </c>
    </row>
  </sheetData>
  <dataValidations count="4">
    <dataValidation type="list" allowBlank="1" showInputMessage="1" showErrorMessage="1" sqref="D5:D40">
      <formula1>SAPOptionsLocation</formula1>
    </dataValidation>
    <dataValidation type="list" allowBlank="1" showInputMessage="1" showErrorMessage="1" sqref="E5:E40">
      <formula1>SAPOptionsProcess</formula1>
    </dataValidation>
    <dataValidation type="list" allowBlank="1" showInputMessage="1" showErrorMessage="1" sqref="F5:F40">
      <formula1>OPEX</formula1>
    </dataValidation>
    <dataValidation type="list" allowBlank="1" showInputMessage="1" showErrorMessage="1" sqref="G5:G4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47"/>
  <sheetViews>
    <sheetView zoomScaleNormal="100" workbookViewId="0">
      <selection activeCell="J10" sqref="J10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8.5703125" style="5" bestFit="1" customWidth="1"/>
    <col min="7" max="9" width="15.5703125" style="5" customWidth="1"/>
    <col min="10" max="19" width="8.5703125" style="5" customWidth="1"/>
    <col min="20" max="16384" width="11.5703125" style="5"/>
  </cols>
  <sheetData>
    <row r="1" spans="2:19" s="49" customFormat="1" ht="25.35" customHeight="1" x14ac:dyDescent="0.25">
      <c r="B1" s="55" t="s">
        <v>179</v>
      </c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</row>
    <row r="3" spans="2:19" ht="15.75" thickBot="1" x14ac:dyDescent="0.3">
      <c r="D3" s="38" t="str">
        <f>JESA_UploadTable(B1,D4:S6,db)</f>
        <v>SAP &amp; Power plant capex @16:45:54</v>
      </c>
      <c r="J3" s="155" t="s">
        <v>180</v>
      </c>
      <c r="K3" s="155"/>
      <c r="L3" s="155"/>
      <c r="M3" s="155"/>
      <c r="N3" s="155"/>
      <c r="O3" s="155"/>
      <c r="P3" s="155"/>
      <c r="Q3" s="155"/>
      <c r="R3" s="155"/>
      <c r="S3" s="155"/>
    </row>
    <row r="4" spans="2:19" ht="30" customHeight="1" thickBot="1" x14ac:dyDescent="0.3">
      <c r="D4" s="51" t="s">
        <v>8</v>
      </c>
      <c r="E4" s="51" t="s">
        <v>25</v>
      </c>
      <c r="F4" s="53" t="s">
        <v>266</v>
      </c>
      <c r="G4" s="51" t="s">
        <v>12</v>
      </c>
      <c r="H4" s="53" t="s">
        <v>17</v>
      </c>
      <c r="I4" s="54" t="s">
        <v>145</v>
      </c>
      <c r="J4" s="54" t="s">
        <v>71</v>
      </c>
      <c r="K4" s="54" t="s">
        <v>72</v>
      </c>
      <c r="L4" s="54" t="s">
        <v>73</v>
      </c>
      <c r="M4" s="54" t="s">
        <v>74</v>
      </c>
      <c r="N4" s="54" t="s">
        <v>75</v>
      </c>
      <c r="O4" s="54" t="s">
        <v>358</v>
      </c>
      <c r="P4" s="54" t="s">
        <v>76</v>
      </c>
      <c r="Q4" s="54" t="s">
        <v>77</v>
      </c>
      <c r="R4" s="54" t="s">
        <v>78</v>
      </c>
      <c r="S4" s="54" t="s">
        <v>79</v>
      </c>
    </row>
    <row r="5" spans="2:19" x14ac:dyDescent="0.25">
      <c r="D5" s="9" t="s">
        <v>3</v>
      </c>
      <c r="E5" s="9" t="s">
        <v>164</v>
      </c>
      <c r="F5" s="9">
        <v>1600</v>
      </c>
      <c r="G5" s="131" t="s">
        <v>22</v>
      </c>
      <c r="H5" s="9" t="s">
        <v>371</v>
      </c>
      <c r="I5" s="39">
        <v>150000000</v>
      </c>
      <c r="J5" s="27"/>
      <c r="K5" s="27"/>
      <c r="L5" s="27">
        <v>0.2</v>
      </c>
      <c r="M5" s="27">
        <v>0.4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165</v>
      </c>
      <c r="F6" s="9">
        <v>3200</v>
      </c>
      <c r="G6" s="131" t="s">
        <v>22</v>
      </c>
      <c r="H6" s="9" t="s">
        <v>371</v>
      </c>
      <c r="I6" s="39">
        <v>200000000</v>
      </c>
      <c r="J6" s="27"/>
      <c r="K6" s="27"/>
      <c r="L6" s="27">
        <v>0.2</v>
      </c>
      <c r="M6" s="27">
        <v>0.4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/>
      <c r="E7" s="9"/>
      <c r="F7" s="9"/>
      <c r="G7" s="131"/>
      <c r="H7" s="9"/>
      <c r="I7" s="39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2:19" x14ac:dyDescent="0.25">
      <c r="D8" s="9"/>
      <c r="E8" s="9"/>
      <c r="F8" s="9"/>
      <c r="G8" s="131"/>
      <c r="H8" s="9"/>
      <c r="I8" s="39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2:19" x14ac:dyDescent="0.25">
      <c r="D9" s="9"/>
      <c r="E9" s="9"/>
      <c r="F9" s="9"/>
      <c r="G9" s="131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9"/>
      <c r="G10" s="131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9"/>
      <c r="G11" s="131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131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131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131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131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131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131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131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131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131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131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131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131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131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131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131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131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131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131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131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131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131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131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131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131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131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131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131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131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131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131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131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131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131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131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ht="15.75" thickBot="1" x14ac:dyDescent="0.3">
      <c r="D46" s="10"/>
      <c r="E46" s="10"/>
      <c r="F46" s="10"/>
      <c r="G46" s="132"/>
      <c r="H46" s="10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5" t="e">
        <v>#N/A</v>
      </c>
      <c r="E47" s="5" t="e">
        <v>#N/A</v>
      </c>
      <c r="F47" s="5" t="e">
        <v>#N/A</v>
      </c>
      <c r="G47" s="5" t="e">
        <v>#N/A</v>
      </c>
      <c r="H47" s="5" t="e">
        <v>#N/A</v>
      </c>
      <c r="J47" s="5" t="e">
        <v>#N/A</v>
      </c>
      <c r="K47" s="5" t="e">
        <v>#N/A</v>
      </c>
      <c r="L47" s="5" t="e">
        <v>#N/A</v>
      </c>
      <c r="M47" s="5" t="e">
        <v>#N/A</v>
      </c>
      <c r="N47" s="5" t="e">
        <v>#N/A</v>
      </c>
      <c r="O47" s="5" t="e">
        <v>#N/A</v>
      </c>
      <c r="P47" s="5" t="e">
        <v>#N/A</v>
      </c>
      <c r="Q47" s="5" t="e">
        <v>#N/A</v>
      </c>
      <c r="R47" s="5" t="e">
        <v>#N/A</v>
      </c>
      <c r="S47" s="5" t="e">
        <v>#N/A</v>
      </c>
    </row>
  </sheetData>
  <mergeCells count="1">
    <mergeCell ref="J3:S3"/>
  </mergeCells>
  <dataValidations count="5">
    <dataValidation type="list" allowBlank="1" showInputMessage="1" showErrorMessage="1" sqref="F5:F46">
      <formula1>SAPOptionsCapacity</formula1>
    </dataValidation>
    <dataValidation type="list" allowBlank="1" showInputMessage="1" showErrorMessage="1" sqref="E5:E46">
      <formula1>SAPOptionsProcess</formula1>
    </dataValidation>
    <dataValidation type="list" allowBlank="1" showInputMessage="1" showErrorMessage="1" sqref="D5:D46">
      <formula1>SAPOptionsLocation</formula1>
    </dataValidation>
    <dataValidation type="list" allowBlank="1" showInputMessage="1" showErrorMessage="1" sqref="G5:G46">
      <formula1>SAPCapex</formula1>
    </dataValidation>
    <dataValidation type="list" allowBlank="1" showInputMessage="1" showErrorMessage="1" sqref="H5:H46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O4" sqref="O4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3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4" width="1.5703125" style="31" customWidth="1"/>
    <col min="15" max="15" width="20.5703125" style="31" customWidth="1"/>
    <col min="16" max="16384" width="11.5703125" style="31"/>
  </cols>
  <sheetData>
    <row r="1" spans="2:15" s="63" customFormat="1" ht="25.35" customHeight="1" x14ac:dyDescent="0.25">
      <c r="B1" s="62" t="s">
        <v>189</v>
      </c>
    </row>
    <row r="3" spans="2:15" ht="15.75" thickBot="1" x14ac:dyDescent="0.3">
      <c r="D3" s="1" t="str">
        <f>JESA_UploadTable(D4,D4:D40,db)</f>
        <v>PAP/Name @16:45:55</v>
      </c>
      <c r="F3" s="1" t="str">
        <f>JESA_UploadTable(F4,F4:F40,db)</f>
        <v>PAP/Process @16:45:55</v>
      </c>
      <c r="H3" s="1" t="str">
        <f>JESA_UploadTable("pap.product",H4:I40,db)</f>
        <v>pap.product @16:45:55</v>
      </c>
      <c r="K3" s="1" t="str">
        <f>JESA_UploadTable(K4,K4:K40,db)</f>
        <v>PAP/CAPEX @16:45:54</v>
      </c>
      <c r="M3" s="1" t="str">
        <f>JESA_UploadTable(M4,M4:M40,db)</f>
        <v>PAP/Size[ktP2O5] @16:45:55</v>
      </c>
      <c r="O3" s="1" t="str">
        <f>JESA_UploadTable(O4,O4:O40,db)</f>
        <v>PAP/Input @16:45:54</v>
      </c>
    </row>
    <row r="4" spans="2:15" ht="30" customHeight="1" thickBot="1" x14ac:dyDescent="0.3">
      <c r="D4" s="64" t="s">
        <v>190</v>
      </c>
      <c r="F4" s="64" t="s">
        <v>191</v>
      </c>
      <c r="H4" s="64" t="s">
        <v>24</v>
      </c>
      <c r="I4" s="64" t="s">
        <v>160</v>
      </c>
      <c r="K4" s="64" t="s">
        <v>192</v>
      </c>
      <c r="M4" s="64" t="s">
        <v>193</v>
      </c>
      <c r="O4" s="64" t="s">
        <v>194</v>
      </c>
    </row>
    <row r="5" spans="2:15" x14ac:dyDescent="0.25">
      <c r="D5" s="29" t="s">
        <v>195</v>
      </c>
      <c r="F5" s="33" t="s">
        <v>196</v>
      </c>
      <c r="H5" s="29" t="s">
        <v>388</v>
      </c>
      <c r="I5" s="29" t="s">
        <v>24</v>
      </c>
      <c r="K5" s="30" t="s">
        <v>22</v>
      </c>
      <c r="M5" s="29">
        <v>250</v>
      </c>
      <c r="O5" s="29" t="s">
        <v>288</v>
      </c>
    </row>
    <row r="6" spans="2:15" x14ac:dyDescent="0.25">
      <c r="D6" s="33" t="s">
        <v>197</v>
      </c>
      <c r="F6" s="33" t="s">
        <v>198</v>
      </c>
      <c r="H6" s="33" t="s">
        <v>202</v>
      </c>
      <c r="I6" s="33" t="s">
        <v>99</v>
      </c>
      <c r="K6" s="65" t="s">
        <v>199</v>
      </c>
      <c r="M6" s="33">
        <v>500</v>
      </c>
      <c r="O6" s="33"/>
    </row>
    <row r="7" spans="2:15" x14ac:dyDescent="0.25">
      <c r="D7" s="33" t="s">
        <v>200</v>
      </c>
      <c r="F7" s="33" t="s">
        <v>201</v>
      </c>
      <c r="H7" s="33" t="s">
        <v>205</v>
      </c>
      <c r="I7" s="33" t="s">
        <v>156</v>
      </c>
      <c r="K7" s="65" t="s">
        <v>203</v>
      </c>
      <c r="M7" s="33">
        <v>750</v>
      </c>
      <c r="O7" s="33"/>
    </row>
    <row r="8" spans="2:15" x14ac:dyDescent="0.25">
      <c r="D8" s="33" t="s">
        <v>204</v>
      </c>
      <c r="F8" s="33"/>
      <c r="H8" s="33" t="s">
        <v>208</v>
      </c>
      <c r="I8" s="33" t="s">
        <v>99</v>
      </c>
      <c r="K8" s="65" t="s">
        <v>206</v>
      </c>
      <c r="M8" s="33">
        <v>1500</v>
      </c>
      <c r="O8" s="33"/>
    </row>
    <row r="9" spans="2:15" x14ac:dyDescent="0.25">
      <c r="D9" s="33" t="s">
        <v>207</v>
      </c>
      <c r="F9" s="33"/>
      <c r="H9" s="33" t="s">
        <v>211</v>
      </c>
      <c r="I9" s="33" t="s">
        <v>156</v>
      </c>
      <c r="K9" s="65" t="s">
        <v>209</v>
      </c>
      <c r="M9" s="33"/>
      <c r="O9" s="33"/>
    </row>
    <row r="10" spans="2:15" x14ac:dyDescent="0.25">
      <c r="D10" s="33" t="s">
        <v>210</v>
      </c>
      <c r="F10" s="33"/>
      <c r="H10" s="33"/>
      <c r="I10" s="33"/>
      <c r="K10" s="65" t="s">
        <v>212</v>
      </c>
      <c r="M10" s="33"/>
      <c r="O10" s="33"/>
    </row>
    <row r="11" spans="2:15" x14ac:dyDescent="0.25">
      <c r="D11" s="33" t="s">
        <v>213</v>
      </c>
      <c r="F11" s="33"/>
      <c r="H11" s="33"/>
      <c r="I11" s="33"/>
      <c r="K11" s="65" t="s">
        <v>214</v>
      </c>
      <c r="M11" s="33"/>
      <c r="O11" s="33"/>
    </row>
    <row r="12" spans="2:15" x14ac:dyDescent="0.25">
      <c r="D12" s="33" t="s">
        <v>215</v>
      </c>
      <c r="F12" s="33"/>
      <c r="H12" s="33"/>
      <c r="I12" s="33"/>
      <c r="K12" s="65" t="s">
        <v>216</v>
      </c>
      <c r="M12" s="33"/>
      <c r="O12" s="33"/>
    </row>
    <row r="13" spans="2:15" x14ac:dyDescent="0.25">
      <c r="D13" s="33" t="s">
        <v>217</v>
      </c>
      <c r="F13" s="33"/>
      <c r="H13" s="33"/>
      <c r="I13" s="33"/>
      <c r="K13" s="65" t="s">
        <v>218</v>
      </c>
      <c r="M13" s="33"/>
      <c r="O13" s="33"/>
    </row>
    <row r="14" spans="2:15" x14ac:dyDescent="0.25">
      <c r="D14" s="33" t="s">
        <v>219</v>
      </c>
      <c r="F14" s="33"/>
      <c r="H14" s="33"/>
      <c r="I14" s="33"/>
      <c r="K14" s="65" t="s">
        <v>220</v>
      </c>
      <c r="M14" s="33"/>
      <c r="O14" s="33"/>
    </row>
    <row r="15" spans="2:15" x14ac:dyDescent="0.25">
      <c r="D15" s="33" t="s">
        <v>221</v>
      </c>
      <c r="F15" s="33"/>
      <c r="H15" s="33"/>
      <c r="I15" s="33"/>
      <c r="K15" s="33"/>
      <c r="M15" s="33"/>
      <c r="O15" s="33"/>
    </row>
    <row r="16" spans="2:15" x14ac:dyDescent="0.25">
      <c r="D16" s="33" t="s">
        <v>222</v>
      </c>
      <c r="F16" s="33"/>
      <c r="H16" s="33"/>
      <c r="I16" s="33"/>
      <c r="K16" s="33"/>
      <c r="M16" s="33"/>
      <c r="O16" s="33"/>
    </row>
    <row r="17" spans="4:15" x14ac:dyDescent="0.25">
      <c r="D17" s="33" t="s">
        <v>223</v>
      </c>
      <c r="F17" s="33"/>
      <c r="H17" s="33"/>
      <c r="I17" s="33"/>
      <c r="K17" s="33"/>
      <c r="M17" s="33"/>
      <c r="O17" s="33"/>
    </row>
    <row r="18" spans="4:15" x14ac:dyDescent="0.25">
      <c r="D18" s="33" t="s">
        <v>224</v>
      </c>
      <c r="F18" s="33"/>
      <c r="H18" s="33"/>
      <c r="I18" s="33"/>
      <c r="K18" s="33"/>
      <c r="M18" s="33"/>
      <c r="O18" s="33"/>
    </row>
    <row r="19" spans="4:15" x14ac:dyDescent="0.25">
      <c r="D19" s="33" t="s">
        <v>225</v>
      </c>
      <c r="F19" s="33"/>
      <c r="H19" s="33"/>
      <c r="I19" s="33"/>
      <c r="K19" s="33"/>
      <c r="M19" s="33"/>
      <c r="O19" s="33"/>
    </row>
    <row r="20" spans="4:15" x14ac:dyDescent="0.25">
      <c r="D20" s="33" t="s">
        <v>226</v>
      </c>
      <c r="F20" s="33"/>
      <c r="H20" s="33"/>
      <c r="I20" s="33"/>
      <c r="K20" s="33"/>
      <c r="M20" s="33"/>
      <c r="O20" s="33"/>
    </row>
    <row r="21" spans="4:15" x14ac:dyDescent="0.25">
      <c r="D21" s="33" t="s">
        <v>227</v>
      </c>
      <c r="F21" s="33"/>
      <c r="H21" s="33"/>
      <c r="I21" s="33"/>
      <c r="K21" s="33"/>
      <c r="M21" s="33"/>
      <c r="O21" s="33"/>
    </row>
    <row r="22" spans="4:15" x14ac:dyDescent="0.25">
      <c r="D22" s="33"/>
      <c r="F22" s="33"/>
      <c r="H22" s="33"/>
      <c r="I22" s="33"/>
      <c r="K22" s="33"/>
      <c r="M22" s="33"/>
      <c r="O22" s="33"/>
    </row>
    <row r="23" spans="4:15" x14ac:dyDescent="0.25">
      <c r="D23" s="33"/>
      <c r="F23" s="33"/>
      <c r="H23" s="33"/>
      <c r="I23" s="33"/>
      <c r="K23" s="33"/>
      <c r="M23" s="33"/>
      <c r="O23" s="33"/>
    </row>
    <row r="24" spans="4:15" x14ac:dyDescent="0.25">
      <c r="D24" s="33"/>
      <c r="F24" s="33"/>
      <c r="H24" s="33"/>
      <c r="I24" s="33"/>
      <c r="K24" s="33"/>
      <c r="M24" s="33"/>
      <c r="O24" s="33"/>
    </row>
    <row r="25" spans="4:15" x14ac:dyDescent="0.25">
      <c r="D25" s="33"/>
      <c r="F25" s="33"/>
      <c r="H25" s="33"/>
      <c r="I25" s="33"/>
      <c r="K25" s="33"/>
      <c r="M25" s="33"/>
      <c r="O25" s="33"/>
    </row>
    <row r="26" spans="4:15" x14ac:dyDescent="0.25">
      <c r="D26" s="33"/>
      <c r="F26" s="33"/>
      <c r="H26" s="33"/>
      <c r="I26" s="33"/>
      <c r="K26" s="33"/>
      <c r="M26" s="33"/>
      <c r="O26" s="33"/>
    </row>
    <row r="27" spans="4:15" x14ac:dyDescent="0.25">
      <c r="D27" s="33"/>
      <c r="F27" s="33"/>
      <c r="H27" s="33"/>
      <c r="I27" s="33"/>
      <c r="K27" s="33"/>
      <c r="M27" s="33"/>
      <c r="O27" s="33"/>
    </row>
    <row r="28" spans="4:15" x14ac:dyDescent="0.25">
      <c r="D28" s="33"/>
      <c r="F28" s="33"/>
      <c r="H28" s="33"/>
      <c r="I28" s="33"/>
      <c r="K28" s="33"/>
      <c r="M28" s="33"/>
      <c r="O28" s="33"/>
    </row>
    <row r="29" spans="4:15" x14ac:dyDescent="0.25">
      <c r="D29" s="33"/>
      <c r="F29" s="33"/>
      <c r="H29" s="33"/>
      <c r="I29" s="33"/>
      <c r="K29" s="33"/>
      <c r="M29" s="33"/>
      <c r="O29" s="33"/>
    </row>
    <row r="30" spans="4:15" x14ac:dyDescent="0.25">
      <c r="D30" s="33"/>
      <c r="F30" s="33"/>
      <c r="H30" s="33"/>
      <c r="I30" s="33"/>
      <c r="K30" s="33"/>
      <c r="M30" s="33"/>
      <c r="O30" s="33"/>
    </row>
    <row r="31" spans="4:15" x14ac:dyDescent="0.25">
      <c r="D31" s="33"/>
      <c r="F31" s="33"/>
      <c r="H31" s="33"/>
      <c r="I31" s="33"/>
      <c r="K31" s="33"/>
      <c r="M31" s="33"/>
      <c r="O31" s="33"/>
    </row>
    <row r="32" spans="4:15" x14ac:dyDescent="0.25">
      <c r="D32" s="33"/>
      <c r="F32" s="33"/>
      <c r="H32" s="33"/>
      <c r="I32" s="33"/>
      <c r="K32" s="33"/>
      <c r="M32" s="33"/>
      <c r="O32" s="33"/>
    </row>
    <row r="33" spans="4:15" x14ac:dyDescent="0.25">
      <c r="D33" s="33"/>
      <c r="F33" s="33"/>
      <c r="H33" s="33"/>
      <c r="I33" s="33"/>
      <c r="K33" s="33"/>
      <c r="M33" s="33"/>
      <c r="O33" s="33"/>
    </row>
    <row r="34" spans="4:15" x14ac:dyDescent="0.25">
      <c r="D34" s="33"/>
      <c r="F34" s="33"/>
      <c r="H34" s="33"/>
      <c r="I34" s="33"/>
      <c r="K34" s="33"/>
      <c r="M34" s="33"/>
      <c r="O34" s="33"/>
    </row>
    <row r="35" spans="4:15" x14ac:dyDescent="0.25">
      <c r="D35" s="33"/>
      <c r="F35" s="33"/>
      <c r="H35" s="33"/>
      <c r="I35" s="33"/>
      <c r="K35" s="33"/>
      <c r="M35" s="33"/>
      <c r="O35" s="33"/>
    </row>
    <row r="36" spans="4:15" x14ac:dyDescent="0.25">
      <c r="D36" s="33"/>
      <c r="F36" s="33"/>
      <c r="H36" s="33"/>
      <c r="I36" s="33"/>
      <c r="K36" s="33"/>
      <c r="M36" s="33"/>
      <c r="O36" s="33"/>
    </row>
    <row r="37" spans="4:15" x14ac:dyDescent="0.25">
      <c r="D37" s="33"/>
      <c r="F37" s="33"/>
      <c r="H37" s="33"/>
      <c r="I37" s="33"/>
      <c r="K37" s="33"/>
      <c r="M37" s="33"/>
      <c r="O37" s="33"/>
    </row>
    <row r="38" spans="4:15" x14ac:dyDescent="0.25">
      <c r="D38" s="33"/>
      <c r="F38" s="33"/>
      <c r="H38" s="33"/>
      <c r="I38" s="33"/>
      <c r="K38" s="33"/>
      <c r="M38" s="33"/>
      <c r="O38" s="33"/>
    </row>
    <row r="39" spans="4:15" x14ac:dyDescent="0.25">
      <c r="D39" s="33"/>
      <c r="F39" s="33"/>
      <c r="H39" s="33"/>
      <c r="I39" s="33"/>
      <c r="K39" s="33"/>
      <c r="M39" s="33"/>
      <c r="O39" s="33"/>
    </row>
    <row r="40" spans="4:15" ht="15.75" thickBot="1" x14ac:dyDescent="0.3">
      <c r="D40" s="34"/>
      <c r="F40" s="34"/>
      <c r="H40" s="34"/>
      <c r="I40" s="34"/>
      <c r="K40" s="34"/>
      <c r="M40" s="34"/>
      <c r="O40" s="34"/>
    </row>
    <row r="41" spans="4:15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 link="1"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38"/>
  <sheetViews>
    <sheetView zoomScaleNormal="100" workbookViewId="0">
      <selection activeCell="F14" sqref="F14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30.5703125" style="5" customWidth="1"/>
    <col min="7" max="7" width="15.5703125" style="5" customWidth="1"/>
    <col min="8" max="8" width="15.85546875" style="5" customWidth="1"/>
    <col min="9" max="11" width="15.5703125" style="5" customWidth="1"/>
    <col min="12" max="12" width="67.5703125" style="5" bestFit="1" customWidth="1"/>
    <col min="13" max="16384" width="11.5703125" style="5"/>
  </cols>
  <sheetData>
    <row r="1" spans="2:12" s="67" customFormat="1" ht="25.35" customHeight="1" x14ac:dyDescent="0.25">
      <c r="B1" s="66" t="s">
        <v>228</v>
      </c>
    </row>
    <row r="3" spans="2:12" ht="15.75" thickBot="1" x14ac:dyDescent="0.3">
      <c r="D3" s="38" t="str">
        <f>JESA_UploadTable(B1,D4:L40,db)</f>
        <v>PAP options @16:45:56</v>
      </c>
    </row>
    <row r="4" spans="2:12" ht="30" customHeight="1" thickBot="1" x14ac:dyDescent="0.3">
      <c r="D4" s="68" t="s">
        <v>8</v>
      </c>
      <c r="E4" s="68" t="s">
        <v>30</v>
      </c>
      <c r="F4" s="69" t="s">
        <v>25</v>
      </c>
      <c r="G4" s="70" t="s">
        <v>266</v>
      </c>
      <c r="H4" s="70" t="s">
        <v>17</v>
      </c>
      <c r="I4" s="70" t="s">
        <v>70</v>
      </c>
      <c r="J4" s="70" t="s">
        <v>144</v>
      </c>
      <c r="K4" s="70" t="s">
        <v>148</v>
      </c>
      <c r="L4" s="68" t="s">
        <v>149</v>
      </c>
    </row>
    <row r="5" spans="2:12" x14ac:dyDescent="0.25">
      <c r="D5" s="9" t="s">
        <v>3</v>
      </c>
      <c r="E5" s="9">
        <v>6</v>
      </c>
      <c r="F5" s="9" t="s">
        <v>196</v>
      </c>
      <c r="G5" s="15">
        <v>1000</v>
      </c>
      <c r="H5" s="11" t="s">
        <v>143</v>
      </c>
      <c r="I5" s="11" t="s">
        <v>146</v>
      </c>
      <c r="J5" s="15">
        <v>2022</v>
      </c>
      <c r="K5" s="15">
        <v>2100</v>
      </c>
      <c r="L5" s="9" t="str">
        <f t="shared" ref="L5:L38" si="0">IF(D5="","","/PAP/"&amp;CONCATENATE(D5,"/",E5,"/",F5,"/",G5,"/",I5,"/",J5,"/",K5))</f>
        <v>/PAP/Mzinda/6/DH/1000/New/2022/2100</v>
      </c>
    </row>
    <row r="6" spans="2:12" x14ac:dyDescent="0.25">
      <c r="D6" s="9" t="s">
        <v>26</v>
      </c>
      <c r="E6" s="9" t="s">
        <v>227</v>
      </c>
      <c r="F6" s="9" t="s">
        <v>201</v>
      </c>
      <c r="G6" s="15">
        <v>1500</v>
      </c>
      <c r="H6" s="11" t="s">
        <v>143</v>
      </c>
      <c r="I6" s="11" t="s">
        <v>36</v>
      </c>
      <c r="J6" s="15">
        <v>2019</v>
      </c>
      <c r="K6" s="15">
        <v>2100</v>
      </c>
      <c r="L6" s="9" t="str">
        <f t="shared" si="0"/>
        <v>/PAP/Safi/PAP SAFI EXISTING /PROCESS SAFI EXISTANT/1500/Existing/2019/2100</v>
      </c>
    </row>
    <row r="7" spans="2:12" x14ac:dyDescent="0.25">
      <c r="D7" s="9"/>
      <c r="E7" s="9"/>
      <c r="F7" s="9"/>
      <c r="G7" s="15"/>
      <c r="H7" s="11"/>
      <c r="I7" s="11"/>
      <c r="J7" s="15"/>
      <c r="K7" s="15"/>
      <c r="L7" s="9" t="str">
        <f t="shared" si="0"/>
        <v/>
      </c>
    </row>
    <row r="8" spans="2:12" x14ac:dyDescent="0.25">
      <c r="D8" s="9"/>
      <c r="E8" s="9"/>
      <c r="F8" s="9"/>
      <c r="G8" s="15"/>
      <c r="H8" s="11"/>
      <c r="I8" s="11"/>
      <c r="J8" s="15"/>
      <c r="K8" s="15"/>
      <c r="L8" s="9" t="str">
        <f t="shared" si="0"/>
        <v/>
      </c>
    </row>
    <row r="9" spans="2:12" x14ac:dyDescent="0.25">
      <c r="D9" s="9"/>
      <c r="E9" s="9"/>
      <c r="F9" s="9"/>
      <c r="G9" s="15"/>
      <c r="H9" s="11"/>
      <c r="I9" s="11"/>
      <c r="J9" s="15"/>
      <c r="K9" s="15"/>
      <c r="L9" s="9" t="str">
        <f t="shared" si="0"/>
        <v/>
      </c>
    </row>
    <row r="10" spans="2:12" x14ac:dyDescent="0.25">
      <c r="D10" s="9"/>
      <c r="E10" s="9"/>
      <c r="F10" s="9"/>
      <c r="G10" s="15"/>
      <c r="H10" s="11"/>
      <c r="I10" s="11"/>
      <c r="J10" s="15"/>
      <c r="K10" s="15"/>
      <c r="L10" s="9" t="str">
        <f t="shared" si="0"/>
        <v/>
      </c>
    </row>
    <row r="11" spans="2:12" x14ac:dyDescent="0.25">
      <c r="D11" s="9"/>
      <c r="E11" s="9"/>
      <c r="F11" s="9"/>
      <c r="G11" s="15"/>
      <c r="H11" s="11"/>
      <c r="I11" s="11"/>
      <c r="J11" s="15"/>
      <c r="K11" s="15"/>
      <c r="L11" s="9" t="str">
        <f t="shared" si="0"/>
        <v/>
      </c>
    </row>
    <row r="12" spans="2:12" x14ac:dyDescent="0.25">
      <c r="D12" s="9"/>
      <c r="E12" s="9"/>
      <c r="F12" s="9"/>
      <c r="G12" s="15"/>
      <c r="H12" s="11"/>
      <c r="I12" s="11"/>
      <c r="J12" s="15"/>
      <c r="K12" s="15"/>
      <c r="L12" s="9" t="str">
        <f t="shared" si="0"/>
        <v/>
      </c>
    </row>
    <row r="13" spans="2:12" x14ac:dyDescent="0.25">
      <c r="D13" s="9"/>
      <c r="E13" s="9"/>
      <c r="F13" s="9"/>
      <c r="G13" s="15"/>
      <c r="H13" s="11"/>
      <c r="I13" s="11"/>
      <c r="J13" s="15"/>
      <c r="K13" s="15"/>
      <c r="L13" s="9" t="str">
        <f t="shared" si="0"/>
        <v/>
      </c>
    </row>
    <row r="14" spans="2:12" x14ac:dyDescent="0.25">
      <c r="D14" s="9"/>
      <c r="E14" s="9"/>
      <c r="F14" s="9"/>
      <c r="G14" s="15"/>
      <c r="H14" s="11"/>
      <c r="I14" s="11"/>
      <c r="J14" s="15"/>
      <c r="K14" s="15"/>
      <c r="L14" s="9" t="str">
        <f t="shared" si="0"/>
        <v/>
      </c>
    </row>
    <row r="15" spans="2:12" x14ac:dyDescent="0.25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25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25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ht="15.75" thickBot="1" x14ac:dyDescent="0.3">
      <c r="D38" s="10"/>
      <c r="E38" s="10"/>
      <c r="F38" s="10"/>
      <c r="G38" s="16"/>
      <c r="H38" s="12"/>
      <c r="I38" s="12"/>
      <c r="J38" s="16"/>
      <c r="K38" s="16"/>
      <c r="L38" s="10" t="str">
        <f t="shared" si="0"/>
        <v/>
      </c>
    </row>
  </sheetData>
  <dataValidations count="5">
    <dataValidation type="list" allowBlank="1" showInputMessage="1" showErrorMessage="1" sqref="I5:I38">
      <formula1>"Existing,New"</formula1>
    </dataValidation>
    <dataValidation type="list" allowBlank="1" showInputMessage="1" showErrorMessage="1" sqref="G5:G38">
      <formula1>PAPSize</formula1>
    </dataValidation>
    <dataValidation type="list" allowBlank="1" showInputMessage="1" showErrorMessage="1" sqref="D5:D38">
      <formula1>Location</formula1>
    </dataValidation>
    <dataValidation type="list" allowBlank="1" showInputMessage="1" showErrorMessage="1" sqref="F5:F38">
      <formula1>PAPProcess</formula1>
    </dataValidation>
    <dataValidation type="list" allowBlank="1" showInputMessage="1" showErrorMessage="1" sqref="H5:H38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zoomScaleNormal="100" workbookViewId="0">
      <selection activeCell="H11" sqref="H11"/>
    </sheetView>
  </sheetViews>
  <sheetFormatPr baseColWidth="10" defaultColWidth="11.5703125" defaultRowHeight="15" outlineLevelCol="1" x14ac:dyDescent="0.25"/>
  <cols>
    <col min="1" max="3" width="3.5703125" style="5" customWidth="1"/>
    <col min="4" max="4" width="30.5703125" style="5" customWidth="1"/>
    <col min="5" max="7" width="15.5703125" style="5" customWidth="1"/>
    <col min="8" max="8" width="8.5703125" style="5" customWidth="1"/>
    <col min="9" max="18" width="8.5703125" style="5" customWidth="1" outlineLevel="1"/>
    <col min="19" max="16384" width="11.5703125" style="5"/>
  </cols>
  <sheetData>
    <row r="1" spans="2:18" s="67" customFormat="1" ht="25.35" customHeight="1" x14ac:dyDescent="0.25">
      <c r="B1" s="66" t="s">
        <v>229</v>
      </c>
    </row>
    <row r="3" spans="2:18" ht="15.75" thickBot="1" x14ac:dyDescent="0.3">
      <c r="D3" s="38" t="str">
        <f>JESA_UploadTable(B1,D4:R9,db)</f>
        <v>PAP production @16:45:56</v>
      </c>
    </row>
    <row r="4" spans="2:18" ht="30" customHeight="1" thickBot="1" x14ac:dyDescent="0.3">
      <c r="D4" s="68" t="s">
        <v>25</v>
      </c>
      <c r="E4" s="68" t="s">
        <v>230</v>
      </c>
      <c r="F4" s="68" t="s">
        <v>24</v>
      </c>
      <c r="G4" s="70" t="s">
        <v>17</v>
      </c>
      <c r="H4" s="72" t="s">
        <v>37</v>
      </c>
      <c r="I4" s="72" t="s">
        <v>38</v>
      </c>
      <c r="J4" s="72" t="s">
        <v>39</v>
      </c>
      <c r="K4" s="72" t="s">
        <v>40</v>
      </c>
      <c r="L4" s="72" t="s">
        <v>41</v>
      </c>
      <c r="M4" s="72" t="s">
        <v>42</v>
      </c>
      <c r="N4" s="72" t="s">
        <v>43</v>
      </c>
      <c r="O4" s="72" t="s">
        <v>44</v>
      </c>
      <c r="P4" s="72" t="s">
        <v>45</v>
      </c>
      <c r="Q4" s="72" t="s">
        <v>46</v>
      </c>
      <c r="R4" s="72" t="s">
        <v>47</v>
      </c>
    </row>
    <row r="5" spans="2:18" x14ac:dyDescent="0.25">
      <c r="D5" s="8" t="s">
        <v>196</v>
      </c>
      <c r="E5" s="8" t="s">
        <v>288</v>
      </c>
      <c r="F5" s="8" t="s">
        <v>388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25">
      <c r="D6" s="9" t="s">
        <v>196</v>
      </c>
      <c r="E6" s="9" t="s">
        <v>288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25">
      <c r="D7" s="9" t="s">
        <v>196</v>
      </c>
      <c r="E7" s="9" t="s">
        <v>288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25">
      <c r="D8" s="9" t="s">
        <v>201</v>
      </c>
      <c r="E8" s="9" t="s">
        <v>288</v>
      </c>
      <c r="F8" s="9" t="s">
        <v>388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25">
      <c r="D9" s="9" t="s">
        <v>201</v>
      </c>
      <c r="E9" s="9" t="s">
        <v>288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25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25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25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25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25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2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2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2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25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25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25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25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25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2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2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2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2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2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2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2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2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2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2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2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25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25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25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25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25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2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2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2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2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2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.75" thickBot="1" x14ac:dyDescent="0.3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25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548235"/>
  </sheetPr>
  <dimension ref="B1:V33"/>
  <sheetViews>
    <sheetView zoomScaleNormal="100" workbookViewId="0">
      <selection activeCell="F14" sqref="F14"/>
    </sheetView>
  </sheetViews>
  <sheetFormatPr baseColWidth="10" defaultColWidth="11.5703125" defaultRowHeight="15" outlineLevelCol="1" x14ac:dyDescent="0.25"/>
  <cols>
    <col min="1" max="3" width="3.5703125" style="5" customWidth="1"/>
    <col min="4" max="4" width="15.5703125" style="5" customWidth="1"/>
    <col min="5" max="5" width="22.42578125" style="5" bestFit="1" customWidth="1"/>
    <col min="6" max="6" width="9.42578125" style="5" bestFit="1" customWidth="1"/>
    <col min="7" max="10" width="15.5703125" style="5" customWidth="1"/>
    <col min="11" max="11" width="8.5703125" style="5" customWidth="1"/>
    <col min="12" max="21" width="8.5703125" style="5" customWidth="1" outlineLevel="1"/>
    <col min="22" max="16384" width="11.5703125" style="5"/>
  </cols>
  <sheetData>
    <row r="1" spans="2:22" s="67" customFormat="1" ht="25.35" customHeight="1" x14ac:dyDescent="0.25">
      <c r="B1" s="66" t="s">
        <v>231</v>
      </c>
    </row>
    <row r="3" spans="2:22" ht="15.75" thickBot="1" x14ac:dyDescent="0.3">
      <c r="D3" s="38" t="str">
        <f>JESA_UploadTable(B1,D4:U25,db)</f>
        <v>PAP opex &amp; specific consumptions @16:45:56</v>
      </c>
    </row>
    <row r="4" spans="2:22" ht="30" customHeight="1" thickBot="1" x14ac:dyDescent="0.3">
      <c r="D4" s="68" t="s">
        <v>8</v>
      </c>
      <c r="E4" s="68" t="s">
        <v>25</v>
      </c>
      <c r="F4" s="70" t="s">
        <v>266</v>
      </c>
      <c r="G4" s="68" t="s">
        <v>230</v>
      </c>
      <c r="H4" s="68" t="s">
        <v>12</v>
      </c>
      <c r="I4" s="68" t="s">
        <v>24</v>
      </c>
      <c r="J4" s="70" t="s">
        <v>17</v>
      </c>
      <c r="K4" s="72" t="s">
        <v>37</v>
      </c>
      <c r="L4" s="72" t="s">
        <v>38</v>
      </c>
      <c r="M4" s="72" t="s">
        <v>39</v>
      </c>
      <c r="N4" s="72" t="s">
        <v>40</v>
      </c>
      <c r="O4" s="72" t="s">
        <v>41</v>
      </c>
      <c r="P4" s="72" t="s">
        <v>42</v>
      </c>
      <c r="Q4" s="72" t="s">
        <v>43</v>
      </c>
      <c r="R4" s="72" t="s">
        <v>44</v>
      </c>
      <c r="S4" s="72" t="s">
        <v>45</v>
      </c>
      <c r="T4" s="72" t="s">
        <v>46</v>
      </c>
      <c r="U4" s="72" t="s">
        <v>47</v>
      </c>
    </row>
    <row r="5" spans="2:22" x14ac:dyDescent="0.25">
      <c r="D5" s="8" t="s">
        <v>3</v>
      </c>
      <c r="E5" s="8" t="s">
        <v>196</v>
      </c>
      <c r="F5" s="8">
        <v>1000</v>
      </c>
      <c r="G5" s="8" t="s">
        <v>288</v>
      </c>
      <c r="H5" s="8" t="s">
        <v>13</v>
      </c>
      <c r="I5" s="8" t="s">
        <v>388</v>
      </c>
      <c r="J5" s="8" t="s">
        <v>59</v>
      </c>
      <c r="K5" s="17">
        <v>8</v>
      </c>
      <c r="L5" s="18">
        <f>K5</f>
        <v>8</v>
      </c>
      <c r="M5" s="18">
        <f t="shared" ref="M5:U5" si="0">L5</f>
        <v>8</v>
      </c>
      <c r="N5" s="18">
        <f t="shared" si="0"/>
        <v>8</v>
      </c>
      <c r="O5" s="18">
        <f t="shared" si="0"/>
        <v>8</v>
      </c>
      <c r="P5" s="18">
        <f t="shared" si="0"/>
        <v>8</v>
      </c>
      <c r="Q5" s="18">
        <f t="shared" si="0"/>
        <v>8</v>
      </c>
      <c r="R5" s="18">
        <f t="shared" si="0"/>
        <v>8</v>
      </c>
      <c r="S5" s="18">
        <f t="shared" si="0"/>
        <v>8</v>
      </c>
      <c r="T5" s="18">
        <f t="shared" si="0"/>
        <v>8</v>
      </c>
      <c r="U5" s="18">
        <f t="shared" si="0"/>
        <v>8</v>
      </c>
    </row>
    <row r="6" spans="2:22" x14ac:dyDescent="0.25">
      <c r="D6" s="9" t="s">
        <v>3</v>
      </c>
      <c r="E6" s="9" t="s">
        <v>196</v>
      </c>
      <c r="F6" s="9">
        <v>1000</v>
      </c>
      <c r="G6" s="9" t="s">
        <v>288</v>
      </c>
      <c r="H6" s="9" t="s">
        <v>15</v>
      </c>
      <c r="I6" s="9" t="s">
        <v>388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2" x14ac:dyDescent="0.25">
      <c r="D7" s="9" t="s">
        <v>3</v>
      </c>
      <c r="E7" s="9" t="s">
        <v>196</v>
      </c>
      <c r="F7" s="9">
        <v>1000</v>
      </c>
      <c r="G7" s="9" t="s">
        <v>288</v>
      </c>
      <c r="H7" s="9" t="s">
        <v>29</v>
      </c>
      <c r="I7" s="9" t="s">
        <v>388</v>
      </c>
      <c r="J7" s="9" t="s">
        <v>55</v>
      </c>
      <c r="K7" s="18">
        <v>3.1</v>
      </c>
      <c r="L7" s="18">
        <f>K7</f>
        <v>3.1</v>
      </c>
      <c r="M7" s="18">
        <f t="shared" ref="M7:U7" si="1">L7</f>
        <v>3.1</v>
      </c>
      <c r="N7" s="18">
        <f t="shared" si="1"/>
        <v>3.1</v>
      </c>
      <c r="O7" s="18">
        <f t="shared" si="1"/>
        <v>3.1</v>
      </c>
      <c r="P7" s="18">
        <f t="shared" si="1"/>
        <v>3.1</v>
      </c>
      <c r="Q7" s="18">
        <f t="shared" si="1"/>
        <v>3.1</v>
      </c>
      <c r="R7" s="18">
        <f t="shared" si="1"/>
        <v>3.1</v>
      </c>
      <c r="S7" s="18">
        <f t="shared" si="1"/>
        <v>3.1</v>
      </c>
      <c r="T7" s="18">
        <f t="shared" si="1"/>
        <v>3.1</v>
      </c>
      <c r="U7" s="18">
        <f t="shared" si="1"/>
        <v>3.1</v>
      </c>
    </row>
    <row r="8" spans="2:22" x14ac:dyDescent="0.25">
      <c r="D8" s="9" t="s">
        <v>3</v>
      </c>
      <c r="E8" s="9" t="s">
        <v>196</v>
      </c>
      <c r="F8" s="9">
        <v>1000</v>
      </c>
      <c r="G8" s="9" t="s">
        <v>288</v>
      </c>
      <c r="H8" s="9" t="s">
        <v>288</v>
      </c>
      <c r="I8" s="9" t="s">
        <v>388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2" ht="15.75" thickBot="1" x14ac:dyDescent="0.3">
      <c r="D9" s="71" t="s">
        <v>3</v>
      </c>
      <c r="E9" s="71" t="s">
        <v>196</v>
      </c>
      <c r="F9" s="71">
        <v>1000</v>
      </c>
      <c r="G9" s="71" t="s">
        <v>288</v>
      </c>
      <c r="H9" s="71" t="s">
        <v>22</v>
      </c>
      <c r="I9" s="71" t="s">
        <v>388</v>
      </c>
      <c r="J9" s="71" t="s">
        <v>129</v>
      </c>
      <c r="K9" s="18">
        <v>300</v>
      </c>
      <c r="L9" s="18">
        <f>K9</f>
        <v>300</v>
      </c>
      <c r="M9" s="18">
        <f t="shared" ref="M9:U9" si="2">L9</f>
        <v>300</v>
      </c>
      <c r="N9" s="18">
        <f t="shared" si="2"/>
        <v>300</v>
      </c>
      <c r="O9" s="18">
        <f t="shared" si="2"/>
        <v>300</v>
      </c>
      <c r="P9" s="18">
        <f t="shared" si="2"/>
        <v>300</v>
      </c>
      <c r="Q9" s="18">
        <f t="shared" si="2"/>
        <v>300</v>
      </c>
      <c r="R9" s="18">
        <f t="shared" si="2"/>
        <v>300</v>
      </c>
      <c r="S9" s="18">
        <f t="shared" si="2"/>
        <v>300</v>
      </c>
      <c r="T9" s="18">
        <f t="shared" si="2"/>
        <v>300</v>
      </c>
      <c r="U9" s="18">
        <f t="shared" si="2"/>
        <v>300</v>
      </c>
    </row>
    <row r="10" spans="2:22" x14ac:dyDescent="0.25">
      <c r="D10" s="8" t="s">
        <v>26</v>
      </c>
      <c r="E10" s="8" t="s">
        <v>201</v>
      </c>
      <c r="F10" s="8">
        <v>1500</v>
      </c>
      <c r="G10" s="8" t="s">
        <v>288</v>
      </c>
      <c r="H10" s="8" t="s">
        <v>13</v>
      </c>
      <c r="I10" s="8" t="s">
        <v>388</v>
      </c>
      <c r="J10" s="8" t="s">
        <v>59</v>
      </c>
      <c r="K10" s="17">
        <v>11</v>
      </c>
      <c r="L10" s="18">
        <v>11</v>
      </c>
      <c r="M10" s="18">
        <v>11</v>
      </c>
      <c r="N10" s="18">
        <v>11</v>
      </c>
      <c r="O10" s="18">
        <v>11</v>
      </c>
      <c r="P10" s="18">
        <v>11</v>
      </c>
      <c r="Q10" s="18">
        <v>11</v>
      </c>
      <c r="R10" s="18">
        <v>11</v>
      </c>
      <c r="S10" s="18">
        <v>11</v>
      </c>
      <c r="T10" s="18">
        <v>11</v>
      </c>
      <c r="U10" s="18">
        <v>11</v>
      </c>
      <c r="V10" s="146"/>
    </row>
    <row r="11" spans="2:22" x14ac:dyDescent="0.25">
      <c r="D11" s="9" t="s">
        <v>26</v>
      </c>
      <c r="E11" s="9" t="s">
        <v>201</v>
      </c>
      <c r="F11" s="9">
        <v>1500</v>
      </c>
      <c r="G11" s="9" t="s">
        <v>288</v>
      </c>
      <c r="H11" s="9" t="s">
        <v>15</v>
      </c>
      <c r="I11" s="9" t="s">
        <v>388</v>
      </c>
      <c r="J11" s="9" t="s">
        <v>63</v>
      </c>
      <c r="K11" s="18">
        <v>150</v>
      </c>
      <c r="L11" s="18">
        <v>150</v>
      </c>
      <c r="M11" s="18">
        <v>150</v>
      </c>
      <c r="N11" s="18">
        <v>150</v>
      </c>
      <c r="O11" s="18">
        <v>150</v>
      </c>
      <c r="P11" s="18">
        <v>150</v>
      </c>
      <c r="Q11" s="18">
        <v>150</v>
      </c>
      <c r="R11" s="18">
        <v>150</v>
      </c>
      <c r="S11" s="18">
        <v>150</v>
      </c>
      <c r="T11" s="18">
        <v>150</v>
      </c>
      <c r="U11" s="18">
        <v>150</v>
      </c>
      <c r="V11" s="146"/>
    </row>
    <row r="12" spans="2:22" x14ac:dyDescent="0.25">
      <c r="D12" s="9" t="s">
        <v>26</v>
      </c>
      <c r="E12" s="9" t="s">
        <v>201</v>
      </c>
      <c r="F12" s="9">
        <v>1500</v>
      </c>
      <c r="G12" s="9" t="s">
        <v>288</v>
      </c>
      <c r="H12" s="9" t="s">
        <v>29</v>
      </c>
      <c r="I12" s="9" t="s">
        <v>388</v>
      </c>
      <c r="J12" s="9" t="s">
        <v>55</v>
      </c>
      <c r="K12" s="18">
        <v>3.5</v>
      </c>
      <c r="L12" s="18">
        <v>3.5</v>
      </c>
      <c r="M12" s="18">
        <v>3.5</v>
      </c>
      <c r="N12" s="18">
        <v>3.5</v>
      </c>
      <c r="O12" s="18">
        <v>3.5</v>
      </c>
      <c r="P12" s="18">
        <v>3.5</v>
      </c>
      <c r="Q12" s="18">
        <v>3.5</v>
      </c>
      <c r="R12" s="18">
        <v>3.5</v>
      </c>
      <c r="S12" s="18">
        <v>3.5</v>
      </c>
      <c r="T12" s="18">
        <v>3.5</v>
      </c>
      <c r="U12" s="18">
        <v>3.5</v>
      </c>
      <c r="V12" s="146"/>
    </row>
    <row r="13" spans="2:22" x14ac:dyDescent="0.25">
      <c r="D13" s="9" t="s">
        <v>26</v>
      </c>
      <c r="E13" s="9" t="s">
        <v>201</v>
      </c>
      <c r="F13" s="9">
        <v>1500</v>
      </c>
      <c r="G13" s="9" t="s">
        <v>288</v>
      </c>
      <c r="H13" s="9" t="s">
        <v>288</v>
      </c>
      <c r="I13" s="9" t="s">
        <v>388</v>
      </c>
      <c r="J13" s="9" t="s">
        <v>187</v>
      </c>
      <c r="K13" s="18">
        <v>3.6</v>
      </c>
      <c r="L13" s="18">
        <v>3.6</v>
      </c>
      <c r="M13" s="18">
        <v>3.6</v>
      </c>
      <c r="N13" s="18">
        <v>3.6</v>
      </c>
      <c r="O13" s="18">
        <v>3.6</v>
      </c>
      <c r="P13" s="18">
        <v>3.6</v>
      </c>
      <c r="Q13" s="18">
        <v>3.6</v>
      </c>
      <c r="R13" s="18">
        <v>3.6</v>
      </c>
      <c r="S13" s="18">
        <v>3.6</v>
      </c>
      <c r="T13" s="18">
        <v>3.6</v>
      </c>
      <c r="U13" s="18">
        <v>3.6</v>
      </c>
      <c r="V13" s="146"/>
    </row>
    <row r="14" spans="2:22" ht="15.75" thickBot="1" x14ac:dyDescent="0.3">
      <c r="D14" s="10" t="s">
        <v>26</v>
      </c>
      <c r="E14" s="71" t="s">
        <v>201</v>
      </c>
      <c r="F14" s="71">
        <v>1500</v>
      </c>
      <c r="G14" s="10" t="s">
        <v>288</v>
      </c>
      <c r="H14" s="10" t="s">
        <v>22</v>
      </c>
      <c r="I14" s="10" t="s">
        <v>388</v>
      </c>
      <c r="J14" s="10" t="s">
        <v>129</v>
      </c>
      <c r="K14" s="73">
        <v>1000</v>
      </c>
      <c r="L14" s="73">
        <f>K14</f>
        <v>1000</v>
      </c>
      <c r="M14" s="73">
        <f t="shared" ref="M14:U14" si="3">L14</f>
        <v>1000</v>
      </c>
      <c r="N14" s="73">
        <f t="shared" si="3"/>
        <v>1000</v>
      </c>
      <c r="O14" s="73">
        <f t="shared" si="3"/>
        <v>1000</v>
      </c>
      <c r="P14" s="73">
        <f t="shared" si="3"/>
        <v>1000</v>
      </c>
      <c r="Q14" s="73">
        <f t="shared" si="3"/>
        <v>1000</v>
      </c>
      <c r="R14" s="73">
        <f t="shared" si="3"/>
        <v>1000</v>
      </c>
      <c r="S14" s="73">
        <f t="shared" si="3"/>
        <v>1000</v>
      </c>
      <c r="T14" s="73">
        <f t="shared" si="3"/>
        <v>1000</v>
      </c>
      <c r="U14" s="73">
        <f t="shared" si="3"/>
        <v>1000</v>
      </c>
      <c r="V14" s="146"/>
    </row>
    <row r="15" spans="2:22" x14ac:dyDescent="0.25">
      <c r="D15" s="9"/>
      <c r="E15" s="9"/>
      <c r="F15" s="9"/>
      <c r="G15" s="9"/>
      <c r="H15" s="9"/>
      <c r="I15" s="9"/>
      <c r="J15" s="9"/>
      <c r="K15" s="18"/>
      <c r="L15" s="18" t="str">
        <f t="shared" ref="L15:U26" si="4">IF(K15="","",K15)</f>
        <v/>
      </c>
      <c r="M15" s="18" t="str">
        <f t="shared" si="4"/>
        <v/>
      </c>
      <c r="N15" s="18" t="str">
        <f t="shared" si="4"/>
        <v/>
      </c>
      <c r="O15" s="18" t="str">
        <f t="shared" si="4"/>
        <v/>
      </c>
      <c r="P15" s="18" t="str">
        <f t="shared" si="4"/>
        <v/>
      </c>
      <c r="Q15" s="18" t="str">
        <f t="shared" si="4"/>
        <v/>
      </c>
      <c r="R15" s="18" t="str">
        <f t="shared" si="4"/>
        <v/>
      </c>
      <c r="S15" s="18" t="str">
        <f t="shared" si="4"/>
        <v/>
      </c>
      <c r="T15" s="18" t="str">
        <f t="shared" si="4"/>
        <v/>
      </c>
      <c r="U15" s="18" t="str">
        <f t="shared" si="4"/>
        <v/>
      </c>
    </row>
    <row r="16" spans="2:22" x14ac:dyDescent="0.25">
      <c r="D16" s="9"/>
      <c r="E16" s="9"/>
      <c r="F16" s="9"/>
      <c r="G16" s="9"/>
      <c r="H16" s="9"/>
      <c r="I16" s="9"/>
      <c r="J16" s="9"/>
      <c r="K16" s="18"/>
      <c r="L16" s="18" t="str">
        <f t="shared" si="4"/>
        <v/>
      </c>
      <c r="M16" s="18" t="str">
        <f t="shared" si="4"/>
        <v/>
      </c>
      <c r="N16" s="18" t="str">
        <f t="shared" si="4"/>
        <v/>
      </c>
      <c r="O16" s="18" t="str">
        <f t="shared" si="4"/>
        <v/>
      </c>
      <c r="P16" s="18" t="str">
        <f t="shared" si="4"/>
        <v/>
      </c>
      <c r="Q16" s="18" t="str">
        <f t="shared" si="4"/>
        <v/>
      </c>
      <c r="R16" s="18" t="str">
        <f t="shared" si="4"/>
        <v/>
      </c>
      <c r="S16" s="18" t="str">
        <f t="shared" si="4"/>
        <v/>
      </c>
      <c r="T16" s="18" t="str">
        <f t="shared" si="4"/>
        <v/>
      </c>
      <c r="U16" s="18" t="str">
        <f t="shared" si="4"/>
        <v/>
      </c>
    </row>
    <row r="17" spans="4:21" x14ac:dyDescent="0.25">
      <c r="D17" s="9"/>
      <c r="E17" s="9"/>
      <c r="F17" s="9"/>
      <c r="G17" s="9"/>
      <c r="H17" s="9"/>
      <c r="I17" s="9"/>
      <c r="J17" s="9"/>
      <c r="K17" s="18"/>
      <c r="L17" s="18" t="str">
        <f t="shared" si="4"/>
        <v/>
      </c>
      <c r="M17" s="18" t="str">
        <f t="shared" si="4"/>
        <v/>
      </c>
      <c r="N17" s="18" t="str">
        <f t="shared" si="4"/>
        <v/>
      </c>
      <c r="O17" s="18" t="str">
        <f t="shared" si="4"/>
        <v/>
      </c>
      <c r="P17" s="18" t="str">
        <f t="shared" si="4"/>
        <v/>
      </c>
      <c r="Q17" s="18" t="str">
        <f t="shared" si="4"/>
        <v/>
      </c>
      <c r="R17" s="18" t="str">
        <f t="shared" si="4"/>
        <v/>
      </c>
      <c r="S17" s="18" t="str">
        <f t="shared" si="4"/>
        <v/>
      </c>
      <c r="T17" s="18" t="str">
        <f t="shared" si="4"/>
        <v/>
      </c>
      <c r="U17" s="18" t="str">
        <f t="shared" si="4"/>
        <v/>
      </c>
    </row>
    <row r="18" spans="4:21" x14ac:dyDescent="0.25">
      <c r="D18" s="9"/>
      <c r="E18" s="9"/>
      <c r="F18" s="9"/>
      <c r="G18" s="9"/>
      <c r="H18" s="9"/>
      <c r="I18" s="9"/>
      <c r="J18" s="9"/>
      <c r="K18" s="18"/>
      <c r="L18" s="18" t="str">
        <f t="shared" si="4"/>
        <v/>
      </c>
      <c r="M18" s="18" t="str">
        <f t="shared" si="4"/>
        <v/>
      </c>
      <c r="N18" s="18" t="str">
        <f t="shared" si="4"/>
        <v/>
      </c>
      <c r="O18" s="18" t="str">
        <f t="shared" si="4"/>
        <v/>
      </c>
      <c r="P18" s="18" t="str">
        <f t="shared" si="4"/>
        <v/>
      </c>
      <c r="Q18" s="18" t="str">
        <f t="shared" si="4"/>
        <v/>
      </c>
      <c r="R18" s="18" t="str">
        <f t="shared" si="4"/>
        <v/>
      </c>
      <c r="S18" s="18" t="str">
        <f t="shared" si="4"/>
        <v/>
      </c>
      <c r="T18" s="18" t="str">
        <f t="shared" si="4"/>
        <v/>
      </c>
      <c r="U18" s="18" t="str">
        <f t="shared" si="4"/>
        <v/>
      </c>
    </row>
    <row r="19" spans="4:21" x14ac:dyDescent="0.25">
      <c r="D19" s="9"/>
      <c r="E19" s="9"/>
      <c r="F19" s="9"/>
      <c r="G19" s="9"/>
      <c r="H19" s="9"/>
      <c r="I19" s="9"/>
      <c r="J19" s="9"/>
      <c r="K19" s="18"/>
      <c r="L19" s="18" t="str">
        <f t="shared" si="4"/>
        <v/>
      </c>
      <c r="M19" s="18" t="str">
        <f t="shared" si="4"/>
        <v/>
      </c>
      <c r="N19" s="18" t="str">
        <f t="shared" si="4"/>
        <v/>
      </c>
      <c r="O19" s="18" t="str">
        <f t="shared" si="4"/>
        <v/>
      </c>
      <c r="P19" s="18" t="str">
        <f t="shared" si="4"/>
        <v/>
      </c>
      <c r="Q19" s="18" t="str">
        <f t="shared" si="4"/>
        <v/>
      </c>
      <c r="R19" s="18" t="str">
        <f t="shared" si="4"/>
        <v/>
      </c>
      <c r="S19" s="18" t="str">
        <f t="shared" si="4"/>
        <v/>
      </c>
      <c r="T19" s="18" t="str">
        <f t="shared" si="4"/>
        <v/>
      </c>
      <c r="U19" s="18" t="str">
        <f t="shared" si="4"/>
        <v/>
      </c>
    </row>
    <row r="20" spans="4:21" x14ac:dyDescent="0.25">
      <c r="D20" s="9"/>
      <c r="E20" s="9"/>
      <c r="F20" s="9"/>
      <c r="G20" s="9"/>
      <c r="H20" s="9"/>
      <c r="I20" s="9"/>
      <c r="J20" s="9"/>
      <c r="K20" s="18"/>
      <c r="L20" s="18" t="str">
        <f t="shared" si="4"/>
        <v/>
      </c>
      <c r="M20" s="18" t="str">
        <f t="shared" si="4"/>
        <v/>
      </c>
      <c r="N20" s="18" t="str">
        <f t="shared" si="4"/>
        <v/>
      </c>
      <c r="O20" s="18" t="str">
        <f t="shared" si="4"/>
        <v/>
      </c>
      <c r="P20" s="18" t="str">
        <f t="shared" si="4"/>
        <v/>
      </c>
      <c r="Q20" s="18" t="str">
        <f t="shared" si="4"/>
        <v/>
      </c>
      <c r="R20" s="18" t="str">
        <f t="shared" si="4"/>
        <v/>
      </c>
      <c r="S20" s="18" t="str">
        <f t="shared" si="4"/>
        <v/>
      </c>
      <c r="T20" s="18" t="str">
        <f t="shared" si="4"/>
        <v/>
      </c>
      <c r="U20" s="18" t="str">
        <f t="shared" si="4"/>
        <v/>
      </c>
    </row>
    <row r="21" spans="4:21" x14ac:dyDescent="0.25">
      <c r="D21" s="9"/>
      <c r="E21" s="9"/>
      <c r="F21" s="9"/>
      <c r="G21" s="9"/>
      <c r="H21" s="9"/>
      <c r="I21" s="9"/>
      <c r="J21" s="9"/>
      <c r="K21" s="18"/>
      <c r="L21" s="18" t="str">
        <f t="shared" si="4"/>
        <v/>
      </c>
      <c r="M21" s="18" t="str">
        <f t="shared" si="4"/>
        <v/>
      </c>
      <c r="N21" s="18" t="str">
        <f t="shared" si="4"/>
        <v/>
      </c>
      <c r="O21" s="18" t="str">
        <f t="shared" si="4"/>
        <v/>
      </c>
      <c r="P21" s="18" t="str">
        <f t="shared" si="4"/>
        <v/>
      </c>
      <c r="Q21" s="18" t="str">
        <f t="shared" si="4"/>
        <v/>
      </c>
      <c r="R21" s="18" t="str">
        <f t="shared" si="4"/>
        <v/>
      </c>
      <c r="S21" s="18" t="str">
        <f t="shared" si="4"/>
        <v/>
      </c>
      <c r="T21" s="18" t="str">
        <f t="shared" si="4"/>
        <v/>
      </c>
      <c r="U21" s="18" t="str">
        <f t="shared" si="4"/>
        <v/>
      </c>
    </row>
    <row r="22" spans="4:21" x14ac:dyDescent="0.25">
      <c r="D22" s="9"/>
      <c r="E22" s="9"/>
      <c r="F22" s="9"/>
      <c r="G22" s="9"/>
      <c r="H22" s="9"/>
      <c r="I22" s="9"/>
      <c r="J22" s="9"/>
      <c r="K22" s="18"/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  <c r="T22" s="18" t="str">
        <f t="shared" si="4"/>
        <v/>
      </c>
      <c r="U22" s="18" t="str">
        <f t="shared" si="4"/>
        <v/>
      </c>
    </row>
    <row r="23" spans="4:21" x14ac:dyDescent="0.25">
      <c r="D23" s="9"/>
      <c r="E23" s="9"/>
      <c r="F23" s="9"/>
      <c r="G23" s="9"/>
      <c r="H23" s="9"/>
      <c r="I23" s="9"/>
      <c r="J23" s="9"/>
      <c r="K23" s="18"/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  <c r="R23" s="18" t="str">
        <f t="shared" si="4"/>
        <v/>
      </c>
      <c r="S23" s="18" t="str">
        <f t="shared" si="4"/>
        <v/>
      </c>
      <c r="T23" s="18" t="str">
        <f t="shared" si="4"/>
        <v/>
      </c>
      <c r="U23" s="18" t="str">
        <f t="shared" si="4"/>
        <v/>
      </c>
    </row>
    <row r="24" spans="4:21" x14ac:dyDescent="0.25">
      <c r="D24" s="9"/>
      <c r="E24" s="9"/>
      <c r="F24" s="9"/>
      <c r="G24" s="9"/>
      <c r="H24" s="9"/>
      <c r="I24" s="9"/>
      <c r="J24" s="9"/>
      <c r="K24" s="18"/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  <c r="R24" s="18" t="str">
        <f t="shared" si="4"/>
        <v/>
      </c>
      <c r="S24" s="18" t="str">
        <f t="shared" si="4"/>
        <v/>
      </c>
      <c r="T24" s="18" t="str">
        <f t="shared" si="4"/>
        <v/>
      </c>
      <c r="U24" s="18" t="str">
        <f t="shared" si="4"/>
        <v/>
      </c>
    </row>
    <row r="25" spans="4:21" x14ac:dyDescent="0.25">
      <c r="D25" s="9"/>
      <c r="E25" s="9"/>
      <c r="F25" s="9"/>
      <c r="G25" s="9"/>
      <c r="H25" s="9"/>
      <c r="I25" s="9"/>
      <c r="J25" s="9"/>
      <c r="K25" s="18"/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  <c r="R25" s="18" t="str">
        <f t="shared" si="4"/>
        <v/>
      </c>
      <c r="S25" s="18" t="str">
        <f t="shared" si="4"/>
        <v/>
      </c>
      <c r="T25" s="18" t="str">
        <f t="shared" si="4"/>
        <v/>
      </c>
      <c r="U25" s="18" t="str">
        <f t="shared" si="4"/>
        <v/>
      </c>
    </row>
    <row r="26" spans="4:21" x14ac:dyDescent="0.25">
      <c r="D26" s="9"/>
      <c r="E26" s="9"/>
      <c r="F26" s="9"/>
      <c r="G26" s="9"/>
      <c r="H26" s="9"/>
      <c r="I26" s="9"/>
      <c r="J26" s="9"/>
      <c r="K26" s="18"/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  <c r="R26" s="18" t="str">
        <f t="shared" si="4"/>
        <v/>
      </c>
      <c r="S26" s="18" t="str">
        <f t="shared" si="4"/>
        <v/>
      </c>
      <c r="T26" s="18" t="str">
        <f t="shared" si="4"/>
        <v/>
      </c>
      <c r="U26" s="18" t="str">
        <f t="shared" si="4"/>
        <v/>
      </c>
    </row>
    <row r="27" spans="4:21" x14ac:dyDescent="0.25">
      <c r="D27" s="9"/>
      <c r="E27" s="9"/>
      <c r="F27" s="9"/>
      <c r="G27" s="9"/>
      <c r="H27" s="9"/>
      <c r="I27" s="9"/>
      <c r="J27" s="9"/>
      <c r="K27" s="18"/>
      <c r="L27" s="18" t="str">
        <f t="shared" ref="L27:U32" si="5">IF(K27="","",K27)</f>
        <v/>
      </c>
      <c r="M27" s="18" t="str">
        <f t="shared" si="5"/>
        <v/>
      </c>
      <c r="N27" s="18" t="str">
        <f t="shared" si="5"/>
        <v/>
      </c>
      <c r="O27" s="18" t="str">
        <f t="shared" si="5"/>
        <v/>
      </c>
      <c r="P27" s="18" t="str">
        <f t="shared" si="5"/>
        <v/>
      </c>
      <c r="Q27" s="18" t="str">
        <f t="shared" si="5"/>
        <v/>
      </c>
      <c r="R27" s="18" t="str">
        <f t="shared" si="5"/>
        <v/>
      </c>
      <c r="S27" s="18" t="str">
        <f t="shared" si="5"/>
        <v/>
      </c>
      <c r="T27" s="18" t="str">
        <f t="shared" si="5"/>
        <v/>
      </c>
      <c r="U27" s="18" t="str">
        <f t="shared" si="5"/>
        <v/>
      </c>
    </row>
    <row r="28" spans="4:21" x14ac:dyDescent="0.25">
      <c r="D28" s="9"/>
      <c r="E28" s="9"/>
      <c r="F28" s="9"/>
      <c r="G28" s="9"/>
      <c r="H28" s="9"/>
      <c r="I28" s="9"/>
      <c r="J28" s="9"/>
      <c r="K28" s="18"/>
      <c r="L28" s="18" t="str">
        <f t="shared" si="5"/>
        <v/>
      </c>
      <c r="M28" s="18" t="str">
        <f t="shared" si="5"/>
        <v/>
      </c>
      <c r="N28" s="18" t="str">
        <f t="shared" si="5"/>
        <v/>
      </c>
      <c r="O28" s="18" t="str">
        <f t="shared" si="5"/>
        <v/>
      </c>
      <c r="P28" s="18" t="str">
        <f t="shared" si="5"/>
        <v/>
      </c>
      <c r="Q28" s="18" t="str">
        <f t="shared" si="5"/>
        <v/>
      </c>
      <c r="R28" s="18" t="str">
        <f t="shared" si="5"/>
        <v/>
      </c>
      <c r="S28" s="18" t="str">
        <f t="shared" si="5"/>
        <v/>
      </c>
      <c r="T28" s="18" t="str">
        <f t="shared" si="5"/>
        <v/>
      </c>
      <c r="U28" s="18" t="str">
        <f t="shared" si="5"/>
        <v/>
      </c>
    </row>
    <row r="29" spans="4:21" x14ac:dyDescent="0.25">
      <c r="D29" s="9"/>
      <c r="E29" s="9"/>
      <c r="F29" s="9"/>
      <c r="G29" s="9"/>
      <c r="H29" s="9"/>
      <c r="I29" s="9"/>
      <c r="J29" s="9"/>
      <c r="K29" s="18"/>
      <c r="L29" s="18" t="str">
        <f t="shared" si="5"/>
        <v/>
      </c>
      <c r="M29" s="18" t="str">
        <f t="shared" si="5"/>
        <v/>
      </c>
      <c r="N29" s="18" t="str">
        <f t="shared" si="5"/>
        <v/>
      </c>
      <c r="O29" s="18" t="str">
        <f t="shared" si="5"/>
        <v/>
      </c>
      <c r="P29" s="18" t="str">
        <f t="shared" si="5"/>
        <v/>
      </c>
      <c r="Q29" s="18" t="str">
        <f t="shared" si="5"/>
        <v/>
      </c>
      <c r="R29" s="18" t="str">
        <f t="shared" si="5"/>
        <v/>
      </c>
      <c r="S29" s="18" t="str">
        <f t="shared" si="5"/>
        <v/>
      </c>
      <c r="T29" s="18" t="str">
        <f t="shared" si="5"/>
        <v/>
      </c>
      <c r="U29" s="18" t="str">
        <f t="shared" si="5"/>
        <v/>
      </c>
    </row>
    <row r="30" spans="4:21" x14ac:dyDescent="0.25">
      <c r="D30" s="9"/>
      <c r="E30" s="9"/>
      <c r="F30" s="9"/>
      <c r="G30" s="9"/>
      <c r="H30" s="9"/>
      <c r="I30" s="9"/>
      <c r="J30" s="9"/>
      <c r="K30" s="18"/>
      <c r="L30" s="18" t="str">
        <f t="shared" si="5"/>
        <v/>
      </c>
      <c r="M30" s="18" t="str">
        <f t="shared" si="5"/>
        <v/>
      </c>
      <c r="N30" s="18" t="str">
        <f t="shared" si="5"/>
        <v/>
      </c>
      <c r="O30" s="18" t="str">
        <f t="shared" si="5"/>
        <v/>
      </c>
      <c r="P30" s="18" t="str">
        <f t="shared" si="5"/>
        <v/>
      </c>
      <c r="Q30" s="18" t="str">
        <f t="shared" si="5"/>
        <v/>
      </c>
      <c r="R30" s="18" t="str">
        <f t="shared" si="5"/>
        <v/>
      </c>
      <c r="S30" s="18" t="str">
        <f t="shared" si="5"/>
        <v/>
      </c>
      <c r="T30" s="18" t="str">
        <f t="shared" si="5"/>
        <v/>
      </c>
      <c r="U30" s="18" t="str">
        <f t="shared" si="5"/>
        <v/>
      </c>
    </row>
    <row r="31" spans="4:21" x14ac:dyDescent="0.25">
      <c r="D31" s="9"/>
      <c r="E31" s="9"/>
      <c r="F31" s="9"/>
      <c r="G31" s="9"/>
      <c r="H31" s="9"/>
      <c r="I31" s="9"/>
      <c r="J31" s="9"/>
      <c r="K31" s="18"/>
      <c r="L31" s="18" t="str">
        <f t="shared" si="5"/>
        <v/>
      </c>
      <c r="M31" s="18" t="str">
        <f t="shared" si="5"/>
        <v/>
      </c>
      <c r="N31" s="18" t="str">
        <f t="shared" si="5"/>
        <v/>
      </c>
      <c r="O31" s="18" t="str">
        <f t="shared" si="5"/>
        <v/>
      </c>
      <c r="P31" s="18" t="str">
        <f t="shared" si="5"/>
        <v/>
      </c>
      <c r="Q31" s="18" t="str">
        <f t="shared" si="5"/>
        <v/>
      </c>
      <c r="R31" s="18" t="str">
        <f t="shared" si="5"/>
        <v/>
      </c>
      <c r="S31" s="18" t="str">
        <f t="shared" si="5"/>
        <v/>
      </c>
      <c r="T31" s="18" t="str">
        <f t="shared" si="5"/>
        <v/>
      </c>
      <c r="U31" s="18" t="str">
        <f t="shared" si="5"/>
        <v/>
      </c>
    </row>
    <row r="32" spans="4:21" ht="15.75" thickBot="1" x14ac:dyDescent="0.3">
      <c r="D32" s="10"/>
      <c r="E32" s="10"/>
      <c r="F32" s="10"/>
      <c r="G32" s="10"/>
      <c r="H32" s="10"/>
      <c r="I32" s="10"/>
      <c r="J32" s="10"/>
      <c r="K32" s="43"/>
      <c r="L32" s="43" t="str">
        <f t="shared" si="5"/>
        <v/>
      </c>
      <c r="M32" s="43" t="str">
        <f t="shared" si="5"/>
        <v/>
      </c>
      <c r="N32" s="43" t="str">
        <f t="shared" si="5"/>
        <v/>
      </c>
      <c r="O32" s="43" t="str">
        <f t="shared" si="5"/>
        <v/>
      </c>
      <c r="P32" s="43" t="str">
        <f t="shared" si="5"/>
        <v/>
      </c>
      <c r="Q32" s="43" t="str">
        <f t="shared" si="5"/>
        <v/>
      </c>
      <c r="R32" s="43" t="str">
        <f t="shared" si="5"/>
        <v/>
      </c>
      <c r="S32" s="43" t="str">
        <f t="shared" si="5"/>
        <v/>
      </c>
      <c r="T32" s="43" t="str">
        <f t="shared" si="5"/>
        <v/>
      </c>
      <c r="U32" s="43" t="str">
        <f t="shared" si="5"/>
        <v/>
      </c>
    </row>
    <row r="33" spans="4:21" x14ac:dyDescent="0.25">
      <c r="D33" s="5" t="e">
        <v>#N/A</v>
      </c>
      <c r="E33" s="5" t="e">
        <v>#N/A</v>
      </c>
      <c r="F33" s="5" t="e">
        <v>#N/A</v>
      </c>
      <c r="H33" s="5" t="e">
        <v>#N/A</v>
      </c>
      <c r="I33" s="5" t="e">
        <v>#N/A</v>
      </c>
      <c r="J33" s="5" t="e">
        <v>#N/A</v>
      </c>
      <c r="K33" s="5" t="e">
        <v>#N/A</v>
      </c>
      <c r="L33" s="5" t="e">
        <v>#N/A</v>
      </c>
      <c r="M33" s="5" t="e">
        <v>#N/A</v>
      </c>
      <c r="N33" s="5" t="e">
        <v>#N/A</v>
      </c>
      <c r="O33" s="5" t="e">
        <v>#N/A</v>
      </c>
      <c r="P33" s="5" t="e">
        <v>#N/A</v>
      </c>
      <c r="Q33" s="5" t="e">
        <v>#N/A</v>
      </c>
      <c r="R33" s="5" t="e">
        <v>#N/A</v>
      </c>
      <c r="S33" s="5" t="e">
        <v>#N/A</v>
      </c>
      <c r="T33" s="5" t="e">
        <v>#N/A</v>
      </c>
      <c r="U33" s="5" t="e">
        <v>#N/A</v>
      </c>
    </row>
  </sheetData>
  <conditionalFormatting sqref="I5:I6 I8:I9">
    <cfRule type="uniqueValues" dxfId="2" priority="8"/>
  </conditionalFormatting>
  <conditionalFormatting sqref="I7">
    <cfRule type="uniqueValues" dxfId="1" priority="7"/>
  </conditionalFormatting>
  <conditionalFormatting sqref="I12">
    <cfRule type="uniqueValues" dxfId="0" priority="1"/>
  </conditionalFormatting>
  <dataValidations count="7">
    <dataValidation type="list" allowBlank="1" showInputMessage="1" showErrorMessage="1" sqref="G5:G32">
      <formula1>PAPInputs</formula1>
    </dataValidation>
    <dataValidation type="list" allowBlank="1" showInputMessage="1" showErrorMessage="1" sqref="I5:I32">
      <formula1>PAPProducts</formula1>
    </dataValidation>
    <dataValidation type="list" allowBlank="1" showInputMessage="1" showErrorMessage="1" sqref="D5:D32">
      <formula1>Location</formula1>
    </dataValidation>
    <dataValidation type="list" allowBlank="1" showInputMessage="1" showErrorMessage="1" sqref="E5:E32">
      <formula1>PAPProcess</formula1>
    </dataValidation>
    <dataValidation type="list" allowBlank="1" showInputMessage="1" showErrorMessage="1" sqref="F5:F32">
      <formula1>PAPOptionsCapacity</formula1>
    </dataValidation>
    <dataValidation type="list" allowBlank="1" showInputMessage="1" showErrorMessage="1" sqref="H5:H32">
      <formula1>OPEX</formula1>
    </dataValidation>
    <dataValidation type="list" allowBlank="1" showInputMessage="1" showErrorMessage="1" sqref="J5:J3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6"/>
  <sheetViews>
    <sheetView workbookViewId="0">
      <selection activeCell="L20" sqref="L20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9" width="15.5703125" style="5" customWidth="1"/>
    <col min="10" max="19" width="8.5703125" style="5" customWidth="1"/>
    <col min="20" max="16384" width="11.5703125" style="5"/>
  </cols>
  <sheetData>
    <row r="1" spans="2:19" s="67" customFormat="1" ht="25.35" customHeight="1" x14ac:dyDescent="0.25">
      <c r="B1" s="66" t="s">
        <v>232</v>
      </c>
    </row>
    <row r="3" spans="2:19" ht="15.75" thickBot="1" x14ac:dyDescent="0.3">
      <c r="D3" s="38" t="str">
        <f>JESA_UploadTable(B1,D4:S5,db)</f>
        <v>PAP capex @16:45:54</v>
      </c>
      <c r="J3" s="155" t="s">
        <v>180</v>
      </c>
      <c r="K3" s="155"/>
      <c r="L3" s="155"/>
      <c r="M3" s="155"/>
      <c r="N3" s="155"/>
      <c r="O3" s="155"/>
      <c r="P3" s="155"/>
      <c r="Q3" s="155"/>
      <c r="R3" s="155"/>
      <c r="S3" s="155"/>
    </row>
    <row r="4" spans="2:19" ht="30" customHeight="1" thickBot="1" x14ac:dyDescent="0.3">
      <c r="D4" s="68" t="s">
        <v>8</v>
      </c>
      <c r="E4" s="68" t="s">
        <v>25</v>
      </c>
      <c r="F4" s="70" t="s">
        <v>266</v>
      </c>
      <c r="G4" s="68" t="s">
        <v>12</v>
      </c>
      <c r="H4" s="70" t="s">
        <v>17</v>
      </c>
      <c r="I4" s="72" t="s">
        <v>145</v>
      </c>
      <c r="J4" s="72" t="s">
        <v>71</v>
      </c>
      <c r="K4" s="72" t="s">
        <v>72</v>
      </c>
      <c r="L4" s="72" t="s">
        <v>73</v>
      </c>
      <c r="M4" s="72" t="s">
        <v>74</v>
      </c>
      <c r="N4" s="72" t="s">
        <v>75</v>
      </c>
      <c r="O4" s="72" t="s">
        <v>358</v>
      </c>
      <c r="P4" s="72" t="s">
        <v>76</v>
      </c>
      <c r="Q4" s="72" t="s">
        <v>77</v>
      </c>
      <c r="R4" s="72" t="s">
        <v>78</v>
      </c>
      <c r="S4" s="72" t="s">
        <v>79</v>
      </c>
    </row>
    <row r="5" spans="2:19" x14ac:dyDescent="0.25">
      <c r="D5" s="9" t="s">
        <v>3</v>
      </c>
      <c r="E5" s="9" t="s">
        <v>196</v>
      </c>
      <c r="F5" s="9">
        <v>1000</v>
      </c>
      <c r="G5" s="9" t="s">
        <v>22</v>
      </c>
      <c r="H5" s="9" t="s">
        <v>371</v>
      </c>
      <c r="I5" s="39">
        <v>330000000</v>
      </c>
      <c r="J5" s="27"/>
      <c r="K5" s="27"/>
      <c r="L5" s="27">
        <v>0.2</v>
      </c>
      <c r="M5" s="27">
        <v>0.4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/>
      <c r="E6" s="9"/>
      <c r="F6" s="9"/>
      <c r="G6" s="9"/>
      <c r="H6" s="9"/>
      <c r="I6" s="39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2:19" x14ac:dyDescent="0.25">
      <c r="D7" s="9"/>
      <c r="E7" s="9"/>
      <c r="F7" s="9"/>
      <c r="G7" s="9"/>
      <c r="H7" s="9"/>
      <c r="I7" s="39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2:19" x14ac:dyDescent="0.25">
      <c r="D8" s="9"/>
      <c r="E8" s="9"/>
      <c r="F8" s="9"/>
      <c r="G8" s="9"/>
      <c r="H8" s="9"/>
      <c r="I8" s="39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2:19" x14ac:dyDescent="0.25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25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25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ht="15.75" thickBot="1" x14ac:dyDescent="0.3">
      <c r="D45" s="10"/>
      <c r="E45" s="10"/>
      <c r="F45" s="10"/>
      <c r="G45" s="10"/>
      <c r="H45" s="10"/>
      <c r="I45" s="44"/>
      <c r="J45" s="41"/>
      <c r="K45" s="41"/>
      <c r="L45" s="41"/>
      <c r="M45" s="41"/>
      <c r="N45" s="41"/>
      <c r="O45" s="41"/>
      <c r="P45" s="41"/>
      <c r="Q45" s="41"/>
      <c r="R45" s="41"/>
      <c r="S45" s="41"/>
    </row>
    <row r="46" spans="4:19" x14ac:dyDescent="0.25">
      <c r="D46" s="5" t="e">
        <v>#N/A</v>
      </c>
      <c r="E46" s="5" t="e">
        <v>#N/A</v>
      </c>
      <c r="F46" s="5" t="e">
        <v>#N/A</v>
      </c>
      <c r="G46" s="5" t="e">
        <v>#N/A</v>
      </c>
      <c r="H46" s="5" t="e">
        <v>#N/A</v>
      </c>
      <c r="J46" s="5" t="e">
        <v>#N/A</v>
      </c>
      <c r="K46" s="5" t="e">
        <v>#N/A</v>
      </c>
      <c r="L46" s="5" t="e">
        <v>#N/A</v>
      </c>
      <c r="M46" s="5" t="e">
        <v>#N/A</v>
      </c>
      <c r="N46" s="5" t="e">
        <v>#N/A</v>
      </c>
      <c r="O46" s="5" t="e">
        <v>#N/A</v>
      </c>
      <c r="P46" s="5" t="e">
        <v>#N/A</v>
      </c>
      <c r="Q46" s="5" t="e">
        <v>#N/A</v>
      </c>
      <c r="R46" s="5" t="e">
        <v>#N/A</v>
      </c>
      <c r="S46" s="5" t="e">
        <v>#N/A</v>
      </c>
    </row>
  </sheetData>
  <mergeCells count="1">
    <mergeCell ref="J3:S3"/>
  </mergeCells>
  <dataValidations count="5">
    <dataValidation type="list" allowBlank="1" showInputMessage="1" showErrorMessage="1" sqref="D5:D45">
      <formula1>Location</formula1>
    </dataValidation>
    <dataValidation type="list" allowBlank="1" showInputMessage="1" showErrorMessage="1" sqref="F5:F45">
      <formula1>PAPOptionsCapacity</formula1>
    </dataValidation>
    <dataValidation type="list" allowBlank="1" showInputMessage="1" showErrorMessage="1" sqref="E5:E45">
      <formula1>PAPOptionsProcess</formula1>
    </dataValidation>
    <dataValidation type="list" allowBlank="1" showInputMessage="1" showErrorMessage="1" sqref="G5:G45">
      <formula1>PAPCapex</formula1>
    </dataValidation>
    <dataValidation type="list" allowBlank="1" showInputMessage="1" showErrorMessage="1" sqref="H5:H45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H16" sqref="H16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5703125" style="31" customWidth="1"/>
    <col min="15" max="16384" width="11.5703125" style="1"/>
  </cols>
  <sheetData>
    <row r="1" spans="2:14" s="76" customFormat="1" ht="24.95" customHeight="1" x14ac:dyDescent="0.25">
      <c r="B1" s="75" t="s">
        <v>235</v>
      </c>
      <c r="N1" s="104"/>
    </row>
    <row r="3" spans="2:14" ht="15.75" thickBot="1" x14ac:dyDescent="0.3">
      <c r="D3" s="99" t="str">
        <f>JESA_UploadTable(D4,D4:D40,db)</f>
        <v>Granulation/Name @16:45:54</v>
      </c>
      <c r="E3" s="99"/>
      <c r="F3" s="99" t="str">
        <f>JESA_UploadTable(F4,F4:F40,db)</f>
        <v>Granulation/Process @16:45:53</v>
      </c>
      <c r="G3" s="99"/>
      <c r="H3" s="99" t="str">
        <f>JESA_UploadTable(H4,H4:H40,db)</f>
        <v>Granulation/Product @16:45:54</v>
      </c>
      <c r="I3" s="99"/>
      <c r="J3" s="99" t="str">
        <f>JESA_UploadTable(J4,J4:J40,db)</f>
        <v>Granulation/CAPEX @16:45:55</v>
      </c>
      <c r="K3" s="99"/>
      <c r="L3" s="99" t="str">
        <f>JESA_UploadTable(L4,L4:L40,db)</f>
        <v>Granulation/Input @16:45:55</v>
      </c>
      <c r="N3" s="1" t="str">
        <f>JESA_UploadTable(N4,N4:N40,db)</f>
        <v>Granulation/Capacities[kt] @16:45:55</v>
      </c>
    </row>
    <row r="4" spans="2:14" ht="30" customHeight="1" thickBot="1" x14ac:dyDescent="0.3">
      <c r="D4" s="77" t="s">
        <v>236</v>
      </c>
      <c r="F4" s="77" t="s">
        <v>237</v>
      </c>
      <c r="H4" s="77" t="s">
        <v>238</v>
      </c>
      <c r="J4" s="77" t="s">
        <v>239</v>
      </c>
      <c r="L4" s="77" t="s">
        <v>240</v>
      </c>
      <c r="N4" s="103" t="s">
        <v>299</v>
      </c>
    </row>
    <row r="5" spans="2:14" x14ac:dyDescent="0.25">
      <c r="D5" s="29" t="s">
        <v>304</v>
      </c>
      <c r="F5" s="78" t="s">
        <v>375</v>
      </c>
      <c r="H5" s="78" t="s">
        <v>81</v>
      </c>
      <c r="J5" s="30" t="s">
        <v>22</v>
      </c>
      <c r="L5" s="78" t="s">
        <v>257</v>
      </c>
      <c r="N5" s="117">
        <f>850/0.64</f>
        <v>1328.125</v>
      </c>
    </row>
    <row r="6" spans="2:14" x14ac:dyDescent="0.25">
      <c r="D6" s="33" t="s">
        <v>305</v>
      </c>
      <c r="F6" s="79" t="s">
        <v>376</v>
      </c>
      <c r="H6" s="79" t="s">
        <v>82</v>
      </c>
      <c r="J6" s="136" t="s">
        <v>169</v>
      </c>
      <c r="L6" s="79" t="s">
        <v>138</v>
      </c>
      <c r="N6" s="118">
        <v>120</v>
      </c>
    </row>
    <row r="7" spans="2:14" x14ac:dyDescent="0.25">
      <c r="D7" s="33" t="s">
        <v>306</v>
      </c>
      <c r="F7" s="79" t="s">
        <v>377</v>
      </c>
      <c r="H7" s="79" t="s">
        <v>83</v>
      </c>
      <c r="J7" s="33" t="s">
        <v>166</v>
      </c>
      <c r="L7" s="79" t="s">
        <v>81</v>
      </c>
      <c r="N7" s="118">
        <v>150</v>
      </c>
    </row>
    <row r="8" spans="2:14" x14ac:dyDescent="0.25">
      <c r="D8" s="33" t="s">
        <v>307</v>
      </c>
      <c r="F8" s="79" t="s">
        <v>378</v>
      </c>
      <c r="H8" s="79" t="s">
        <v>242</v>
      </c>
      <c r="J8" s="79"/>
      <c r="L8" s="79" t="s">
        <v>82</v>
      </c>
      <c r="N8" s="118">
        <v>160</v>
      </c>
    </row>
    <row r="9" spans="2:14" x14ac:dyDescent="0.25">
      <c r="D9" s="33" t="s">
        <v>308</v>
      </c>
      <c r="F9" s="79"/>
      <c r="H9" s="79" t="s">
        <v>243</v>
      </c>
      <c r="J9" s="79"/>
      <c r="L9" s="135" t="s">
        <v>327</v>
      </c>
      <c r="N9" s="118">
        <v>175</v>
      </c>
    </row>
    <row r="10" spans="2:14" x14ac:dyDescent="0.25">
      <c r="D10" s="33" t="s">
        <v>309</v>
      </c>
      <c r="F10" s="79"/>
      <c r="H10" s="79" t="s">
        <v>84</v>
      </c>
      <c r="J10" s="79"/>
      <c r="L10" s="79" t="s">
        <v>328</v>
      </c>
      <c r="N10" s="118">
        <v>250</v>
      </c>
    </row>
    <row r="11" spans="2:14" x14ac:dyDescent="0.25">
      <c r="D11" s="33" t="s">
        <v>310</v>
      </c>
      <c r="F11" s="79"/>
      <c r="H11" s="79" t="s">
        <v>85</v>
      </c>
      <c r="J11" s="79"/>
      <c r="L11" s="79" t="s">
        <v>329</v>
      </c>
      <c r="N11" s="118">
        <v>500</v>
      </c>
    </row>
    <row r="12" spans="2:14" x14ac:dyDescent="0.25">
      <c r="D12" s="33" t="s">
        <v>311</v>
      </c>
      <c r="F12" s="79"/>
      <c r="H12" s="79" t="s">
        <v>244</v>
      </c>
      <c r="J12" s="79"/>
      <c r="L12" s="79" t="s">
        <v>330</v>
      </c>
      <c r="N12" s="118">
        <v>1000</v>
      </c>
    </row>
    <row r="13" spans="2:14" x14ac:dyDescent="0.25">
      <c r="D13" s="33" t="s">
        <v>312</v>
      </c>
      <c r="F13" s="79"/>
      <c r="H13" s="79" t="s">
        <v>359</v>
      </c>
      <c r="I13" s="1" t="s">
        <v>269</v>
      </c>
      <c r="J13" s="79"/>
      <c r="L13" s="79" t="s">
        <v>84</v>
      </c>
      <c r="N13" s="118">
        <v>310</v>
      </c>
    </row>
    <row r="14" spans="2:14" x14ac:dyDescent="0.25">
      <c r="D14" s="33" t="s">
        <v>313</v>
      </c>
      <c r="F14" s="79"/>
      <c r="H14" s="79" t="s">
        <v>360</v>
      </c>
      <c r="I14" s="1" t="s">
        <v>269</v>
      </c>
      <c r="J14" s="79"/>
      <c r="L14" s="79" t="s">
        <v>331</v>
      </c>
      <c r="N14" s="118"/>
    </row>
    <row r="15" spans="2:14" x14ac:dyDescent="0.25">
      <c r="D15" s="33" t="s">
        <v>314</v>
      </c>
      <c r="F15" s="79"/>
      <c r="H15" s="79" t="s">
        <v>374</v>
      </c>
      <c r="J15" s="79"/>
      <c r="L15" s="79" t="s">
        <v>332</v>
      </c>
      <c r="N15" s="118"/>
    </row>
    <row r="16" spans="2:14" x14ac:dyDescent="0.25">
      <c r="D16" s="33" t="s">
        <v>315</v>
      </c>
      <c r="F16" s="79"/>
      <c r="H16" s="79"/>
      <c r="J16" s="79"/>
      <c r="L16" s="79" t="s">
        <v>333</v>
      </c>
      <c r="N16" s="118"/>
    </row>
    <row r="17" spans="4:14" x14ac:dyDescent="0.25">
      <c r="D17" s="33" t="s">
        <v>316</v>
      </c>
      <c r="F17" s="79"/>
      <c r="H17" s="79"/>
      <c r="J17" s="79"/>
      <c r="L17" s="79" t="s">
        <v>334</v>
      </c>
      <c r="N17" s="118"/>
    </row>
    <row r="18" spans="4:14" x14ac:dyDescent="0.25">
      <c r="D18" s="33" t="s">
        <v>317</v>
      </c>
      <c r="F18" s="79"/>
      <c r="H18" s="79"/>
      <c r="J18" s="79"/>
      <c r="L18" s="79" t="s">
        <v>388</v>
      </c>
      <c r="N18" s="118"/>
    </row>
    <row r="19" spans="4:14" x14ac:dyDescent="0.25">
      <c r="D19" s="33" t="s">
        <v>318</v>
      </c>
      <c r="F19" s="79"/>
      <c r="H19" s="79"/>
      <c r="J19" s="79"/>
      <c r="L19" s="79"/>
      <c r="N19" s="118"/>
    </row>
    <row r="20" spans="4:14" x14ac:dyDescent="0.25">
      <c r="D20" s="33" t="s">
        <v>319</v>
      </c>
      <c r="F20" s="79"/>
      <c r="H20" s="79"/>
      <c r="J20" s="79"/>
      <c r="L20" s="79"/>
      <c r="N20" s="118"/>
    </row>
    <row r="21" spans="4:14" x14ac:dyDescent="0.25">
      <c r="D21" s="33" t="s">
        <v>320</v>
      </c>
      <c r="F21" s="79"/>
      <c r="H21" s="79"/>
      <c r="J21" s="79"/>
      <c r="L21" s="79"/>
      <c r="N21" s="118"/>
    </row>
    <row r="22" spans="4:14" x14ac:dyDescent="0.25">
      <c r="D22" s="33" t="s">
        <v>321</v>
      </c>
      <c r="F22" s="79"/>
      <c r="H22" s="79"/>
      <c r="J22" s="79"/>
      <c r="L22" s="79"/>
      <c r="N22" s="118"/>
    </row>
    <row r="23" spans="4:14" x14ac:dyDescent="0.25">
      <c r="D23" s="33" t="s">
        <v>322</v>
      </c>
      <c r="F23" s="79"/>
      <c r="H23" s="79"/>
      <c r="J23" s="79"/>
      <c r="L23" s="79"/>
      <c r="N23" s="118"/>
    </row>
    <row r="24" spans="4:14" x14ac:dyDescent="0.25">
      <c r="D24" s="33" t="s">
        <v>323</v>
      </c>
      <c r="F24" s="79"/>
      <c r="H24" s="79"/>
      <c r="J24" s="79"/>
      <c r="L24" s="79"/>
      <c r="N24" s="118"/>
    </row>
    <row r="25" spans="4:14" x14ac:dyDescent="0.25">
      <c r="D25" s="33" t="s">
        <v>324</v>
      </c>
      <c r="F25" s="79"/>
      <c r="H25" s="79"/>
      <c r="J25" s="79"/>
      <c r="L25" s="79"/>
      <c r="N25" s="118"/>
    </row>
    <row r="26" spans="4:14" x14ac:dyDescent="0.25">
      <c r="D26" s="33" t="s">
        <v>325</v>
      </c>
      <c r="F26" s="79"/>
      <c r="H26" s="79"/>
      <c r="J26" s="79"/>
      <c r="L26" s="79"/>
      <c r="N26" s="118"/>
    </row>
    <row r="27" spans="4:14" x14ac:dyDescent="0.25">
      <c r="D27" s="33" t="s">
        <v>326</v>
      </c>
      <c r="F27" s="79"/>
      <c r="H27" s="79"/>
      <c r="J27" s="79"/>
      <c r="L27" s="79"/>
      <c r="N27" s="118"/>
    </row>
    <row r="28" spans="4:14" x14ac:dyDescent="0.25">
      <c r="D28" s="79"/>
      <c r="F28" s="79"/>
      <c r="H28" s="79"/>
      <c r="J28" s="79"/>
      <c r="L28" s="79"/>
      <c r="N28" s="118"/>
    </row>
    <row r="29" spans="4:14" x14ac:dyDescent="0.25">
      <c r="D29" s="79"/>
      <c r="F29" s="79"/>
      <c r="H29" s="79"/>
      <c r="J29" s="79"/>
      <c r="L29" s="79"/>
      <c r="N29" s="118"/>
    </row>
    <row r="30" spans="4:14" x14ac:dyDescent="0.25">
      <c r="D30" s="79"/>
      <c r="F30" s="79"/>
      <c r="H30" s="79"/>
      <c r="J30" s="79"/>
      <c r="L30" s="79"/>
      <c r="N30" s="118"/>
    </row>
    <row r="31" spans="4:14" x14ac:dyDescent="0.25">
      <c r="D31" s="79"/>
      <c r="F31" s="79"/>
      <c r="H31" s="79"/>
      <c r="J31" s="79"/>
      <c r="L31" s="79"/>
      <c r="N31" s="118"/>
    </row>
    <row r="32" spans="4:14" x14ac:dyDescent="0.25">
      <c r="D32" s="79"/>
      <c r="F32" s="79"/>
      <c r="H32" s="79"/>
      <c r="J32" s="79"/>
      <c r="L32" s="79"/>
      <c r="N32" s="118"/>
    </row>
    <row r="33" spans="4:14" x14ac:dyDescent="0.25">
      <c r="D33" s="79"/>
      <c r="F33" s="79"/>
      <c r="H33" s="79"/>
      <c r="J33" s="79"/>
      <c r="L33" s="79"/>
      <c r="N33" s="118"/>
    </row>
    <row r="34" spans="4:14" x14ac:dyDescent="0.25">
      <c r="D34" s="79"/>
      <c r="F34" s="79"/>
      <c r="H34" s="79"/>
      <c r="J34" s="79"/>
      <c r="L34" s="79"/>
      <c r="N34" s="118"/>
    </row>
    <row r="35" spans="4:14" x14ac:dyDescent="0.25">
      <c r="D35" s="79"/>
      <c r="F35" s="79"/>
      <c r="H35" s="79"/>
      <c r="J35" s="79"/>
      <c r="L35" s="79"/>
      <c r="N35" s="118"/>
    </row>
    <row r="36" spans="4:14" x14ac:dyDescent="0.25">
      <c r="D36" s="79"/>
      <c r="F36" s="79"/>
      <c r="H36" s="79"/>
      <c r="J36" s="79"/>
      <c r="L36" s="79"/>
      <c r="N36" s="118"/>
    </row>
    <row r="37" spans="4:14" x14ac:dyDescent="0.25">
      <c r="D37" s="79"/>
      <c r="F37" s="79"/>
      <c r="H37" s="79"/>
      <c r="J37" s="79"/>
      <c r="L37" s="79"/>
      <c r="N37" s="118"/>
    </row>
    <row r="38" spans="4:14" x14ac:dyDescent="0.25">
      <c r="D38" s="79"/>
      <c r="F38" s="79"/>
      <c r="H38" s="79"/>
      <c r="J38" s="79"/>
      <c r="L38" s="79"/>
      <c r="N38" s="118"/>
    </row>
    <row r="39" spans="4:14" x14ac:dyDescent="0.25">
      <c r="D39" s="79"/>
      <c r="F39" s="79"/>
      <c r="H39" s="79"/>
      <c r="J39" s="79"/>
      <c r="L39" s="79"/>
      <c r="N39" s="118"/>
    </row>
    <row r="40" spans="4:14" ht="15.75" thickBot="1" x14ac:dyDescent="0.3">
      <c r="D40" s="80"/>
      <c r="F40" s="80"/>
      <c r="H40" s="80"/>
      <c r="J40" s="80"/>
      <c r="L40" s="80"/>
      <c r="N40" s="119"/>
    </row>
    <row r="41" spans="4:14" x14ac:dyDescent="0.25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1"/>
  <sheetViews>
    <sheetView zoomScaleNormal="100" zoomScaleSheetLayoutView="100" workbookViewId="0">
      <selection activeCell="G5" sqref="G5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8" width="23.42578125" style="5" bestFit="1" customWidth="1"/>
    <col min="9" max="9" width="27" style="5" bestFit="1" customWidth="1"/>
    <col min="10" max="14" width="15.85546875" style="5" customWidth="1"/>
    <col min="15" max="15" width="59.42578125" style="5" bestFit="1" customWidth="1"/>
    <col min="16" max="16384" width="11.5703125" style="5"/>
  </cols>
  <sheetData>
    <row r="1" spans="2:15" s="76" customFormat="1" ht="24.95" customHeight="1" x14ac:dyDescent="0.25">
      <c r="B1" s="75" t="s">
        <v>245</v>
      </c>
      <c r="K1" s="114"/>
    </row>
    <row r="3" spans="2:15" ht="15.75" thickBot="1" x14ac:dyDescent="0.3">
      <c r="D3" s="38" t="str">
        <f>JESA_UploadTable(B1,D4:O14,db)</f>
        <v>Granulation options @16:45:55</v>
      </c>
    </row>
    <row r="4" spans="2:15" ht="30" customHeight="1" thickBot="1" x14ac:dyDescent="0.3">
      <c r="D4" s="81" t="s">
        <v>8</v>
      </c>
      <c r="E4" s="81" t="s">
        <v>30</v>
      </c>
      <c r="F4" s="82" t="s">
        <v>345</v>
      </c>
      <c r="G4" s="82" t="s">
        <v>160</v>
      </c>
      <c r="H4" s="82" t="s">
        <v>140</v>
      </c>
      <c r="I4" s="82" t="s">
        <v>25</v>
      </c>
      <c r="J4" s="77" t="s">
        <v>266</v>
      </c>
      <c r="K4" s="113" t="s">
        <v>17</v>
      </c>
      <c r="L4" s="77" t="s">
        <v>70</v>
      </c>
      <c r="M4" s="77" t="s">
        <v>144</v>
      </c>
      <c r="N4" s="77" t="s">
        <v>148</v>
      </c>
      <c r="O4" s="81" t="s">
        <v>149</v>
      </c>
    </row>
    <row r="5" spans="2:15" ht="15.75" thickBot="1" x14ac:dyDescent="0.3">
      <c r="D5" s="9" t="s">
        <v>26</v>
      </c>
      <c r="E5" s="9" t="s">
        <v>312</v>
      </c>
      <c r="F5" s="9" t="s">
        <v>346</v>
      </c>
      <c r="G5" s="9" t="s">
        <v>344</v>
      </c>
      <c r="H5" s="115" t="s">
        <v>84</v>
      </c>
      <c r="I5" s="9" t="s">
        <v>375</v>
      </c>
      <c r="J5" s="15">
        <v>1328.125</v>
      </c>
      <c r="K5" s="11" t="s">
        <v>335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.75" thickBot="1" x14ac:dyDescent="0.3">
      <c r="D6" s="9" t="s">
        <v>26</v>
      </c>
      <c r="E6" s="9" t="s">
        <v>315</v>
      </c>
      <c r="F6" s="9" t="s">
        <v>346</v>
      </c>
      <c r="G6" s="9" t="s">
        <v>344</v>
      </c>
      <c r="H6" s="115" t="s">
        <v>374</v>
      </c>
      <c r="I6" s="9" t="s">
        <v>375</v>
      </c>
      <c r="J6" s="15">
        <v>310</v>
      </c>
      <c r="K6" s="11" t="s">
        <v>335</v>
      </c>
      <c r="L6" s="11" t="s">
        <v>36</v>
      </c>
      <c r="M6" s="15">
        <v>1980</v>
      </c>
      <c r="N6" s="15">
        <v>2100</v>
      </c>
      <c r="O6" s="8" t="str">
        <f t="shared" ref="O6:O31" si="0">IF(D6="","","/Granulation/"&amp;CONCATENATE(D6,"/",E6,"/",I6,"/",J6,"/",L6,"/",M6,"/",N6))</f>
        <v>/Granulation/Safi/MCP1/ChemicalGranulation/310/Existing/1980/2100</v>
      </c>
    </row>
    <row r="7" spans="2:15" ht="15.75" thickBot="1" x14ac:dyDescent="0.3">
      <c r="D7" s="9" t="s">
        <v>26</v>
      </c>
      <c r="E7" s="9">
        <v>8</v>
      </c>
      <c r="F7" s="9" t="s">
        <v>346</v>
      </c>
      <c r="G7" s="9" t="s">
        <v>347</v>
      </c>
      <c r="H7" s="115" t="s">
        <v>359</v>
      </c>
      <c r="I7" s="9" t="s">
        <v>375</v>
      </c>
      <c r="J7" s="15">
        <v>1000</v>
      </c>
      <c r="K7" s="11" t="s">
        <v>335</v>
      </c>
      <c r="L7" s="11" t="s">
        <v>146</v>
      </c>
      <c r="M7" s="15">
        <v>2022</v>
      </c>
      <c r="N7" s="15">
        <v>2100</v>
      </c>
      <c r="O7" s="8" t="str">
        <f t="shared" si="0"/>
        <v>/Granulation/Safi/8/ChemicalGranulation/1000/New/2022/2100</v>
      </c>
    </row>
    <row r="8" spans="2:15" ht="15.75" thickBot="1" x14ac:dyDescent="0.3">
      <c r="D8" s="9" t="s">
        <v>26</v>
      </c>
      <c r="E8" s="9">
        <v>3</v>
      </c>
      <c r="F8" s="9" t="s">
        <v>346</v>
      </c>
      <c r="G8" s="9" t="s">
        <v>347</v>
      </c>
      <c r="H8" s="115" t="s">
        <v>359</v>
      </c>
      <c r="I8" s="9" t="s">
        <v>375</v>
      </c>
      <c r="J8" s="15">
        <v>500</v>
      </c>
      <c r="K8" s="11" t="s">
        <v>335</v>
      </c>
      <c r="L8" s="11" t="s">
        <v>146</v>
      </c>
      <c r="M8" s="15">
        <v>2022</v>
      </c>
      <c r="N8" s="15">
        <v>2100</v>
      </c>
      <c r="O8" s="8" t="str">
        <f t="shared" si="0"/>
        <v>/Granulation/Safi/3/ChemicalGranulation/500/New/2022/2100</v>
      </c>
    </row>
    <row r="9" spans="2:15" ht="15.75" thickBot="1" x14ac:dyDescent="0.3">
      <c r="D9" s="9" t="s">
        <v>26</v>
      </c>
      <c r="E9" s="9">
        <v>1</v>
      </c>
      <c r="F9" s="9" t="s">
        <v>346</v>
      </c>
      <c r="G9" s="9" t="s">
        <v>344</v>
      </c>
      <c r="H9" s="115" t="s">
        <v>374</v>
      </c>
      <c r="I9" s="9" t="s">
        <v>375</v>
      </c>
      <c r="J9" s="15">
        <v>175</v>
      </c>
      <c r="K9" s="11" t="s">
        <v>335</v>
      </c>
      <c r="L9" s="11" t="s">
        <v>146</v>
      </c>
      <c r="M9" s="15">
        <v>2022</v>
      </c>
      <c r="N9" s="15">
        <v>2100</v>
      </c>
      <c r="O9" s="8" t="str">
        <f t="shared" si="0"/>
        <v>/Granulation/Safi/1/ChemicalGranulation/175/New/2022/2100</v>
      </c>
    </row>
    <row r="10" spans="2:15" ht="15.75" thickBot="1" x14ac:dyDescent="0.3">
      <c r="D10" s="9"/>
      <c r="E10" s="9"/>
      <c r="F10" s="9"/>
      <c r="G10" s="9"/>
      <c r="H10" s="115"/>
      <c r="I10" s="9"/>
      <c r="J10" s="15"/>
      <c r="K10" s="11"/>
      <c r="L10" s="11"/>
      <c r="M10" s="15"/>
      <c r="N10" s="15"/>
      <c r="O10" s="8" t="str">
        <f t="shared" si="0"/>
        <v/>
      </c>
    </row>
    <row r="11" spans="2:15" ht="15.75" thickBot="1" x14ac:dyDescent="0.3">
      <c r="D11" s="9"/>
      <c r="E11" s="9"/>
      <c r="F11" s="9"/>
      <c r="G11" s="9"/>
      <c r="H11" s="115"/>
      <c r="I11" s="9"/>
      <c r="J11" s="15"/>
      <c r="K11" s="11"/>
      <c r="L11" s="11"/>
      <c r="M11" s="15"/>
      <c r="N11" s="15"/>
      <c r="O11" s="8" t="str">
        <f t="shared" si="0"/>
        <v/>
      </c>
    </row>
    <row r="12" spans="2:15" ht="15.75" thickBot="1" x14ac:dyDescent="0.3">
      <c r="D12" s="9"/>
      <c r="E12" s="9"/>
      <c r="F12" s="9"/>
      <c r="G12" s="9"/>
      <c r="H12" s="115"/>
      <c r="I12" s="9"/>
      <c r="J12" s="15"/>
      <c r="K12" s="11"/>
      <c r="L12" s="11"/>
      <c r="M12" s="15"/>
      <c r="N12" s="15"/>
      <c r="O12" s="8" t="str">
        <f t="shared" si="0"/>
        <v/>
      </c>
    </row>
    <row r="13" spans="2:15" ht="15.75" thickBot="1" x14ac:dyDescent="0.3">
      <c r="D13" s="9"/>
      <c r="E13" s="9"/>
      <c r="F13" s="9"/>
      <c r="G13" s="9"/>
      <c r="H13" s="115"/>
      <c r="I13" s="9"/>
      <c r="J13" s="15"/>
      <c r="K13" s="11"/>
      <c r="L13" s="11"/>
      <c r="M13" s="15"/>
      <c r="N13" s="15"/>
      <c r="O13" s="8" t="str">
        <f t="shared" si="0"/>
        <v/>
      </c>
    </row>
    <row r="14" spans="2:15" ht="15.75" thickBot="1" x14ac:dyDescent="0.3">
      <c r="D14" s="9"/>
      <c r="E14" s="9"/>
      <c r="F14" s="9"/>
      <c r="G14" s="9"/>
      <c r="H14" s="115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.75" thickBot="1" x14ac:dyDescent="0.3">
      <c r="D15" s="9"/>
      <c r="E15" s="9"/>
      <c r="F15" s="9"/>
      <c r="G15" s="9"/>
      <c r="H15" s="115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.75" thickBot="1" x14ac:dyDescent="0.3">
      <c r="D16" s="9"/>
      <c r="E16" s="9"/>
      <c r="F16" s="9"/>
      <c r="G16" s="9"/>
      <c r="H16" s="115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.75" thickBot="1" x14ac:dyDescent="0.3">
      <c r="D17" s="9"/>
      <c r="E17" s="9"/>
      <c r="F17" s="9"/>
      <c r="G17" s="9"/>
      <c r="H17" s="115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.75" thickBot="1" x14ac:dyDescent="0.3">
      <c r="D18" s="9"/>
      <c r="E18" s="9"/>
      <c r="F18" s="9"/>
      <c r="G18" s="9"/>
      <c r="H18" s="115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.75" thickBot="1" x14ac:dyDescent="0.3">
      <c r="D19" s="9"/>
      <c r="E19" s="9"/>
      <c r="F19" s="9"/>
      <c r="G19" s="9"/>
      <c r="H19" s="115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.75" thickBot="1" x14ac:dyDescent="0.3">
      <c r="D20" s="9"/>
      <c r="E20" s="9"/>
      <c r="F20" s="9"/>
      <c r="G20" s="9"/>
      <c r="H20" s="115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.75" thickBot="1" x14ac:dyDescent="0.3">
      <c r="D21" s="9"/>
      <c r="E21" s="9"/>
      <c r="F21" s="9"/>
      <c r="G21" s="9"/>
      <c r="H21" s="115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.75" thickBot="1" x14ac:dyDescent="0.3">
      <c r="D22" s="9"/>
      <c r="E22" s="9"/>
      <c r="F22" s="9"/>
      <c r="G22" s="9"/>
      <c r="H22" s="115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.75" thickBot="1" x14ac:dyDescent="0.3">
      <c r="D23" s="9"/>
      <c r="E23" s="9"/>
      <c r="F23" s="9"/>
      <c r="G23" s="9"/>
      <c r="H23" s="115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.75" thickBot="1" x14ac:dyDescent="0.3">
      <c r="D24" s="9"/>
      <c r="E24" s="9"/>
      <c r="F24" s="9"/>
      <c r="G24" s="9"/>
      <c r="H24" s="115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.75" thickBot="1" x14ac:dyDescent="0.3">
      <c r="D25" s="9"/>
      <c r="E25" s="9"/>
      <c r="F25" s="9"/>
      <c r="G25" s="9"/>
      <c r="H25" s="115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.75" thickBot="1" x14ac:dyDescent="0.3">
      <c r="D26" s="9"/>
      <c r="E26" s="9"/>
      <c r="F26" s="9"/>
      <c r="G26" s="9"/>
      <c r="H26" s="115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.75" thickBot="1" x14ac:dyDescent="0.3">
      <c r="D27" s="9"/>
      <c r="E27" s="9"/>
      <c r="F27" s="9"/>
      <c r="G27" s="9"/>
      <c r="H27" s="115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.75" thickBot="1" x14ac:dyDescent="0.3">
      <c r="D28" s="9"/>
      <c r="E28" s="9"/>
      <c r="F28" s="9"/>
      <c r="G28" s="9"/>
      <c r="H28" s="115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.75" thickBot="1" x14ac:dyDescent="0.3">
      <c r="D29" s="9"/>
      <c r="E29" s="9"/>
      <c r="F29" s="9"/>
      <c r="G29" s="9"/>
      <c r="H29" s="115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.75" thickBot="1" x14ac:dyDescent="0.3">
      <c r="D30" s="10"/>
      <c r="E30" s="10"/>
      <c r="F30" s="10"/>
      <c r="G30" s="10"/>
      <c r="H30" s="116"/>
      <c r="I30" s="10"/>
      <c r="J30" s="16"/>
      <c r="K30" s="12"/>
      <c r="L30" s="12"/>
      <c r="M30" s="16"/>
      <c r="N30" s="16"/>
      <c r="O30" s="8" t="str">
        <f t="shared" si="0"/>
        <v/>
      </c>
    </row>
    <row r="31" spans="4:15" x14ac:dyDescent="0.25">
      <c r="D31" s="5" t="e">
        <v>#N/A</v>
      </c>
      <c r="E31" s="5" t="e">
        <v>#N/A</v>
      </c>
      <c r="I31" s="5" t="e">
        <v>#N/A</v>
      </c>
      <c r="J31" s="5" t="e">
        <v>#N/A</v>
      </c>
      <c r="M31" s="5" t="e">
        <v>#N/A</v>
      </c>
      <c r="N31" s="5" t="e">
        <v>#N/A</v>
      </c>
      <c r="O31" s="8" t="e">
        <f t="shared" si="0"/>
        <v>#N/A</v>
      </c>
    </row>
  </sheetData>
  <dataValidations count="8">
    <dataValidation type="list" allowBlank="1" showInputMessage="1" showErrorMessage="1" sqref="L5:L30">
      <formula1>"Existing,New"</formula1>
    </dataValidation>
    <dataValidation type="list" allowBlank="1" showInputMessage="1" showErrorMessage="1" sqref="D5:D30">
      <formula1>Location</formula1>
    </dataValidation>
    <dataValidation type="list" allowBlank="1" showInputMessage="1" showErrorMessage="1" sqref="I5:I30">
      <formula1>GranulProcess</formula1>
    </dataValidation>
    <dataValidation type="list" allowBlank="1" showInputMessage="1" showErrorMessage="1" sqref="J5:J30">
      <formula1>GranulCapacities</formula1>
    </dataValidation>
    <dataValidation type="list" allowBlank="1" showInputMessage="1" showErrorMessage="1" sqref="K5:K50">
      <formula1>Unit</formula1>
    </dataValidation>
    <dataValidation type="list" allowBlank="1" showInputMessage="1" showErrorMessage="1" sqref="G5:G30">
      <formula1>"Monoproduit,Multiproduits"</formula1>
    </dataValidation>
    <dataValidation type="list" allowBlank="1" showInputMessage="1" showErrorMessage="1" sqref="H5:H30">
      <formula1>GranulProducts</formula1>
    </dataValidation>
    <dataValidation type="list" allowBlank="1" showInputMessage="1" showErrorMessage="1" sqref="F5:F30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Normal="100" workbookViewId="0">
      <selection activeCell="H5" sqref="H5:R12"/>
    </sheetView>
  </sheetViews>
  <sheetFormatPr baseColWidth="10" defaultColWidth="11.5703125" defaultRowHeight="15" outlineLevelCol="1" x14ac:dyDescent="0.25"/>
  <cols>
    <col min="1" max="3" width="3.85546875" style="5" customWidth="1"/>
    <col min="4" max="4" width="25.85546875" style="5" customWidth="1"/>
    <col min="5" max="7" width="15.85546875" style="5" customWidth="1"/>
    <col min="8" max="8" width="8.85546875" style="5" customWidth="1"/>
    <col min="9" max="18" width="8.85546875" style="5" customWidth="1" outlineLevel="1"/>
    <col min="19" max="16384" width="11.5703125" style="5"/>
  </cols>
  <sheetData>
    <row r="1" spans="2:18" s="76" customFormat="1" ht="24.95" customHeight="1" x14ac:dyDescent="0.25">
      <c r="B1" s="75" t="s">
        <v>246</v>
      </c>
    </row>
    <row r="3" spans="2:18" ht="15.75" thickBot="1" x14ac:dyDescent="0.3">
      <c r="D3" s="38" t="str">
        <f>JESA_UploadTable(B1,D4:R14,db)</f>
        <v>Granulation production @16:45:56</v>
      </c>
    </row>
    <row r="4" spans="2:18" ht="30" customHeight="1" thickBot="1" x14ac:dyDescent="0.3">
      <c r="D4" s="81" t="s">
        <v>25</v>
      </c>
      <c r="E4" s="81" t="s">
        <v>230</v>
      </c>
      <c r="F4" s="81" t="s">
        <v>24</v>
      </c>
      <c r="G4" s="77" t="s">
        <v>17</v>
      </c>
      <c r="H4" s="83" t="s">
        <v>37</v>
      </c>
      <c r="I4" s="83" t="s">
        <v>38</v>
      </c>
      <c r="J4" s="83" t="s">
        <v>39</v>
      </c>
      <c r="K4" s="83" t="s">
        <v>40</v>
      </c>
      <c r="L4" s="83" t="s">
        <v>41</v>
      </c>
      <c r="M4" s="83" t="s">
        <v>42</v>
      </c>
      <c r="N4" s="83" t="s">
        <v>43</v>
      </c>
      <c r="O4" s="83" t="s">
        <v>44</v>
      </c>
      <c r="P4" s="83" t="s">
        <v>45</v>
      </c>
      <c r="Q4" s="83" t="s">
        <v>46</v>
      </c>
      <c r="R4" s="83" t="s">
        <v>47</v>
      </c>
    </row>
    <row r="5" spans="2:18" ht="15.75" thickBot="1" x14ac:dyDescent="0.3">
      <c r="D5" s="8" t="s">
        <v>375</v>
      </c>
      <c r="E5" s="8" t="s">
        <v>388</v>
      </c>
      <c r="F5" s="8" t="s">
        <v>81</v>
      </c>
      <c r="G5" s="8" t="s">
        <v>57</v>
      </c>
      <c r="H5" s="150">
        <v>1</v>
      </c>
      <c r="I5" s="150">
        <f t="shared" ref="I5:R12" si="0">IF(H5="","",H5)</f>
        <v>1</v>
      </c>
      <c r="J5" s="150">
        <f t="shared" si="0"/>
        <v>1</v>
      </c>
      <c r="K5" s="150">
        <f t="shared" si="0"/>
        <v>1</v>
      </c>
      <c r="L5" s="150">
        <f t="shared" si="0"/>
        <v>1</v>
      </c>
      <c r="M5" s="150">
        <f t="shared" si="0"/>
        <v>1</v>
      </c>
      <c r="N5" s="150">
        <f t="shared" si="0"/>
        <v>1</v>
      </c>
      <c r="O5" s="150">
        <f t="shared" si="0"/>
        <v>1</v>
      </c>
      <c r="P5" s="150">
        <f t="shared" si="0"/>
        <v>1</v>
      </c>
      <c r="Q5" s="150">
        <f t="shared" si="0"/>
        <v>1</v>
      </c>
      <c r="R5" s="150">
        <f t="shared" si="0"/>
        <v>1</v>
      </c>
    </row>
    <row r="6" spans="2:18" ht="15.75" thickBot="1" x14ac:dyDescent="0.3">
      <c r="D6" s="9" t="s">
        <v>375</v>
      </c>
      <c r="E6" s="8" t="s">
        <v>388</v>
      </c>
      <c r="F6" s="9" t="s">
        <v>82</v>
      </c>
      <c r="G6" s="9" t="s">
        <v>57</v>
      </c>
      <c r="H6" s="149">
        <v>1</v>
      </c>
      <c r="I6" s="149">
        <f t="shared" si="0"/>
        <v>1</v>
      </c>
      <c r="J6" s="149">
        <f t="shared" si="0"/>
        <v>1</v>
      </c>
      <c r="K6" s="149">
        <f t="shared" si="0"/>
        <v>1</v>
      </c>
      <c r="L6" s="149">
        <f t="shared" si="0"/>
        <v>1</v>
      </c>
      <c r="M6" s="149">
        <f t="shared" si="0"/>
        <v>1</v>
      </c>
      <c r="N6" s="149">
        <f t="shared" si="0"/>
        <v>1</v>
      </c>
      <c r="O6" s="149">
        <f t="shared" si="0"/>
        <v>1</v>
      </c>
      <c r="P6" s="149">
        <f t="shared" si="0"/>
        <v>1</v>
      </c>
      <c r="Q6" s="149">
        <f t="shared" si="0"/>
        <v>1</v>
      </c>
      <c r="R6" s="149">
        <f t="shared" si="0"/>
        <v>1</v>
      </c>
    </row>
    <row r="7" spans="2:18" ht="15.75" thickBot="1" x14ac:dyDescent="0.3">
      <c r="D7" s="9" t="s">
        <v>375</v>
      </c>
      <c r="E7" s="8" t="s">
        <v>388</v>
      </c>
      <c r="F7" s="9" t="s">
        <v>83</v>
      </c>
      <c r="G7" s="9" t="s">
        <v>57</v>
      </c>
      <c r="H7" s="149">
        <v>0.8</v>
      </c>
      <c r="I7" s="149">
        <f t="shared" si="0"/>
        <v>0.8</v>
      </c>
      <c r="J7" s="149">
        <f t="shared" si="0"/>
        <v>0.8</v>
      </c>
      <c r="K7" s="149">
        <f t="shared" si="0"/>
        <v>0.8</v>
      </c>
      <c r="L7" s="149">
        <f t="shared" si="0"/>
        <v>0.8</v>
      </c>
      <c r="M7" s="149">
        <f t="shared" si="0"/>
        <v>0.8</v>
      </c>
      <c r="N7" s="149">
        <f t="shared" si="0"/>
        <v>0.8</v>
      </c>
      <c r="O7" s="149">
        <f t="shared" si="0"/>
        <v>0.8</v>
      </c>
      <c r="P7" s="149">
        <f t="shared" si="0"/>
        <v>0.8</v>
      </c>
      <c r="Q7" s="149">
        <f t="shared" si="0"/>
        <v>0.8</v>
      </c>
      <c r="R7" s="149">
        <f t="shared" si="0"/>
        <v>0.8</v>
      </c>
    </row>
    <row r="8" spans="2:18" ht="15.75" thickBot="1" x14ac:dyDescent="0.3">
      <c r="D8" s="9" t="s">
        <v>375</v>
      </c>
      <c r="E8" s="8" t="s">
        <v>388</v>
      </c>
      <c r="F8" s="9" t="s">
        <v>242</v>
      </c>
      <c r="G8" s="9" t="s">
        <v>57</v>
      </c>
      <c r="H8" s="149">
        <v>1</v>
      </c>
      <c r="I8" s="149">
        <f t="shared" si="0"/>
        <v>1</v>
      </c>
      <c r="J8" s="149">
        <f t="shared" si="0"/>
        <v>1</v>
      </c>
      <c r="K8" s="149">
        <f t="shared" si="0"/>
        <v>1</v>
      </c>
      <c r="L8" s="149">
        <f t="shared" si="0"/>
        <v>1</v>
      </c>
      <c r="M8" s="149">
        <f t="shared" si="0"/>
        <v>1</v>
      </c>
      <c r="N8" s="149">
        <f t="shared" si="0"/>
        <v>1</v>
      </c>
      <c r="O8" s="149">
        <f t="shared" si="0"/>
        <v>1</v>
      </c>
      <c r="P8" s="149">
        <f t="shared" si="0"/>
        <v>1</v>
      </c>
      <c r="Q8" s="149">
        <f t="shared" si="0"/>
        <v>1</v>
      </c>
      <c r="R8" s="149">
        <f t="shared" si="0"/>
        <v>1</v>
      </c>
    </row>
    <row r="9" spans="2:18" ht="15.75" thickBot="1" x14ac:dyDescent="0.3">
      <c r="D9" s="9" t="s">
        <v>375</v>
      </c>
      <c r="E9" s="8" t="s">
        <v>388</v>
      </c>
      <c r="F9" s="9" t="s">
        <v>243</v>
      </c>
      <c r="G9" s="9" t="s">
        <v>57</v>
      </c>
      <c r="H9" s="149">
        <v>1</v>
      </c>
      <c r="I9" s="149">
        <f t="shared" si="0"/>
        <v>1</v>
      </c>
      <c r="J9" s="149">
        <f t="shared" si="0"/>
        <v>1</v>
      </c>
      <c r="K9" s="149">
        <f t="shared" si="0"/>
        <v>1</v>
      </c>
      <c r="L9" s="149">
        <f t="shared" si="0"/>
        <v>1</v>
      </c>
      <c r="M9" s="149">
        <f t="shared" si="0"/>
        <v>1</v>
      </c>
      <c r="N9" s="149">
        <f t="shared" si="0"/>
        <v>1</v>
      </c>
      <c r="O9" s="149">
        <f t="shared" si="0"/>
        <v>1</v>
      </c>
      <c r="P9" s="149">
        <f t="shared" si="0"/>
        <v>1</v>
      </c>
      <c r="Q9" s="149">
        <f t="shared" si="0"/>
        <v>1</v>
      </c>
      <c r="R9" s="149">
        <f t="shared" si="0"/>
        <v>1</v>
      </c>
    </row>
    <row r="10" spans="2:18" ht="15.75" thickBot="1" x14ac:dyDescent="0.3">
      <c r="D10" s="9" t="s">
        <v>375</v>
      </c>
      <c r="E10" s="8" t="s">
        <v>388</v>
      </c>
      <c r="F10" s="9" t="s">
        <v>84</v>
      </c>
      <c r="G10" s="9" t="s">
        <v>57</v>
      </c>
      <c r="H10" s="149">
        <v>0.64</v>
      </c>
      <c r="I10" s="149">
        <f t="shared" si="0"/>
        <v>0.64</v>
      </c>
      <c r="J10" s="149">
        <f t="shared" si="0"/>
        <v>0.64</v>
      </c>
      <c r="K10" s="149">
        <f t="shared" si="0"/>
        <v>0.64</v>
      </c>
      <c r="L10" s="149">
        <f t="shared" si="0"/>
        <v>0.64</v>
      </c>
      <c r="M10" s="149">
        <f t="shared" si="0"/>
        <v>0.64</v>
      </c>
      <c r="N10" s="149">
        <f t="shared" si="0"/>
        <v>0.64</v>
      </c>
      <c r="O10" s="149">
        <f t="shared" si="0"/>
        <v>0.64</v>
      </c>
      <c r="P10" s="149">
        <f t="shared" si="0"/>
        <v>0.64</v>
      </c>
      <c r="Q10" s="149">
        <f t="shared" si="0"/>
        <v>0.64</v>
      </c>
      <c r="R10" s="149">
        <f t="shared" si="0"/>
        <v>0.64</v>
      </c>
    </row>
    <row r="11" spans="2:18" ht="15.75" thickBot="1" x14ac:dyDescent="0.3">
      <c r="D11" s="9" t="s">
        <v>375</v>
      </c>
      <c r="E11" s="8" t="s">
        <v>388</v>
      </c>
      <c r="F11" s="9" t="s">
        <v>85</v>
      </c>
      <c r="G11" s="9" t="s">
        <v>57</v>
      </c>
      <c r="H11" s="149">
        <v>1</v>
      </c>
      <c r="I11" s="149">
        <f t="shared" si="0"/>
        <v>1</v>
      </c>
      <c r="J11" s="149">
        <f t="shared" si="0"/>
        <v>1</v>
      </c>
      <c r="K11" s="149">
        <f t="shared" si="0"/>
        <v>1</v>
      </c>
      <c r="L11" s="149">
        <f t="shared" si="0"/>
        <v>1</v>
      </c>
      <c r="M11" s="149">
        <f t="shared" si="0"/>
        <v>1</v>
      </c>
      <c r="N11" s="149">
        <f t="shared" si="0"/>
        <v>1</v>
      </c>
      <c r="O11" s="149">
        <f t="shared" si="0"/>
        <v>1</v>
      </c>
      <c r="P11" s="149">
        <f t="shared" si="0"/>
        <v>1</v>
      </c>
      <c r="Q11" s="149">
        <f t="shared" si="0"/>
        <v>1</v>
      </c>
      <c r="R11" s="149">
        <f t="shared" si="0"/>
        <v>1</v>
      </c>
    </row>
    <row r="12" spans="2:18" x14ac:dyDescent="0.25">
      <c r="D12" s="9" t="s">
        <v>375</v>
      </c>
      <c r="E12" s="8" t="s">
        <v>388</v>
      </c>
      <c r="F12" s="9" t="s">
        <v>244</v>
      </c>
      <c r="G12" s="9" t="s">
        <v>57</v>
      </c>
      <c r="H12" s="149">
        <v>1</v>
      </c>
      <c r="I12" s="149">
        <f t="shared" si="0"/>
        <v>1</v>
      </c>
      <c r="J12" s="149">
        <f t="shared" si="0"/>
        <v>1</v>
      </c>
      <c r="K12" s="149">
        <f t="shared" si="0"/>
        <v>1</v>
      </c>
      <c r="L12" s="149">
        <f t="shared" si="0"/>
        <v>1</v>
      </c>
      <c r="M12" s="149">
        <f t="shared" si="0"/>
        <v>1</v>
      </c>
      <c r="N12" s="149">
        <f t="shared" si="0"/>
        <v>1</v>
      </c>
      <c r="O12" s="149">
        <f t="shared" si="0"/>
        <v>1</v>
      </c>
      <c r="P12" s="149">
        <f t="shared" si="0"/>
        <v>1</v>
      </c>
      <c r="Q12" s="149">
        <f t="shared" si="0"/>
        <v>1</v>
      </c>
      <c r="R12" s="149">
        <f t="shared" si="0"/>
        <v>1</v>
      </c>
    </row>
    <row r="13" spans="2:18" x14ac:dyDescent="0.25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25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25">
      <c r="D15" s="9"/>
      <c r="E15" s="9"/>
      <c r="F15" s="9"/>
      <c r="G15" s="9"/>
      <c r="H15" s="18"/>
      <c r="I15" s="18" t="str">
        <f t="shared" ref="I15:R20" si="1">IF(H15="","",H15)</f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  <c r="R15" s="18" t="str">
        <f t="shared" si="1"/>
        <v/>
      </c>
    </row>
    <row r="16" spans="2:18" x14ac:dyDescent="0.25">
      <c r="D16" s="9"/>
      <c r="E16" s="9"/>
      <c r="F16" s="9"/>
      <c r="G16" s="9"/>
      <c r="H16" s="18"/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  <c r="R16" s="18" t="str">
        <f t="shared" si="1"/>
        <v/>
      </c>
    </row>
    <row r="17" spans="4:18" x14ac:dyDescent="0.25">
      <c r="D17" s="9"/>
      <c r="E17" s="9"/>
      <c r="F17" s="9"/>
      <c r="G17" s="9"/>
      <c r="H17" s="18"/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  <c r="R17" s="18" t="str">
        <f t="shared" si="1"/>
        <v/>
      </c>
    </row>
    <row r="18" spans="4:18" x14ac:dyDescent="0.25">
      <c r="D18" s="9"/>
      <c r="E18" s="9"/>
      <c r="F18" s="9"/>
      <c r="G18" s="9"/>
      <c r="H18" s="18"/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  <c r="R18" s="18" t="str">
        <f t="shared" si="1"/>
        <v/>
      </c>
    </row>
    <row r="19" spans="4:18" x14ac:dyDescent="0.25">
      <c r="D19" s="9"/>
      <c r="E19" s="9"/>
      <c r="F19" s="9"/>
      <c r="G19" s="9"/>
      <c r="H19" s="18"/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</row>
    <row r="20" spans="4:18" x14ac:dyDescent="0.25">
      <c r="D20" s="9"/>
      <c r="E20" s="9"/>
      <c r="F20" s="9"/>
      <c r="G20" s="9"/>
      <c r="H20" s="18"/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  <c r="R20" s="18" t="str">
        <f t="shared" si="1"/>
        <v/>
      </c>
    </row>
    <row r="21" spans="4:18" x14ac:dyDescent="0.25">
      <c r="D21" s="9"/>
      <c r="E21" s="9"/>
      <c r="F21" s="9"/>
      <c r="G21" s="9"/>
      <c r="H21" s="18"/>
      <c r="I21" s="18" t="str">
        <f t="shared" ref="I21:R36" si="2">IF(H21="","",H21)</f>
        <v/>
      </c>
      <c r="J21" s="18" t="str">
        <f t="shared" si="2"/>
        <v/>
      </c>
      <c r="K21" s="18" t="str">
        <f t="shared" si="2"/>
        <v/>
      </c>
      <c r="L21" s="18" t="str">
        <f t="shared" si="2"/>
        <v/>
      </c>
      <c r="M21" s="18" t="str">
        <f t="shared" si="2"/>
        <v/>
      </c>
      <c r="N21" s="18" t="str">
        <f t="shared" si="2"/>
        <v/>
      </c>
      <c r="O21" s="18" t="str">
        <f t="shared" si="2"/>
        <v/>
      </c>
      <c r="P21" s="18" t="str">
        <f t="shared" si="2"/>
        <v/>
      </c>
      <c r="Q21" s="18" t="str">
        <f t="shared" si="2"/>
        <v/>
      </c>
      <c r="R21" s="18" t="str">
        <f t="shared" si="2"/>
        <v/>
      </c>
    </row>
    <row r="22" spans="4:18" x14ac:dyDescent="0.25">
      <c r="D22" s="9"/>
      <c r="E22" s="9"/>
      <c r="F22" s="9"/>
      <c r="G22" s="9"/>
      <c r="H22" s="18"/>
      <c r="I22" s="18" t="str">
        <f t="shared" si="2"/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  <c r="R22" s="18" t="str">
        <f t="shared" si="2"/>
        <v/>
      </c>
    </row>
    <row r="23" spans="4:18" x14ac:dyDescent="0.25">
      <c r="D23" s="9"/>
      <c r="E23" s="9"/>
      <c r="F23" s="9"/>
      <c r="G23" s="9"/>
      <c r="H23" s="18"/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  <c r="R23" s="18" t="str">
        <f t="shared" si="2"/>
        <v/>
      </c>
    </row>
    <row r="24" spans="4:18" x14ac:dyDescent="0.25">
      <c r="D24" s="9"/>
      <c r="E24" s="9"/>
      <c r="F24" s="9"/>
      <c r="G24" s="9"/>
      <c r="H24" s="18"/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  <c r="R24" s="18" t="str">
        <f t="shared" si="2"/>
        <v/>
      </c>
    </row>
    <row r="25" spans="4:18" x14ac:dyDescent="0.25">
      <c r="D25" s="9"/>
      <c r="E25" s="9"/>
      <c r="F25" s="9"/>
      <c r="G25" s="9"/>
      <c r="H25" s="18"/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  <c r="R25" s="18" t="str">
        <f t="shared" si="2"/>
        <v/>
      </c>
    </row>
    <row r="26" spans="4:18" x14ac:dyDescent="0.25">
      <c r="D26" s="9"/>
      <c r="E26" s="9"/>
      <c r="F26" s="9"/>
      <c r="G26" s="9"/>
      <c r="H26" s="18"/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  <c r="R26" s="18" t="str">
        <f t="shared" si="2"/>
        <v/>
      </c>
    </row>
    <row r="27" spans="4:18" x14ac:dyDescent="0.25">
      <c r="D27" s="9"/>
      <c r="E27" s="9"/>
      <c r="F27" s="9"/>
      <c r="G27" s="9"/>
      <c r="H27" s="18"/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  <c r="R27" s="18" t="str">
        <f t="shared" si="2"/>
        <v/>
      </c>
    </row>
    <row r="28" spans="4:18" x14ac:dyDescent="0.25">
      <c r="D28" s="9"/>
      <c r="E28" s="9"/>
      <c r="F28" s="9"/>
      <c r="G28" s="9"/>
      <c r="H28" s="18"/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  <c r="R28" s="18" t="str">
        <f t="shared" si="2"/>
        <v/>
      </c>
    </row>
    <row r="29" spans="4:18" x14ac:dyDescent="0.25">
      <c r="D29" s="9"/>
      <c r="E29" s="9"/>
      <c r="F29" s="9"/>
      <c r="G29" s="9"/>
      <c r="H29" s="18"/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  <c r="R29" s="18" t="str">
        <f t="shared" si="2"/>
        <v/>
      </c>
    </row>
    <row r="30" spans="4:18" x14ac:dyDescent="0.25">
      <c r="D30" s="9"/>
      <c r="E30" s="9"/>
      <c r="F30" s="9"/>
      <c r="G30" s="9"/>
      <c r="H30" s="18"/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  <c r="R30" s="18" t="str">
        <f t="shared" si="2"/>
        <v/>
      </c>
    </row>
    <row r="31" spans="4:18" x14ac:dyDescent="0.25">
      <c r="D31" s="9"/>
      <c r="E31" s="9"/>
      <c r="F31" s="9"/>
      <c r="G31" s="9"/>
      <c r="H31" s="18"/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  <c r="R31" s="18" t="str">
        <f t="shared" si="2"/>
        <v/>
      </c>
    </row>
    <row r="32" spans="4:18" x14ac:dyDescent="0.25">
      <c r="D32" s="9"/>
      <c r="E32" s="9"/>
      <c r="F32" s="9"/>
      <c r="G32" s="9"/>
      <c r="H32" s="18"/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  <c r="R32" s="18" t="str">
        <f t="shared" si="2"/>
        <v/>
      </c>
    </row>
    <row r="33" spans="4:18" x14ac:dyDescent="0.25">
      <c r="D33" s="9"/>
      <c r="E33" s="9"/>
      <c r="F33" s="9"/>
      <c r="G33" s="9"/>
      <c r="H33" s="18"/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</row>
    <row r="34" spans="4:18" x14ac:dyDescent="0.25">
      <c r="D34" s="9"/>
      <c r="E34" s="9"/>
      <c r="F34" s="9"/>
      <c r="G34" s="9"/>
      <c r="H34" s="18"/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</row>
    <row r="35" spans="4:18" x14ac:dyDescent="0.25">
      <c r="D35" s="9"/>
      <c r="E35" s="9"/>
      <c r="F35" s="9"/>
      <c r="G35" s="9"/>
      <c r="H35" s="18"/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</row>
    <row r="36" spans="4:18" x14ac:dyDescent="0.25">
      <c r="D36" s="9"/>
      <c r="E36" s="9"/>
      <c r="F36" s="9"/>
      <c r="G36" s="9"/>
      <c r="H36" s="18"/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</row>
    <row r="37" spans="4:18" x14ac:dyDescent="0.25">
      <c r="D37" s="9"/>
      <c r="E37" s="9"/>
      <c r="F37" s="9"/>
      <c r="G37" s="9"/>
      <c r="H37" s="18"/>
      <c r="I37" s="18" t="str">
        <f t="shared" ref="I37:R50" si="3">IF(H37="","",H37)</f>
        <v/>
      </c>
      <c r="J37" s="18" t="str">
        <f t="shared" si="3"/>
        <v/>
      </c>
      <c r="K37" s="18" t="str">
        <f t="shared" si="3"/>
        <v/>
      </c>
      <c r="L37" s="18" t="str">
        <f t="shared" si="3"/>
        <v/>
      </c>
      <c r="M37" s="18" t="str">
        <f t="shared" si="3"/>
        <v/>
      </c>
      <c r="N37" s="18" t="str">
        <f t="shared" si="3"/>
        <v/>
      </c>
      <c r="O37" s="18" t="str">
        <f t="shared" si="3"/>
        <v/>
      </c>
      <c r="P37" s="18" t="str">
        <f t="shared" si="3"/>
        <v/>
      </c>
      <c r="Q37" s="18" t="str">
        <f t="shared" si="3"/>
        <v/>
      </c>
      <c r="R37" s="18" t="str">
        <f t="shared" si="3"/>
        <v/>
      </c>
    </row>
    <row r="38" spans="4:18" x14ac:dyDescent="0.25">
      <c r="D38" s="9"/>
      <c r="E38" s="9"/>
      <c r="F38" s="9"/>
      <c r="G38" s="9"/>
      <c r="H38" s="18"/>
      <c r="I38" s="18" t="str">
        <f t="shared" si="3"/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  <c r="R38" s="18" t="str">
        <f t="shared" si="3"/>
        <v/>
      </c>
    </row>
    <row r="39" spans="4:18" x14ac:dyDescent="0.25">
      <c r="D39" s="9"/>
      <c r="E39" s="9"/>
      <c r="F39" s="9"/>
      <c r="G39" s="9"/>
      <c r="H39" s="18"/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  <c r="R39" s="18" t="str">
        <f t="shared" si="3"/>
        <v/>
      </c>
    </row>
    <row r="40" spans="4:18" x14ac:dyDescent="0.25">
      <c r="D40" s="9"/>
      <c r="E40" s="9"/>
      <c r="F40" s="9"/>
      <c r="G40" s="9"/>
      <c r="H40" s="18"/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</row>
    <row r="41" spans="4:18" x14ac:dyDescent="0.25">
      <c r="D41" s="9"/>
      <c r="E41" s="9"/>
      <c r="F41" s="9"/>
      <c r="G41" s="9"/>
      <c r="H41" s="18"/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  <c r="R41" s="18" t="str">
        <f t="shared" si="3"/>
        <v/>
      </c>
    </row>
    <row r="42" spans="4:18" x14ac:dyDescent="0.25">
      <c r="D42" s="9"/>
      <c r="E42" s="9"/>
      <c r="F42" s="9"/>
      <c r="G42" s="9"/>
      <c r="H42" s="18"/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  <c r="R42" s="18" t="str">
        <f t="shared" si="3"/>
        <v/>
      </c>
    </row>
    <row r="43" spans="4:18" x14ac:dyDescent="0.25">
      <c r="D43" s="9"/>
      <c r="E43" s="9"/>
      <c r="F43" s="9"/>
      <c r="G43" s="9"/>
      <c r="H43" s="18"/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  <c r="R43" s="18" t="str">
        <f t="shared" si="3"/>
        <v/>
      </c>
    </row>
    <row r="44" spans="4:18" x14ac:dyDescent="0.25">
      <c r="D44" s="9"/>
      <c r="E44" s="9"/>
      <c r="F44" s="9"/>
      <c r="G44" s="9"/>
      <c r="H44" s="18"/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  <c r="R44" s="18" t="str">
        <f t="shared" si="3"/>
        <v/>
      </c>
    </row>
    <row r="45" spans="4:18" x14ac:dyDescent="0.25">
      <c r="D45" s="9"/>
      <c r="E45" s="9"/>
      <c r="F45" s="9"/>
      <c r="G45" s="9"/>
      <c r="H45" s="18"/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</row>
    <row r="46" spans="4:18" x14ac:dyDescent="0.25">
      <c r="D46" s="9"/>
      <c r="E46" s="9"/>
      <c r="F46" s="9"/>
      <c r="G46" s="9"/>
      <c r="H46" s="18"/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</row>
    <row r="47" spans="4:18" x14ac:dyDescent="0.25">
      <c r="D47" s="9"/>
      <c r="E47" s="9"/>
      <c r="F47" s="9"/>
      <c r="G47" s="9"/>
      <c r="H47" s="18"/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</row>
    <row r="48" spans="4:18" x14ac:dyDescent="0.25">
      <c r="D48" s="9"/>
      <c r="E48" s="9"/>
      <c r="F48" s="9"/>
      <c r="G48" s="9"/>
      <c r="H48" s="18"/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</row>
    <row r="49" spans="4:18" x14ac:dyDescent="0.25">
      <c r="D49" s="9"/>
      <c r="E49" s="9"/>
      <c r="F49" s="9"/>
      <c r="G49" s="9"/>
      <c r="H49" s="18"/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</row>
    <row r="50" spans="4:18" ht="15.75" thickBot="1" x14ac:dyDescent="0.3">
      <c r="D50" s="10"/>
      <c r="E50" s="10"/>
      <c r="F50" s="10"/>
      <c r="G50" s="10"/>
      <c r="H50" s="43"/>
      <c r="I50" s="43" t="str">
        <f t="shared" si="3"/>
        <v/>
      </c>
      <c r="J50" s="43" t="str">
        <f t="shared" si="3"/>
        <v/>
      </c>
      <c r="K50" s="43" t="str">
        <f t="shared" si="3"/>
        <v/>
      </c>
      <c r="L50" s="43" t="str">
        <f t="shared" si="3"/>
        <v/>
      </c>
      <c r="M50" s="43" t="str">
        <f t="shared" si="3"/>
        <v/>
      </c>
      <c r="N50" s="43" t="str">
        <f t="shared" si="3"/>
        <v/>
      </c>
      <c r="O50" s="43" t="str">
        <f t="shared" si="3"/>
        <v/>
      </c>
      <c r="P50" s="43" t="str">
        <f t="shared" si="3"/>
        <v/>
      </c>
      <c r="Q50" s="43" t="str">
        <f t="shared" si="3"/>
        <v/>
      </c>
      <c r="R50" s="43" t="str">
        <f t="shared" si="3"/>
        <v/>
      </c>
    </row>
    <row r="51" spans="4:18" x14ac:dyDescent="0.2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14"/>
  <sheetViews>
    <sheetView zoomScaleNormal="100" workbookViewId="0">
      <selection activeCell="K63" sqref="H63:K63"/>
    </sheetView>
  </sheetViews>
  <sheetFormatPr baseColWidth="10" defaultColWidth="11.5703125" defaultRowHeight="15" outlineLevelCol="1" x14ac:dyDescent="0.25"/>
  <cols>
    <col min="1" max="3" width="3.85546875" style="5" customWidth="1"/>
    <col min="4" max="5" width="15.85546875" style="5" customWidth="1"/>
    <col min="6" max="6" width="25.85546875" style="5" customWidth="1"/>
    <col min="7" max="10" width="15.85546875" style="5" customWidth="1"/>
    <col min="11" max="11" width="8.85546875" style="5" customWidth="1"/>
    <col min="12" max="21" width="8.85546875" style="5" customWidth="1" outlineLevel="1"/>
    <col min="22" max="22" width="11.5703125" style="5"/>
    <col min="23" max="23" width="12.42578125" style="5" bestFit="1" customWidth="1"/>
    <col min="24" max="16384" width="11.5703125" style="5"/>
  </cols>
  <sheetData>
    <row r="1" spans="2:21" s="76" customFormat="1" ht="24.95" customHeight="1" x14ac:dyDescent="0.25">
      <c r="B1" s="75" t="s">
        <v>247</v>
      </c>
    </row>
    <row r="3" spans="2:21" ht="15.75" thickBot="1" x14ac:dyDescent="0.3">
      <c r="D3" s="38" t="str">
        <f>JESA_UploadTable(B1,D4:U184,db)</f>
        <v>Granulation opex @16:45:54</v>
      </c>
      <c r="E3" s="38"/>
      <c r="F3" s="38"/>
    </row>
    <row r="4" spans="2:21" ht="30" customHeight="1" thickBot="1" x14ac:dyDescent="0.3">
      <c r="D4" s="81" t="s">
        <v>8</v>
      </c>
      <c r="E4" s="81" t="s">
        <v>345</v>
      </c>
      <c r="F4" s="81" t="s">
        <v>25</v>
      </c>
      <c r="G4" s="77" t="s">
        <v>266</v>
      </c>
      <c r="H4" s="81" t="s">
        <v>24</v>
      </c>
      <c r="I4" s="81" t="s">
        <v>12</v>
      </c>
      <c r="J4" s="77" t="s">
        <v>17</v>
      </c>
      <c r="K4" s="83" t="s">
        <v>37</v>
      </c>
      <c r="L4" s="83" t="s">
        <v>38</v>
      </c>
      <c r="M4" s="83" t="s">
        <v>39</v>
      </c>
      <c r="N4" s="83" t="s">
        <v>40</v>
      </c>
      <c r="O4" s="83" t="s">
        <v>41</v>
      </c>
      <c r="P4" s="83" t="s">
        <v>42</v>
      </c>
      <c r="Q4" s="83" t="s">
        <v>43</v>
      </c>
      <c r="R4" s="83" t="s">
        <v>44</v>
      </c>
      <c r="S4" s="83" t="s">
        <v>45</v>
      </c>
      <c r="T4" s="83" t="s">
        <v>46</v>
      </c>
      <c r="U4" s="83" t="s">
        <v>47</v>
      </c>
    </row>
    <row r="5" spans="2:21" x14ac:dyDescent="0.25">
      <c r="D5" s="8" t="s">
        <v>26</v>
      </c>
      <c r="E5" s="8" t="s">
        <v>346</v>
      </c>
      <c r="F5" s="8" t="s">
        <v>375</v>
      </c>
      <c r="G5" s="14">
        <v>1328.125</v>
      </c>
      <c r="H5" s="8" t="s">
        <v>84</v>
      </c>
      <c r="I5" s="8" t="s">
        <v>288</v>
      </c>
      <c r="J5" s="8" t="s">
        <v>57</v>
      </c>
      <c r="K5" s="17">
        <v>0.45</v>
      </c>
      <c r="L5" s="17">
        <f>K5</f>
        <v>0.45</v>
      </c>
      <c r="M5" s="17">
        <f t="shared" ref="M5:U5" si="0">L5</f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  <c r="U5" s="17">
        <f t="shared" si="0"/>
        <v>0.45</v>
      </c>
    </row>
    <row r="6" spans="2:21" x14ac:dyDescent="0.25">
      <c r="D6" s="9" t="s">
        <v>26</v>
      </c>
      <c r="E6" s="9" t="s">
        <v>346</v>
      </c>
      <c r="F6" s="9" t="s">
        <v>375</v>
      </c>
      <c r="G6" s="15">
        <v>1328.125</v>
      </c>
      <c r="H6" s="9" t="s">
        <v>84</v>
      </c>
      <c r="I6" s="9" t="s">
        <v>388</v>
      </c>
      <c r="J6" s="9" t="s">
        <v>57</v>
      </c>
      <c r="K6" s="18">
        <v>0.371</v>
      </c>
      <c r="L6" s="18">
        <f t="shared" ref="L6:U15" si="1">K6</f>
        <v>0.371</v>
      </c>
      <c r="M6" s="18">
        <f t="shared" si="1"/>
        <v>0.371</v>
      </c>
      <c r="N6" s="18">
        <f t="shared" si="1"/>
        <v>0.371</v>
      </c>
      <c r="O6" s="18">
        <f t="shared" si="1"/>
        <v>0.371</v>
      </c>
      <c r="P6" s="18">
        <f t="shared" si="1"/>
        <v>0.371</v>
      </c>
      <c r="Q6" s="18">
        <f t="shared" si="1"/>
        <v>0.371</v>
      </c>
      <c r="R6" s="18">
        <f t="shared" si="1"/>
        <v>0.371</v>
      </c>
      <c r="S6" s="18">
        <f t="shared" si="1"/>
        <v>0.371</v>
      </c>
      <c r="T6" s="18">
        <f t="shared" si="1"/>
        <v>0.371</v>
      </c>
      <c r="U6" s="18">
        <f t="shared" si="1"/>
        <v>0.371</v>
      </c>
    </row>
    <row r="7" spans="2:21" x14ac:dyDescent="0.25">
      <c r="D7" s="9" t="s">
        <v>26</v>
      </c>
      <c r="E7" s="9" t="s">
        <v>346</v>
      </c>
      <c r="F7" s="9" t="s">
        <v>375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f t="shared" si="1"/>
        <v>2.3E-2</v>
      </c>
      <c r="M7" s="18">
        <f t="shared" si="1"/>
        <v>2.3E-2</v>
      </c>
      <c r="N7" s="18">
        <f t="shared" si="1"/>
        <v>2.3E-2</v>
      </c>
      <c r="O7" s="18">
        <f t="shared" si="1"/>
        <v>2.3E-2</v>
      </c>
      <c r="P7" s="18">
        <f t="shared" si="1"/>
        <v>2.3E-2</v>
      </c>
      <c r="Q7" s="18">
        <f t="shared" si="1"/>
        <v>2.3E-2</v>
      </c>
      <c r="R7" s="18">
        <f t="shared" si="1"/>
        <v>2.3E-2</v>
      </c>
      <c r="S7" s="18">
        <f t="shared" si="1"/>
        <v>2.3E-2</v>
      </c>
      <c r="T7" s="18">
        <f t="shared" si="1"/>
        <v>2.3E-2</v>
      </c>
      <c r="U7" s="18">
        <f t="shared" si="1"/>
        <v>2.3E-2</v>
      </c>
    </row>
    <row r="8" spans="2:21" x14ac:dyDescent="0.25">
      <c r="D8" s="9" t="s">
        <v>26</v>
      </c>
      <c r="E8" s="9" t="s">
        <v>346</v>
      </c>
      <c r="F8" s="9" t="s">
        <v>375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f t="shared" si="1"/>
        <v>0.40500000000000003</v>
      </c>
      <c r="M8" s="18">
        <f t="shared" si="1"/>
        <v>0.40500000000000003</v>
      </c>
      <c r="N8" s="18">
        <f t="shared" si="1"/>
        <v>0.40500000000000003</v>
      </c>
      <c r="O8" s="18">
        <f t="shared" si="1"/>
        <v>0.40500000000000003</v>
      </c>
      <c r="P8" s="18">
        <f t="shared" si="1"/>
        <v>0.40500000000000003</v>
      </c>
      <c r="Q8" s="18">
        <f t="shared" si="1"/>
        <v>0.40500000000000003</v>
      </c>
      <c r="R8" s="18">
        <f t="shared" si="1"/>
        <v>0.40500000000000003</v>
      </c>
      <c r="S8" s="18">
        <f t="shared" si="1"/>
        <v>0.40500000000000003</v>
      </c>
      <c r="T8" s="18">
        <f t="shared" si="1"/>
        <v>0.40500000000000003</v>
      </c>
      <c r="U8" s="18">
        <f t="shared" si="1"/>
        <v>0.40500000000000003</v>
      </c>
    </row>
    <row r="9" spans="2:21" x14ac:dyDescent="0.25">
      <c r="D9" s="9" t="s">
        <v>26</v>
      </c>
      <c r="E9" s="9" t="s">
        <v>346</v>
      </c>
      <c r="F9" s="9" t="s">
        <v>375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f t="shared" si="1"/>
        <v>80</v>
      </c>
      <c r="M9" s="18">
        <f t="shared" si="1"/>
        <v>80</v>
      </c>
      <c r="N9" s="18">
        <f t="shared" si="1"/>
        <v>80</v>
      </c>
      <c r="O9" s="18">
        <f t="shared" si="1"/>
        <v>80</v>
      </c>
      <c r="P9" s="18">
        <f t="shared" si="1"/>
        <v>80</v>
      </c>
      <c r="Q9" s="18">
        <f t="shared" si="1"/>
        <v>80</v>
      </c>
      <c r="R9" s="18">
        <f t="shared" si="1"/>
        <v>80</v>
      </c>
      <c r="S9" s="18">
        <f t="shared" si="1"/>
        <v>80</v>
      </c>
      <c r="T9" s="18">
        <f t="shared" si="1"/>
        <v>80</v>
      </c>
      <c r="U9" s="18">
        <f t="shared" si="1"/>
        <v>80</v>
      </c>
    </row>
    <row r="10" spans="2:21" x14ac:dyDescent="0.25">
      <c r="D10" s="9" t="s">
        <v>26</v>
      </c>
      <c r="E10" s="9" t="s">
        <v>346</v>
      </c>
      <c r="F10" s="9" t="s">
        <v>375</v>
      </c>
      <c r="G10" s="15">
        <v>1328.125</v>
      </c>
      <c r="H10" s="9" t="s">
        <v>84</v>
      </c>
      <c r="I10" s="9" t="s">
        <v>336</v>
      </c>
      <c r="J10" s="9" t="s">
        <v>337</v>
      </c>
      <c r="K10" s="18">
        <v>1</v>
      </c>
      <c r="L10" s="18">
        <f t="shared" si="1"/>
        <v>1</v>
      </c>
      <c r="M10" s="18">
        <f t="shared" si="1"/>
        <v>1</v>
      </c>
      <c r="N10" s="18">
        <f t="shared" si="1"/>
        <v>1</v>
      </c>
      <c r="O10" s="18">
        <f t="shared" si="1"/>
        <v>1</v>
      </c>
      <c r="P10" s="18">
        <f t="shared" si="1"/>
        <v>1</v>
      </c>
      <c r="Q10" s="18">
        <f t="shared" si="1"/>
        <v>1</v>
      </c>
      <c r="R10" s="18">
        <f t="shared" si="1"/>
        <v>1</v>
      </c>
      <c r="S10" s="18">
        <f t="shared" si="1"/>
        <v>1</v>
      </c>
      <c r="T10" s="18">
        <f t="shared" si="1"/>
        <v>1</v>
      </c>
      <c r="U10" s="18">
        <f t="shared" si="1"/>
        <v>1</v>
      </c>
    </row>
    <row r="11" spans="2:21" x14ac:dyDescent="0.25">
      <c r="D11" s="9" t="s">
        <v>26</v>
      </c>
      <c r="E11" s="9" t="s">
        <v>346</v>
      </c>
      <c r="F11" s="9" t="s">
        <v>375</v>
      </c>
      <c r="G11" s="15">
        <v>1328.125</v>
      </c>
      <c r="H11" s="9" t="s">
        <v>84</v>
      </c>
      <c r="I11" s="9" t="s">
        <v>338</v>
      </c>
      <c r="J11" s="9" t="s">
        <v>337</v>
      </c>
      <c r="K11" s="18">
        <v>3</v>
      </c>
      <c r="L11" s="18">
        <f t="shared" si="1"/>
        <v>3</v>
      </c>
      <c r="M11" s="18">
        <f t="shared" si="1"/>
        <v>3</v>
      </c>
      <c r="N11" s="18">
        <f t="shared" si="1"/>
        <v>3</v>
      </c>
      <c r="O11" s="18">
        <f t="shared" si="1"/>
        <v>3</v>
      </c>
      <c r="P11" s="18">
        <f t="shared" si="1"/>
        <v>3</v>
      </c>
      <c r="Q11" s="18">
        <f t="shared" si="1"/>
        <v>3</v>
      </c>
      <c r="R11" s="18">
        <f t="shared" si="1"/>
        <v>3</v>
      </c>
      <c r="S11" s="18">
        <f t="shared" si="1"/>
        <v>3</v>
      </c>
      <c r="T11" s="18">
        <f t="shared" si="1"/>
        <v>3</v>
      </c>
      <c r="U11" s="18">
        <f t="shared" si="1"/>
        <v>3</v>
      </c>
    </row>
    <row r="12" spans="2:21" x14ac:dyDescent="0.25">
      <c r="D12" s="9" t="s">
        <v>26</v>
      </c>
      <c r="E12" s="9" t="s">
        <v>346</v>
      </c>
      <c r="F12" s="9" t="s">
        <v>375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f t="shared" si="1"/>
        <v>7.0000000000000007E-2</v>
      </c>
      <c r="M12" s="18">
        <f t="shared" si="1"/>
        <v>7.0000000000000007E-2</v>
      </c>
      <c r="N12" s="18">
        <f t="shared" si="1"/>
        <v>7.0000000000000007E-2</v>
      </c>
      <c r="O12" s="18">
        <f t="shared" si="1"/>
        <v>7.0000000000000007E-2</v>
      </c>
      <c r="P12" s="18">
        <f t="shared" si="1"/>
        <v>7.0000000000000007E-2</v>
      </c>
      <c r="Q12" s="18">
        <f t="shared" si="1"/>
        <v>7.0000000000000007E-2</v>
      </c>
      <c r="R12" s="18">
        <f t="shared" si="1"/>
        <v>7.0000000000000007E-2</v>
      </c>
      <c r="S12" s="18">
        <f t="shared" si="1"/>
        <v>7.0000000000000007E-2</v>
      </c>
      <c r="T12" s="18">
        <f t="shared" si="1"/>
        <v>7.0000000000000007E-2</v>
      </c>
      <c r="U12" s="18">
        <f t="shared" si="1"/>
        <v>7.0000000000000007E-2</v>
      </c>
    </row>
    <row r="13" spans="2:21" x14ac:dyDescent="0.25">
      <c r="D13" s="9" t="s">
        <v>26</v>
      </c>
      <c r="E13" s="9" t="s">
        <v>346</v>
      </c>
      <c r="F13" s="9" t="s">
        <v>375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f t="shared" si="1"/>
        <v>0.09</v>
      </c>
      <c r="M13" s="18">
        <f t="shared" si="1"/>
        <v>0.09</v>
      </c>
      <c r="N13" s="18">
        <f t="shared" si="1"/>
        <v>0.09</v>
      </c>
      <c r="O13" s="18">
        <f t="shared" si="1"/>
        <v>0.09</v>
      </c>
      <c r="P13" s="18">
        <f t="shared" si="1"/>
        <v>0.09</v>
      </c>
      <c r="Q13" s="18">
        <f t="shared" si="1"/>
        <v>0.09</v>
      </c>
      <c r="R13" s="18">
        <f t="shared" si="1"/>
        <v>0.09</v>
      </c>
      <c r="S13" s="18">
        <f t="shared" si="1"/>
        <v>0.09</v>
      </c>
      <c r="T13" s="18">
        <f t="shared" si="1"/>
        <v>0.09</v>
      </c>
      <c r="U13" s="18">
        <f t="shared" si="1"/>
        <v>0.09</v>
      </c>
    </row>
    <row r="14" spans="2:21" x14ac:dyDescent="0.25">
      <c r="D14" s="9" t="s">
        <v>26</v>
      </c>
      <c r="E14" s="9" t="s">
        <v>346</v>
      </c>
      <c r="F14" s="9" t="s">
        <v>375</v>
      </c>
      <c r="G14" s="15">
        <v>1328.125</v>
      </c>
      <c r="H14" s="9" t="s">
        <v>84</v>
      </c>
      <c r="I14" s="9" t="s">
        <v>339</v>
      </c>
      <c r="J14" s="9" t="s">
        <v>132</v>
      </c>
      <c r="K14" s="18">
        <v>2.5</v>
      </c>
      <c r="L14" s="18">
        <f t="shared" si="1"/>
        <v>2.5</v>
      </c>
      <c r="M14" s="18">
        <f t="shared" si="1"/>
        <v>2.5</v>
      </c>
      <c r="N14" s="18">
        <f t="shared" si="1"/>
        <v>2.5</v>
      </c>
      <c r="O14" s="18">
        <f t="shared" si="1"/>
        <v>2.5</v>
      </c>
      <c r="P14" s="18">
        <f t="shared" si="1"/>
        <v>2.5</v>
      </c>
      <c r="Q14" s="18">
        <f t="shared" si="1"/>
        <v>2.5</v>
      </c>
      <c r="R14" s="18">
        <f t="shared" si="1"/>
        <v>2.5</v>
      </c>
      <c r="S14" s="18">
        <f t="shared" si="1"/>
        <v>2.5</v>
      </c>
      <c r="T14" s="18">
        <f t="shared" si="1"/>
        <v>2.5</v>
      </c>
      <c r="U14" s="18">
        <f t="shared" si="1"/>
        <v>2.5</v>
      </c>
    </row>
    <row r="15" spans="2:21" x14ac:dyDescent="0.25">
      <c r="D15" s="9" t="s">
        <v>26</v>
      </c>
      <c r="E15" s="9" t="s">
        <v>346</v>
      </c>
      <c r="F15" s="9" t="s">
        <v>375</v>
      </c>
      <c r="G15" s="15">
        <v>1328.125</v>
      </c>
      <c r="H15" s="9" t="s">
        <v>84</v>
      </c>
      <c r="I15" s="9" t="s">
        <v>340</v>
      </c>
      <c r="J15" s="9" t="s">
        <v>341</v>
      </c>
      <c r="K15" s="18">
        <v>50</v>
      </c>
      <c r="L15" s="18">
        <f t="shared" si="1"/>
        <v>50</v>
      </c>
      <c r="M15" s="18">
        <f t="shared" si="1"/>
        <v>50</v>
      </c>
      <c r="N15" s="18">
        <f t="shared" si="1"/>
        <v>50</v>
      </c>
      <c r="O15" s="18">
        <f t="shared" si="1"/>
        <v>50</v>
      </c>
      <c r="P15" s="18">
        <f t="shared" si="1"/>
        <v>50</v>
      </c>
      <c r="Q15" s="18">
        <f t="shared" si="1"/>
        <v>50</v>
      </c>
      <c r="R15" s="18">
        <f t="shared" si="1"/>
        <v>50</v>
      </c>
      <c r="S15" s="18">
        <f t="shared" si="1"/>
        <v>50</v>
      </c>
      <c r="T15" s="18">
        <f t="shared" si="1"/>
        <v>50</v>
      </c>
      <c r="U15" s="18">
        <f t="shared" si="1"/>
        <v>50</v>
      </c>
    </row>
    <row r="16" spans="2:21" x14ac:dyDescent="0.25">
      <c r="D16" s="9" t="s">
        <v>26</v>
      </c>
      <c r="E16" s="9" t="s">
        <v>346</v>
      </c>
      <c r="F16" s="9" t="s">
        <v>375</v>
      </c>
      <c r="G16" s="15">
        <v>310</v>
      </c>
      <c r="H16" s="9" t="s">
        <v>85</v>
      </c>
      <c r="I16" s="9" t="s">
        <v>342</v>
      </c>
      <c r="J16" s="9" t="s">
        <v>57</v>
      </c>
      <c r="K16" s="18">
        <v>0.45</v>
      </c>
      <c r="L16" s="18">
        <f t="shared" ref="L16:U16" si="2">K16</f>
        <v>0.45</v>
      </c>
      <c r="M16" s="18">
        <f t="shared" si="2"/>
        <v>0.45</v>
      </c>
      <c r="N16" s="18">
        <f t="shared" si="2"/>
        <v>0.45</v>
      </c>
      <c r="O16" s="18">
        <f t="shared" si="2"/>
        <v>0.45</v>
      </c>
      <c r="P16" s="18">
        <f t="shared" si="2"/>
        <v>0.45</v>
      </c>
      <c r="Q16" s="18">
        <f t="shared" si="2"/>
        <v>0.45</v>
      </c>
      <c r="R16" s="18">
        <f t="shared" si="2"/>
        <v>0.45</v>
      </c>
      <c r="S16" s="18">
        <f t="shared" si="2"/>
        <v>0.45</v>
      </c>
      <c r="T16" s="18">
        <f t="shared" si="2"/>
        <v>0.45</v>
      </c>
      <c r="U16" s="18">
        <f t="shared" si="2"/>
        <v>0.45</v>
      </c>
    </row>
    <row r="17" spans="4:21" x14ac:dyDescent="0.25">
      <c r="D17" s="9" t="s">
        <v>26</v>
      </c>
      <c r="E17" s="9" t="s">
        <v>346</v>
      </c>
      <c r="F17" s="9" t="s">
        <v>375</v>
      </c>
      <c r="G17" s="15">
        <v>310</v>
      </c>
      <c r="H17" s="9" t="s">
        <v>85</v>
      </c>
      <c r="I17" s="9" t="s">
        <v>388</v>
      </c>
      <c r="J17" s="9" t="s">
        <v>57</v>
      </c>
      <c r="K17" s="18">
        <v>0.51</v>
      </c>
      <c r="L17" s="18">
        <f t="shared" ref="L17:U17" si="3">K17</f>
        <v>0.51</v>
      </c>
      <c r="M17" s="18">
        <f t="shared" si="3"/>
        <v>0.51</v>
      </c>
      <c r="N17" s="18">
        <f t="shared" si="3"/>
        <v>0.51</v>
      </c>
      <c r="O17" s="18">
        <f t="shared" si="3"/>
        <v>0.51</v>
      </c>
      <c r="P17" s="18">
        <f t="shared" si="3"/>
        <v>0.51</v>
      </c>
      <c r="Q17" s="18">
        <f t="shared" si="3"/>
        <v>0.51</v>
      </c>
      <c r="R17" s="18">
        <f t="shared" si="3"/>
        <v>0.51</v>
      </c>
      <c r="S17" s="18">
        <f t="shared" si="3"/>
        <v>0.51</v>
      </c>
      <c r="T17" s="18">
        <f t="shared" si="3"/>
        <v>0.51</v>
      </c>
      <c r="U17" s="18">
        <f t="shared" si="3"/>
        <v>0.51</v>
      </c>
    </row>
    <row r="18" spans="4:21" x14ac:dyDescent="0.25">
      <c r="D18" s="9" t="s">
        <v>26</v>
      </c>
      <c r="E18" s="9" t="s">
        <v>346</v>
      </c>
      <c r="F18" s="9" t="s">
        <v>375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f t="shared" ref="L18:U18" si="4">K18</f>
        <v>4.1430000000000002E-2</v>
      </c>
      <c r="M18" s="18">
        <f t="shared" si="4"/>
        <v>4.1430000000000002E-2</v>
      </c>
      <c r="N18" s="18">
        <f t="shared" si="4"/>
        <v>4.1430000000000002E-2</v>
      </c>
      <c r="O18" s="18">
        <f t="shared" si="4"/>
        <v>4.1430000000000002E-2</v>
      </c>
      <c r="P18" s="18">
        <f t="shared" si="4"/>
        <v>4.1430000000000002E-2</v>
      </c>
      <c r="Q18" s="18">
        <f t="shared" si="4"/>
        <v>4.1430000000000002E-2</v>
      </c>
      <c r="R18" s="18">
        <f t="shared" si="4"/>
        <v>4.1430000000000002E-2</v>
      </c>
      <c r="S18" s="18">
        <f t="shared" si="4"/>
        <v>4.1430000000000002E-2</v>
      </c>
      <c r="T18" s="18">
        <f t="shared" si="4"/>
        <v>4.1430000000000002E-2</v>
      </c>
      <c r="U18" s="18">
        <f t="shared" si="4"/>
        <v>4.1430000000000002E-2</v>
      </c>
    </row>
    <row r="19" spans="4:21" x14ac:dyDescent="0.25">
      <c r="D19" s="9" t="s">
        <v>26</v>
      </c>
      <c r="E19" s="9" t="s">
        <v>346</v>
      </c>
      <c r="F19" s="9" t="s">
        <v>375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f t="shared" ref="L19:U19" si="5">K19</f>
        <v>0.26</v>
      </c>
      <c r="M19" s="18">
        <f t="shared" si="5"/>
        <v>0.26</v>
      </c>
      <c r="N19" s="18">
        <f t="shared" si="5"/>
        <v>0.26</v>
      </c>
      <c r="O19" s="18">
        <f t="shared" si="5"/>
        <v>0.26</v>
      </c>
      <c r="P19" s="18">
        <f t="shared" si="5"/>
        <v>0.26</v>
      </c>
      <c r="Q19" s="18">
        <f t="shared" si="5"/>
        <v>0.26</v>
      </c>
      <c r="R19" s="18">
        <f t="shared" si="5"/>
        <v>0.26</v>
      </c>
      <c r="S19" s="18">
        <f t="shared" si="5"/>
        <v>0.26</v>
      </c>
      <c r="T19" s="18">
        <f t="shared" si="5"/>
        <v>0.26</v>
      </c>
      <c r="U19" s="18">
        <f t="shared" si="5"/>
        <v>0.26</v>
      </c>
    </row>
    <row r="20" spans="4:21" x14ac:dyDescent="0.25">
      <c r="D20" s="9" t="s">
        <v>26</v>
      </c>
      <c r="E20" s="9" t="s">
        <v>346</v>
      </c>
      <c r="F20" s="9" t="s">
        <v>375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f t="shared" ref="L20:U20" si="6">K20</f>
        <v>94</v>
      </c>
      <c r="M20" s="18">
        <f t="shared" si="6"/>
        <v>94</v>
      </c>
      <c r="N20" s="18">
        <f t="shared" si="6"/>
        <v>94</v>
      </c>
      <c r="O20" s="18">
        <f t="shared" si="6"/>
        <v>94</v>
      </c>
      <c r="P20" s="18">
        <f t="shared" si="6"/>
        <v>94</v>
      </c>
      <c r="Q20" s="18">
        <f t="shared" si="6"/>
        <v>94</v>
      </c>
      <c r="R20" s="18">
        <f t="shared" si="6"/>
        <v>94</v>
      </c>
      <c r="S20" s="18">
        <f t="shared" si="6"/>
        <v>94</v>
      </c>
      <c r="T20" s="18">
        <f t="shared" si="6"/>
        <v>94</v>
      </c>
      <c r="U20" s="18">
        <f t="shared" si="6"/>
        <v>94</v>
      </c>
    </row>
    <row r="21" spans="4:21" x14ac:dyDescent="0.25">
      <c r="D21" s="9" t="s">
        <v>26</v>
      </c>
      <c r="E21" s="9" t="s">
        <v>346</v>
      </c>
      <c r="F21" s="9" t="s">
        <v>375</v>
      </c>
      <c r="G21" s="15">
        <v>310</v>
      </c>
      <c r="H21" s="9" t="s">
        <v>85</v>
      </c>
      <c r="I21" s="9" t="s">
        <v>336</v>
      </c>
      <c r="J21" s="9" t="s">
        <v>337</v>
      </c>
      <c r="K21" s="18">
        <v>0</v>
      </c>
      <c r="L21" s="18">
        <f t="shared" ref="L21:U21" si="7">K21</f>
        <v>0</v>
      </c>
      <c r="M21" s="18">
        <f t="shared" si="7"/>
        <v>0</v>
      </c>
      <c r="N21" s="18">
        <f t="shared" si="7"/>
        <v>0</v>
      </c>
      <c r="O21" s="18">
        <f t="shared" si="7"/>
        <v>0</v>
      </c>
      <c r="P21" s="18">
        <f t="shared" si="7"/>
        <v>0</v>
      </c>
      <c r="Q21" s="18">
        <f t="shared" si="7"/>
        <v>0</v>
      </c>
      <c r="R21" s="18">
        <f t="shared" si="7"/>
        <v>0</v>
      </c>
      <c r="S21" s="18">
        <f t="shared" si="7"/>
        <v>0</v>
      </c>
      <c r="T21" s="18">
        <f t="shared" si="7"/>
        <v>0</v>
      </c>
      <c r="U21" s="18">
        <f t="shared" si="7"/>
        <v>0</v>
      </c>
    </row>
    <row r="22" spans="4:21" x14ac:dyDescent="0.25">
      <c r="D22" s="9" t="s">
        <v>26</v>
      </c>
      <c r="E22" s="9" t="s">
        <v>346</v>
      </c>
      <c r="F22" s="9" t="s">
        <v>375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f t="shared" ref="L22:U22" si="8">K22</f>
        <v>0.02</v>
      </c>
      <c r="M22" s="18">
        <f t="shared" si="8"/>
        <v>0.02</v>
      </c>
      <c r="N22" s="18">
        <f t="shared" si="8"/>
        <v>0.02</v>
      </c>
      <c r="O22" s="18">
        <f t="shared" si="8"/>
        <v>0.02</v>
      </c>
      <c r="P22" s="18">
        <f t="shared" si="8"/>
        <v>0.02</v>
      </c>
      <c r="Q22" s="18">
        <f t="shared" si="8"/>
        <v>0.02</v>
      </c>
      <c r="R22" s="18">
        <f t="shared" si="8"/>
        <v>0.02</v>
      </c>
      <c r="S22" s="18">
        <f t="shared" si="8"/>
        <v>0.02</v>
      </c>
      <c r="T22" s="18">
        <f t="shared" si="8"/>
        <v>0.02</v>
      </c>
      <c r="U22" s="18">
        <f t="shared" si="8"/>
        <v>0.02</v>
      </c>
    </row>
    <row r="23" spans="4:21" x14ac:dyDescent="0.25">
      <c r="D23" s="9" t="s">
        <v>26</v>
      </c>
      <c r="E23" s="9" t="s">
        <v>346</v>
      </c>
      <c r="F23" s="9" t="s">
        <v>375</v>
      </c>
      <c r="G23" s="15">
        <v>310</v>
      </c>
      <c r="H23" s="9" t="s">
        <v>85</v>
      </c>
      <c r="I23" s="9" t="s">
        <v>339</v>
      </c>
      <c r="J23" s="9" t="s">
        <v>132</v>
      </c>
      <c r="K23" s="18">
        <v>2.5</v>
      </c>
      <c r="L23" s="18">
        <f t="shared" ref="L23:U23" si="9">K23</f>
        <v>2.5</v>
      </c>
      <c r="M23" s="18">
        <f t="shared" si="9"/>
        <v>2.5</v>
      </c>
      <c r="N23" s="18">
        <f t="shared" si="9"/>
        <v>2.5</v>
      </c>
      <c r="O23" s="18">
        <f t="shared" si="9"/>
        <v>2.5</v>
      </c>
      <c r="P23" s="18">
        <f t="shared" si="9"/>
        <v>2.5</v>
      </c>
      <c r="Q23" s="18">
        <f t="shared" si="9"/>
        <v>2.5</v>
      </c>
      <c r="R23" s="18">
        <f t="shared" si="9"/>
        <v>2.5</v>
      </c>
      <c r="S23" s="18">
        <f t="shared" si="9"/>
        <v>2.5</v>
      </c>
      <c r="T23" s="18">
        <f t="shared" si="9"/>
        <v>2.5</v>
      </c>
      <c r="U23" s="18">
        <f t="shared" si="9"/>
        <v>2.5</v>
      </c>
    </row>
    <row r="24" spans="4:21" x14ac:dyDescent="0.25">
      <c r="D24" s="9" t="s">
        <v>26</v>
      </c>
      <c r="E24" s="9" t="s">
        <v>346</v>
      </c>
      <c r="F24" s="9" t="s">
        <v>375</v>
      </c>
      <c r="G24" s="15">
        <v>310</v>
      </c>
      <c r="H24" s="9" t="s">
        <v>85</v>
      </c>
      <c r="I24" s="9" t="s">
        <v>340</v>
      </c>
      <c r="J24" s="9" t="s">
        <v>341</v>
      </c>
      <c r="K24" s="18">
        <v>20</v>
      </c>
      <c r="L24" s="18">
        <f t="shared" ref="L24:U24" si="10">K24</f>
        <v>20</v>
      </c>
      <c r="M24" s="18">
        <f t="shared" si="10"/>
        <v>20</v>
      </c>
      <c r="N24" s="18">
        <f t="shared" si="10"/>
        <v>20</v>
      </c>
      <c r="O24" s="18">
        <f t="shared" si="10"/>
        <v>20</v>
      </c>
      <c r="P24" s="18">
        <f t="shared" si="10"/>
        <v>20</v>
      </c>
      <c r="Q24" s="18">
        <f t="shared" si="10"/>
        <v>20</v>
      </c>
      <c r="R24" s="18">
        <f t="shared" si="10"/>
        <v>20</v>
      </c>
      <c r="S24" s="18">
        <f t="shared" si="10"/>
        <v>20</v>
      </c>
      <c r="T24" s="18">
        <f t="shared" si="10"/>
        <v>20</v>
      </c>
      <c r="U24" s="18">
        <f t="shared" si="10"/>
        <v>20</v>
      </c>
    </row>
    <row r="25" spans="4:21" x14ac:dyDescent="0.25">
      <c r="D25" s="9" t="s">
        <v>26</v>
      </c>
      <c r="E25" s="9" t="s">
        <v>346</v>
      </c>
      <c r="F25" s="9" t="s">
        <v>375</v>
      </c>
      <c r="G25" s="15">
        <v>310</v>
      </c>
      <c r="H25" s="9" t="s">
        <v>244</v>
      </c>
      <c r="I25" s="9" t="s">
        <v>342</v>
      </c>
      <c r="J25" s="9" t="s">
        <v>57</v>
      </c>
      <c r="K25" s="18">
        <v>0.71</v>
      </c>
      <c r="L25" s="18">
        <f t="shared" ref="L25:U25" si="11">K25</f>
        <v>0.71</v>
      </c>
      <c r="M25" s="18">
        <f t="shared" si="11"/>
        <v>0.71</v>
      </c>
      <c r="N25" s="18">
        <f t="shared" si="11"/>
        <v>0.71</v>
      </c>
      <c r="O25" s="18">
        <f t="shared" si="11"/>
        <v>0.71</v>
      </c>
      <c r="P25" s="18">
        <f t="shared" si="11"/>
        <v>0.71</v>
      </c>
      <c r="Q25" s="18">
        <f t="shared" si="11"/>
        <v>0.71</v>
      </c>
      <c r="R25" s="18">
        <f t="shared" si="11"/>
        <v>0.71</v>
      </c>
      <c r="S25" s="18">
        <f t="shared" si="11"/>
        <v>0.71</v>
      </c>
      <c r="T25" s="18">
        <f t="shared" si="11"/>
        <v>0.71</v>
      </c>
      <c r="U25" s="18">
        <f t="shared" si="11"/>
        <v>0.71</v>
      </c>
    </row>
    <row r="26" spans="4:21" x14ac:dyDescent="0.25">
      <c r="D26" s="9" t="s">
        <v>26</v>
      </c>
      <c r="E26" s="9" t="s">
        <v>346</v>
      </c>
      <c r="F26" s="9" t="s">
        <v>375</v>
      </c>
      <c r="G26" s="15">
        <v>310</v>
      </c>
      <c r="H26" s="9" t="s">
        <v>244</v>
      </c>
      <c r="I26" s="9" t="s">
        <v>388</v>
      </c>
      <c r="J26" s="9" t="s">
        <v>57</v>
      </c>
      <c r="K26" s="18">
        <v>0.44</v>
      </c>
      <c r="L26" s="18">
        <f t="shared" ref="L26:U26" si="12">K26</f>
        <v>0.44</v>
      </c>
      <c r="M26" s="18">
        <f t="shared" si="12"/>
        <v>0.44</v>
      </c>
      <c r="N26" s="18">
        <f t="shared" si="12"/>
        <v>0.44</v>
      </c>
      <c r="O26" s="18">
        <f t="shared" si="12"/>
        <v>0.44</v>
      </c>
      <c r="P26" s="18">
        <f t="shared" si="12"/>
        <v>0.44</v>
      </c>
      <c r="Q26" s="18">
        <f t="shared" si="12"/>
        <v>0.44</v>
      </c>
      <c r="R26" s="18">
        <f t="shared" si="12"/>
        <v>0.44</v>
      </c>
      <c r="S26" s="18">
        <f t="shared" si="12"/>
        <v>0.44</v>
      </c>
      <c r="T26" s="18">
        <f t="shared" si="12"/>
        <v>0.44</v>
      </c>
      <c r="U26" s="18">
        <f t="shared" si="12"/>
        <v>0.44</v>
      </c>
    </row>
    <row r="27" spans="4:21" x14ac:dyDescent="0.25">
      <c r="D27" s="9" t="s">
        <v>26</v>
      </c>
      <c r="E27" s="9" t="s">
        <v>346</v>
      </c>
      <c r="F27" s="9" t="s">
        <v>375</v>
      </c>
      <c r="G27" s="15">
        <v>310</v>
      </c>
      <c r="H27" s="9" t="s">
        <v>244</v>
      </c>
      <c r="I27" s="9" t="s">
        <v>16</v>
      </c>
      <c r="J27" s="9" t="s">
        <v>57</v>
      </c>
      <c r="K27" s="18">
        <v>7.0000000000000007E-2</v>
      </c>
      <c r="L27" s="18">
        <f t="shared" ref="L27:U27" si="13">K27</f>
        <v>7.0000000000000007E-2</v>
      </c>
      <c r="M27" s="18">
        <f t="shared" si="13"/>
        <v>7.0000000000000007E-2</v>
      </c>
      <c r="N27" s="18">
        <f t="shared" si="13"/>
        <v>7.0000000000000007E-2</v>
      </c>
      <c r="O27" s="18">
        <f t="shared" si="13"/>
        <v>7.0000000000000007E-2</v>
      </c>
      <c r="P27" s="18">
        <f t="shared" si="13"/>
        <v>7.0000000000000007E-2</v>
      </c>
      <c r="Q27" s="18">
        <f t="shared" si="13"/>
        <v>7.0000000000000007E-2</v>
      </c>
      <c r="R27" s="18">
        <f t="shared" si="13"/>
        <v>7.0000000000000007E-2</v>
      </c>
      <c r="S27" s="18">
        <f t="shared" si="13"/>
        <v>7.0000000000000007E-2</v>
      </c>
      <c r="T27" s="18">
        <f t="shared" si="13"/>
        <v>7.0000000000000007E-2</v>
      </c>
      <c r="U27" s="18">
        <f t="shared" si="13"/>
        <v>7.0000000000000007E-2</v>
      </c>
    </row>
    <row r="28" spans="4:21" x14ac:dyDescent="0.25">
      <c r="D28" s="9" t="s">
        <v>26</v>
      </c>
      <c r="E28" s="9" t="s">
        <v>346</v>
      </c>
      <c r="F28" s="9" t="s">
        <v>375</v>
      </c>
      <c r="G28" s="15">
        <v>310</v>
      </c>
      <c r="H28" s="9" t="s">
        <v>244</v>
      </c>
      <c r="I28" s="9" t="s">
        <v>13</v>
      </c>
      <c r="J28" s="9" t="s">
        <v>61</v>
      </c>
      <c r="K28" s="18">
        <v>0.44</v>
      </c>
      <c r="L28" s="18">
        <f t="shared" ref="L28:U28" si="14">K28</f>
        <v>0.44</v>
      </c>
      <c r="M28" s="18">
        <f t="shared" si="14"/>
        <v>0.44</v>
      </c>
      <c r="N28" s="18">
        <f t="shared" si="14"/>
        <v>0.44</v>
      </c>
      <c r="O28" s="18">
        <f t="shared" si="14"/>
        <v>0.44</v>
      </c>
      <c r="P28" s="18">
        <f t="shared" si="14"/>
        <v>0.44</v>
      </c>
      <c r="Q28" s="18">
        <f t="shared" si="14"/>
        <v>0.44</v>
      </c>
      <c r="R28" s="18">
        <f t="shared" si="14"/>
        <v>0.44</v>
      </c>
      <c r="S28" s="18">
        <f t="shared" si="14"/>
        <v>0.44</v>
      </c>
      <c r="T28" s="18">
        <f t="shared" si="14"/>
        <v>0.44</v>
      </c>
      <c r="U28" s="18">
        <f t="shared" si="14"/>
        <v>0.44</v>
      </c>
    </row>
    <row r="29" spans="4:21" x14ac:dyDescent="0.25">
      <c r="D29" s="9" t="s">
        <v>26</v>
      </c>
      <c r="E29" s="9" t="s">
        <v>346</v>
      </c>
      <c r="F29" s="9" t="s">
        <v>375</v>
      </c>
      <c r="G29" s="15">
        <v>310</v>
      </c>
      <c r="H29" s="9" t="s">
        <v>244</v>
      </c>
      <c r="I29" s="9" t="s">
        <v>15</v>
      </c>
      <c r="J29" s="9" t="s">
        <v>65</v>
      </c>
      <c r="K29" s="18">
        <v>94</v>
      </c>
      <c r="L29" s="18">
        <f t="shared" ref="L29:U29" si="15">K29</f>
        <v>94</v>
      </c>
      <c r="M29" s="18">
        <f t="shared" si="15"/>
        <v>94</v>
      </c>
      <c r="N29" s="18">
        <f t="shared" si="15"/>
        <v>94</v>
      </c>
      <c r="O29" s="18">
        <f t="shared" si="15"/>
        <v>94</v>
      </c>
      <c r="P29" s="18">
        <f t="shared" si="15"/>
        <v>94</v>
      </c>
      <c r="Q29" s="18">
        <f t="shared" si="15"/>
        <v>94</v>
      </c>
      <c r="R29" s="18">
        <f t="shared" si="15"/>
        <v>94</v>
      </c>
      <c r="S29" s="18">
        <f t="shared" si="15"/>
        <v>94</v>
      </c>
      <c r="T29" s="18">
        <f t="shared" si="15"/>
        <v>94</v>
      </c>
      <c r="U29" s="18">
        <f t="shared" si="15"/>
        <v>94</v>
      </c>
    </row>
    <row r="30" spans="4:21" x14ac:dyDescent="0.25">
      <c r="D30" s="9" t="s">
        <v>26</v>
      </c>
      <c r="E30" s="9" t="s">
        <v>346</v>
      </c>
      <c r="F30" s="9" t="s">
        <v>375</v>
      </c>
      <c r="G30" s="15">
        <v>310</v>
      </c>
      <c r="H30" s="9" t="s">
        <v>244</v>
      </c>
      <c r="I30" s="9" t="s">
        <v>336</v>
      </c>
      <c r="J30" s="9" t="s">
        <v>337</v>
      </c>
      <c r="K30" s="18">
        <v>0</v>
      </c>
      <c r="L30" s="18">
        <f t="shared" ref="L30:U30" si="16">K30</f>
        <v>0</v>
      </c>
      <c r="M30" s="18">
        <f t="shared" si="16"/>
        <v>0</v>
      </c>
      <c r="N30" s="18">
        <f t="shared" si="16"/>
        <v>0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</row>
    <row r="31" spans="4:21" x14ac:dyDescent="0.25">
      <c r="D31" s="9" t="s">
        <v>26</v>
      </c>
      <c r="E31" s="9" t="s">
        <v>346</v>
      </c>
      <c r="F31" s="9" t="s">
        <v>375</v>
      </c>
      <c r="G31" s="15">
        <v>310</v>
      </c>
      <c r="H31" s="9" t="s">
        <v>244</v>
      </c>
      <c r="I31" s="9" t="s">
        <v>32</v>
      </c>
      <c r="J31" s="9" t="s">
        <v>57</v>
      </c>
      <c r="K31" s="18">
        <v>0.03</v>
      </c>
      <c r="L31" s="18">
        <f t="shared" ref="L31:U31" si="17">K31</f>
        <v>0.03</v>
      </c>
      <c r="M31" s="18">
        <f t="shared" si="17"/>
        <v>0.03</v>
      </c>
      <c r="N31" s="18">
        <f t="shared" si="17"/>
        <v>0.03</v>
      </c>
      <c r="O31" s="18">
        <f t="shared" si="17"/>
        <v>0.03</v>
      </c>
      <c r="P31" s="18">
        <f t="shared" si="17"/>
        <v>0.03</v>
      </c>
      <c r="Q31" s="18">
        <f t="shared" si="17"/>
        <v>0.03</v>
      </c>
      <c r="R31" s="18">
        <f t="shared" si="17"/>
        <v>0.03</v>
      </c>
      <c r="S31" s="18">
        <f t="shared" si="17"/>
        <v>0.03</v>
      </c>
      <c r="T31" s="18">
        <f t="shared" si="17"/>
        <v>0.03</v>
      </c>
      <c r="U31" s="18">
        <f t="shared" si="17"/>
        <v>0.03</v>
      </c>
    </row>
    <row r="32" spans="4:21" x14ac:dyDescent="0.25">
      <c r="D32" s="9" t="s">
        <v>26</v>
      </c>
      <c r="E32" s="9" t="s">
        <v>346</v>
      </c>
      <c r="F32" s="9" t="s">
        <v>375</v>
      </c>
      <c r="G32" s="15">
        <v>310</v>
      </c>
      <c r="H32" s="9" t="s">
        <v>244</v>
      </c>
      <c r="I32" s="9" t="s">
        <v>339</v>
      </c>
      <c r="J32" s="9" t="s">
        <v>132</v>
      </c>
      <c r="K32" s="18">
        <v>2.5</v>
      </c>
      <c r="L32" s="18">
        <f t="shared" ref="L32:U32" si="18">K32</f>
        <v>2.5</v>
      </c>
      <c r="M32" s="18">
        <f t="shared" si="18"/>
        <v>2.5</v>
      </c>
      <c r="N32" s="18">
        <f t="shared" si="18"/>
        <v>2.5</v>
      </c>
      <c r="O32" s="18">
        <f t="shared" si="18"/>
        <v>2.5</v>
      </c>
      <c r="P32" s="18">
        <f t="shared" si="18"/>
        <v>2.5</v>
      </c>
      <c r="Q32" s="18">
        <f t="shared" si="18"/>
        <v>2.5</v>
      </c>
      <c r="R32" s="18">
        <f t="shared" si="18"/>
        <v>2.5</v>
      </c>
      <c r="S32" s="18">
        <f t="shared" si="18"/>
        <v>2.5</v>
      </c>
      <c r="T32" s="18">
        <f t="shared" si="18"/>
        <v>2.5</v>
      </c>
      <c r="U32" s="18">
        <f t="shared" si="18"/>
        <v>2.5</v>
      </c>
    </row>
    <row r="33" spans="4:21" x14ac:dyDescent="0.25">
      <c r="D33" s="9" t="s">
        <v>26</v>
      </c>
      <c r="E33" s="9" t="s">
        <v>346</v>
      </c>
      <c r="F33" s="9" t="s">
        <v>375</v>
      </c>
      <c r="G33" s="15">
        <v>310</v>
      </c>
      <c r="H33" s="9" t="s">
        <v>244</v>
      </c>
      <c r="I33" s="9" t="s">
        <v>340</v>
      </c>
      <c r="J33" s="9" t="s">
        <v>341</v>
      </c>
      <c r="K33" s="18">
        <v>20</v>
      </c>
      <c r="L33" s="18">
        <f t="shared" ref="L33:U33" si="19">K33</f>
        <v>20</v>
      </c>
      <c r="M33" s="18">
        <f t="shared" si="19"/>
        <v>20</v>
      </c>
      <c r="N33" s="18">
        <f t="shared" si="19"/>
        <v>20</v>
      </c>
      <c r="O33" s="18">
        <f t="shared" si="19"/>
        <v>20</v>
      </c>
      <c r="P33" s="18">
        <f t="shared" si="19"/>
        <v>20</v>
      </c>
      <c r="Q33" s="18">
        <f t="shared" si="19"/>
        <v>20</v>
      </c>
      <c r="R33" s="18">
        <f t="shared" si="19"/>
        <v>20</v>
      </c>
      <c r="S33" s="18">
        <f t="shared" si="19"/>
        <v>20</v>
      </c>
      <c r="T33" s="18">
        <f t="shared" si="19"/>
        <v>20</v>
      </c>
      <c r="U33" s="18">
        <f t="shared" si="19"/>
        <v>20</v>
      </c>
    </row>
    <row r="34" spans="4:21" x14ac:dyDescent="0.25">
      <c r="D34" s="9" t="s">
        <v>26</v>
      </c>
      <c r="E34" s="9" t="s">
        <v>346</v>
      </c>
      <c r="F34" s="9" t="s">
        <v>375</v>
      </c>
      <c r="G34" s="15">
        <v>1000</v>
      </c>
      <c r="H34" s="9" t="s">
        <v>82</v>
      </c>
      <c r="I34" s="9" t="s">
        <v>343</v>
      </c>
      <c r="J34" s="9" t="s">
        <v>57</v>
      </c>
      <c r="K34" s="18">
        <v>0.23</v>
      </c>
      <c r="L34" s="18">
        <f t="shared" ref="L34:U34" si="20">K34</f>
        <v>0.23</v>
      </c>
      <c r="M34" s="18">
        <f t="shared" si="20"/>
        <v>0.23</v>
      </c>
      <c r="N34" s="18">
        <f t="shared" si="20"/>
        <v>0.23</v>
      </c>
      <c r="O34" s="18">
        <f t="shared" si="20"/>
        <v>0.23</v>
      </c>
      <c r="P34" s="18">
        <f t="shared" si="20"/>
        <v>0.23</v>
      </c>
      <c r="Q34" s="18">
        <f t="shared" si="20"/>
        <v>0.23</v>
      </c>
      <c r="R34" s="18">
        <f t="shared" si="20"/>
        <v>0.23</v>
      </c>
      <c r="S34" s="18">
        <f t="shared" si="20"/>
        <v>0.23</v>
      </c>
      <c r="T34" s="18">
        <f t="shared" si="20"/>
        <v>0.23</v>
      </c>
      <c r="U34" s="18">
        <f t="shared" si="20"/>
        <v>0.23</v>
      </c>
    </row>
    <row r="35" spans="4:21" x14ac:dyDescent="0.25">
      <c r="D35" s="9" t="s">
        <v>26</v>
      </c>
      <c r="E35" s="9" t="s">
        <v>346</v>
      </c>
      <c r="F35" s="9" t="s">
        <v>375</v>
      </c>
      <c r="G35" s="15">
        <v>1000</v>
      </c>
      <c r="H35" s="9" t="s">
        <v>82</v>
      </c>
      <c r="I35" s="9" t="s">
        <v>388</v>
      </c>
      <c r="J35" s="9" t="s">
        <v>57</v>
      </c>
      <c r="K35" s="18">
        <v>0.47699999999999998</v>
      </c>
      <c r="L35" s="18">
        <f t="shared" ref="L35:U35" si="21">K35</f>
        <v>0.47699999999999998</v>
      </c>
      <c r="M35" s="18">
        <f t="shared" si="21"/>
        <v>0.47699999999999998</v>
      </c>
      <c r="N35" s="18">
        <f t="shared" si="21"/>
        <v>0.47699999999999998</v>
      </c>
      <c r="O35" s="18">
        <f t="shared" si="21"/>
        <v>0.47699999999999998</v>
      </c>
      <c r="P35" s="18">
        <f t="shared" si="21"/>
        <v>0.47699999999999998</v>
      </c>
      <c r="Q35" s="18">
        <f t="shared" si="21"/>
        <v>0.47699999999999998</v>
      </c>
      <c r="R35" s="18">
        <f t="shared" si="21"/>
        <v>0.47699999999999998</v>
      </c>
      <c r="S35" s="18">
        <f t="shared" si="21"/>
        <v>0.47699999999999998</v>
      </c>
      <c r="T35" s="18">
        <f t="shared" si="21"/>
        <v>0.47699999999999998</v>
      </c>
      <c r="U35" s="18">
        <f t="shared" si="21"/>
        <v>0.47699999999999998</v>
      </c>
    </row>
    <row r="36" spans="4:21" x14ac:dyDescent="0.25">
      <c r="D36" s="9" t="s">
        <v>26</v>
      </c>
      <c r="E36" s="9" t="s">
        <v>346</v>
      </c>
      <c r="F36" s="9" t="s">
        <v>375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f t="shared" ref="L36:U36" si="22">K36</f>
        <v>3.0000000000000001E-3</v>
      </c>
      <c r="M36" s="18">
        <f t="shared" si="22"/>
        <v>3.0000000000000001E-3</v>
      </c>
      <c r="N36" s="18">
        <f t="shared" si="22"/>
        <v>3.0000000000000001E-3</v>
      </c>
      <c r="O36" s="18">
        <f t="shared" si="22"/>
        <v>3.0000000000000001E-3</v>
      </c>
      <c r="P36" s="18">
        <f t="shared" si="22"/>
        <v>3.0000000000000001E-3</v>
      </c>
      <c r="Q36" s="18">
        <f t="shared" si="22"/>
        <v>3.0000000000000001E-3</v>
      </c>
      <c r="R36" s="18">
        <f t="shared" si="22"/>
        <v>3.0000000000000001E-3</v>
      </c>
      <c r="S36" s="18">
        <f t="shared" si="22"/>
        <v>3.0000000000000001E-3</v>
      </c>
      <c r="T36" s="18">
        <f t="shared" si="22"/>
        <v>3.0000000000000001E-3</v>
      </c>
      <c r="U36" s="18">
        <f t="shared" si="22"/>
        <v>3.0000000000000001E-3</v>
      </c>
    </row>
    <row r="37" spans="4:21" x14ac:dyDescent="0.25">
      <c r="D37" s="9" t="s">
        <v>26</v>
      </c>
      <c r="E37" s="9" t="s">
        <v>346</v>
      </c>
      <c r="F37" s="9" t="s">
        <v>375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f t="shared" ref="L37:U37" si="23">K37</f>
        <v>5.6449999999999998E-3</v>
      </c>
      <c r="M37" s="18">
        <f t="shared" si="23"/>
        <v>5.6449999999999998E-3</v>
      </c>
      <c r="N37" s="18">
        <f t="shared" si="23"/>
        <v>5.6449999999999998E-3</v>
      </c>
      <c r="O37" s="18">
        <f t="shared" si="23"/>
        <v>5.6449999999999998E-3</v>
      </c>
      <c r="P37" s="18">
        <f t="shared" si="23"/>
        <v>5.6449999999999998E-3</v>
      </c>
      <c r="Q37" s="18">
        <f t="shared" si="23"/>
        <v>5.6449999999999998E-3</v>
      </c>
      <c r="R37" s="18">
        <f t="shared" si="23"/>
        <v>5.6449999999999998E-3</v>
      </c>
      <c r="S37" s="18">
        <f t="shared" si="23"/>
        <v>5.6449999999999998E-3</v>
      </c>
      <c r="T37" s="18">
        <f t="shared" si="23"/>
        <v>5.6449999999999998E-3</v>
      </c>
      <c r="U37" s="18">
        <f t="shared" si="23"/>
        <v>5.6449999999999998E-3</v>
      </c>
    </row>
    <row r="38" spans="4:21" x14ac:dyDescent="0.25">
      <c r="D38" s="9" t="s">
        <v>26</v>
      </c>
      <c r="E38" s="9" t="s">
        <v>346</v>
      </c>
      <c r="F38" s="9" t="s">
        <v>375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f t="shared" ref="L38:U38" si="24">K38</f>
        <v>0.36799999999999999</v>
      </c>
      <c r="M38" s="18">
        <f t="shared" si="24"/>
        <v>0.36799999999999999</v>
      </c>
      <c r="N38" s="18">
        <f t="shared" si="24"/>
        <v>0.36799999999999999</v>
      </c>
      <c r="O38" s="18">
        <f t="shared" si="24"/>
        <v>0.36799999999999999</v>
      </c>
      <c r="P38" s="18">
        <f t="shared" si="24"/>
        <v>0.36799999999999999</v>
      </c>
      <c r="Q38" s="18">
        <f t="shared" si="24"/>
        <v>0.36799999999999999</v>
      </c>
      <c r="R38" s="18">
        <f t="shared" si="24"/>
        <v>0.36799999999999999</v>
      </c>
      <c r="S38" s="18">
        <f t="shared" si="24"/>
        <v>0.36799999999999999</v>
      </c>
      <c r="T38" s="18">
        <f t="shared" si="24"/>
        <v>0.36799999999999999</v>
      </c>
      <c r="U38" s="18">
        <f t="shared" si="24"/>
        <v>0.36799999999999999</v>
      </c>
    </row>
    <row r="39" spans="4:21" x14ac:dyDescent="0.25">
      <c r="D39" s="9" t="s">
        <v>26</v>
      </c>
      <c r="E39" s="9" t="s">
        <v>346</v>
      </c>
      <c r="F39" s="9" t="s">
        <v>375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f t="shared" ref="L39:U39" si="25">K39</f>
        <v>40</v>
      </c>
      <c r="M39" s="18">
        <f t="shared" si="25"/>
        <v>40</v>
      </c>
      <c r="N39" s="18">
        <f t="shared" si="25"/>
        <v>40</v>
      </c>
      <c r="O39" s="18">
        <f t="shared" si="25"/>
        <v>40</v>
      </c>
      <c r="P39" s="18">
        <f t="shared" si="25"/>
        <v>40</v>
      </c>
      <c r="Q39" s="18">
        <f t="shared" si="25"/>
        <v>40</v>
      </c>
      <c r="R39" s="18">
        <f t="shared" si="25"/>
        <v>40</v>
      </c>
      <c r="S39" s="18">
        <f t="shared" si="25"/>
        <v>40</v>
      </c>
      <c r="T39" s="18">
        <f t="shared" si="25"/>
        <v>40</v>
      </c>
      <c r="U39" s="18">
        <f t="shared" si="25"/>
        <v>40</v>
      </c>
    </row>
    <row r="40" spans="4:21" x14ac:dyDescent="0.25">
      <c r="D40" s="9" t="s">
        <v>26</v>
      </c>
      <c r="E40" s="9" t="s">
        <v>346</v>
      </c>
      <c r="F40" s="9" t="s">
        <v>375</v>
      </c>
      <c r="G40" s="15">
        <v>1000</v>
      </c>
      <c r="H40" s="9" t="s">
        <v>82</v>
      </c>
      <c r="I40" s="9" t="s">
        <v>336</v>
      </c>
      <c r="J40" s="9" t="s">
        <v>337</v>
      </c>
      <c r="K40" s="18">
        <v>1</v>
      </c>
      <c r="L40" s="18">
        <f t="shared" ref="L40:U40" si="26">K40</f>
        <v>1</v>
      </c>
      <c r="M40" s="18">
        <f t="shared" si="26"/>
        <v>1</v>
      </c>
      <c r="N40" s="18">
        <f t="shared" si="26"/>
        <v>1</v>
      </c>
      <c r="O40" s="18">
        <f t="shared" si="26"/>
        <v>1</v>
      </c>
      <c r="P40" s="18">
        <f t="shared" si="26"/>
        <v>1</v>
      </c>
      <c r="Q40" s="18">
        <f t="shared" si="26"/>
        <v>1</v>
      </c>
      <c r="R40" s="18">
        <f t="shared" si="26"/>
        <v>1</v>
      </c>
      <c r="S40" s="18">
        <f t="shared" si="26"/>
        <v>1</v>
      </c>
      <c r="T40" s="18">
        <f t="shared" si="26"/>
        <v>1</v>
      </c>
      <c r="U40" s="18">
        <f t="shared" si="26"/>
        <v>1</v>
      </c>
    </row>
    <row r="41" spans="4:21" x14ac:dyDescent="0.25">
      <c r="D41" s="9" t="s">
        <v>26</v>
      </c>
      <c r="E41" s="9" t="s">
        <v>346</v>
      </c>
      <c r="F41" s="9" t="s">
        <v>375</v>
      </c>
      <c r="G41" s="15">
        <v>1000</v>
      </c>
      <c r="H41" s="9" t="s">
        <v>82</v>
      </c>
      <c r="I41" s="9" t="s">
        <v>338</v>
      </c>
      <c r="J41" s="9" t="s">
        <v>337</v>
      </c>
      <c r="K41" s="18">
        <v>3</v>
      </c>
      <c r="L41" s="18">
        <f t="shared" ref="L41:U41" si="27">K41</f>
        <v>3</v>
      </c>
      <c r="M41" s="18">
        <f t="shared" si="27"/>
        <v>3</v>
      </c>
      <c r="N41" s="18">
        <f t="shared" si="27"/>
        <v>3</v>
      </c>
      <c r="O41" s="18">
        <f t="shared" si="27"/>
        <v>3</v>
      </c>
      <c r="P41" s="18">
        <f t="shared" si="27"/>
        <v>3</v>
      </c>
      <c r="Q41" s="18">
        <f t="shared" si="27"/>
        <v>3</v>
      </c>
      <c r="R41" s="18">
        <f t="shared" si="27"/>
        <v>3</v>
      </c>
      <c r="S41" s="18">
        <f t="shared" si="27"/>
        <v>3</v>
      </c>
      <c r="T41" s="18">
        <f t="shared" si="27"/>
        <v>3</v>
      </c>
      <c r="U41" s="18">
        <f t="shared" si="27"/>
        <v>3</v>
      </c>
    </row>
    <row r="42" spans="4:21" x14ac:dyDescent="0.25">
      <c r="D42" s="9" t="s">
        <v>26</v>
      </c>
      <c r="E42" s="9" t="s">
        <v>346</v>
      </c>
      <c r="F42" s="9" t="s">
        <v>375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f t="shared" ref="L42:U42" si="28">K42</f>
        <v>2.5000000000000001E-2</v>
      </c>
      <c r="M42" s="18">
        <f t="shared" si="28"/>
        <v>2.5000000000000001E-2</v>
      </c>
      <c r="N42" s="18">
        <f t="shared" si="28"/>
        <v>2.5000000000000001E-2</v>
      </c>
      <c r="O42" s="18">
        <f t="shared" si="28"/>
        <v>2.5000000000000001E-2</v>
      </c>
      <c r="P42" s="18">
        <f t="shared" si="28"/>
        <v>2.5000000000000001E-2</v>
      </c>
      <c r="Q42" s="18">
        <f t="shared" si="28"/>
        <v>2.5000000000000001E-2</v>
      </c>
      <c r="R42" s="18">
        <f t="shared" si="28"/>
        <v>2.5000000000000001E-2</v>
      </c>
      <c r="S42" s="18">
        <f t="shared" si="28"/>
        <v>2.5000000000000001E-2</v>
      </c>
      <c r="T42" s="18">
        <f t="shared" si="28"/>
        <v>2.5000000000000001E-2</v>
      </c>
      <c r="U42" s="18">
        <f t="shared" si="28"/>
        <v>2.5000000000000001E-2</v>
      </c>
    </row>
    <row r="43" spans="4:21" x14ac:dyDescent="0.25">
      <c r="D43" s="9" t="s">
        <v>26</v>
      </c>
      <c r="E43" s="9" t="s">
        <v>346</v>
      </c>
      <c r="F43" s="9" t="s">
        <v>375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f t="shared" ref="L43:U43" si="29">K43</f>
        <v>3.5000000000000003E-2</v>
      </c>
      <c r="M43" s="18">
        <f t="shared" si="29"/>
        <v>3.5000000000000003E-2</v>
      </c>
      <c r="N43" s="18">
        <f t="shared" si="29"/>
        <v>3.5000000000000003E-2</v>
      </c>
      <c r="O43" s="18">
        <f t="shared" si="29"/>
        <v>3.5000000000000003E-2</v>
      </c>
      <c r="P43" s="18">
        <f t="shared" si="29"/>
        <v>3.5000000000000003E-2</v>
      </c>
      <c r="Q43" s="18">
        <f t="shared" si="29"/>
        <v>3.5000000000000003E-2</v>
      </c>
      <c r="R43" s="18">
        <f t="shared" si="29"/>
        <v>3.5000000000000003E-2</v>
      </c>
      <c r="S43" s="18">
        <f t="shared" si="29"/>
        <v>3.5000000000000003E-2</v>
      </c>
      <c r="T43" s="18">
        <f t="shared" si="29"/>
        <v>3.5000000000000003E-2</v>
      </c>
      <c r="U43" s="18">
        <f t="shared" si="29"/>
        <v>3.5000000000000003E-2</v>
      </c>
    </row>
    <row r="44" spans="4:21" x14ac:dyDescent="0.25">
      <c r="D44" s="9" t="s">
        <v>26</v>
      </c>
      <c r="E44" s="9" t="s">
        <v>346</v>
      </c>
      <c r="F44" s="9" t="s">
        <v>375</v>
      </c>
      <c r="G44" s="15">
        <v>1000</v>
      </c>
      <c r="H44" s="9" t="s">
        <v>82</v>
      </c>
      <c r="I44" s="9" t="s">
        <v>339</v>
      </c>
      <c r="J44" s="9" t="s">
        <v>132</v>
      </c>
      <c r="K44" s="18">
        <v>2.5</v>
      </c>
      <c r="L44" s="18">
        <f t="shared" ref="L44:U44" si="30">K44</f>
        <v>2.5</v>
      </c>
      <c r="M44" s="18">
        <f t="shared" si="30"/>
        <v>2.5</v>
      </c>
      <c r="N44" s="18">
        <f t="shared" si="30"/>
        <v>2.5</v>
      </c>
      <c r="O44" s="18">
        <f t="shared" si="30"/>
        <v>2.5</v>
      </c>
      <c r="P44" s="18">
        <f t="shared" si="30"/>
        <v>2.5</v>
      </c>
      <c r="Q44" s="18">
        <f t="shared" si="30"/>
        <v>2.5</v>
      </c>
      <c r="R44" s="18">
        <f t="shared" si="30"/>
        <v>2.5</v>
      </c>
      <c r="S44" s="18">
        <f t="shared" si="30"/>
        <v>2.5</v>
      </c>
      <c r="T44" s="18">
        <f t="shared" si="30"/>
        <v>2.5</v>
      </c>
      <c r="U44" s="18">
        <f t="shared" si="30"/>
        <v>2.5</v>
      </c>
    </row>
    <row r="45" spans="4:21" x14ac:dyDescent="0.25">
      <c r="D45" s="9" t="s">
        <v>26</v>
      </c>
      <c r="E45" s="9" t="s">
        <v>346</v>
      </c>
      <c r="F45" s="9" t="s">
        <v>375</v>
      </c>
      <c r="G45" s="15">
        <v>1000</v>
      </c>
      <c r="H45" s="9" t="s">
        <v>82</v>
      </c>
      <c r="I45" s="9" t="s">
        <v>340</v>
      </c>
      <c r="J45" s="9" t="s">
        <v>341</v>
      </c>
      <c r="K45" s="18">
        <v>50</v>
      </c>
      <c r="L45" s="18">
        <f t="shared" ref="L45:U45" si="31">K45</f>
        <v>50</v>
      </c>
      <c r="M45" s="18">
        <f t="shared" si="31"/>
        <v>50</v>
      </c>
      <c r="N45" s="18">
        <f t="shared" si="31"/>
        <v>50</v>
      </c>
      <c r="O45" s="18">
        <f t="shared" si="31"/>
        <v>50</v>
      </c>
      <c r="P45" s="18">
        <f t="shared" si="31"/>
        <v>50</v>
      </c>
      <c r="Q45" s="18">
        <f t="shared" si="31"/>
        <v>50</v>
      </c>
      <c r="R45" s="18">
        <f t="shared" si="31"/>
        <v>50</v>
      </c>
      <c r="S45" s="18">
        <f t="shared" si="31"/>
        <v>50</v>
      </c>
      <c r="T45" s="18">
        <f t="shared" si="31"/>
        <v>50</v>
      </c>
      <c r="U45" s="18">
        <f t="shared" si="31"/>
        <v>50</v>
      </c>
    </row>
    <row r="46" spans="4:21" x14ac:dyDescent="0.25">
      <c r="D46" s="9" t="s">
        <v>26</v>
      </c>
      <c r="E46" s="9" t="s">
        <v>346</v>
      </c>
      <c r="F46" s="9" t="s">
        <v>375</v>
      </c>
      <c r="G46" s="15">
        <v>1000</v>
      </c>
      <c r="H46" s="9" t="s">
        <v>81</v>
      </c>
      <c r="I46" s="9" t="s">
        <v>343</v>
      </c>
      <c r="J46" s="9" t="s">
        <v>57</v>
      </c>
      <c r="K46" s="18">
        <v>0.14000000000000001</v>
      </c>
      <c r="L46" s="18">
        <f t="shared" ref="L46:U46" si="32">K46</f>
        <v>0.14000000000000001</v>
      </c>
      <c r="M46" s="18">
        <f t="shared" si="32"/>
        <v>0.14000000000000001</v>
      </c>
      <c r="N46" s="18">
        <f t="shared" si="32"/>
        <v>0.14000000000000001</v>
      </c>
      <c r="O46" s="18">
        <f t="shared" si="32"/>
        <v>0.14000000000000001</v>
      </c>
      <c r="P46" s="18">
        <f t="shared" si="32"/>
        <v>0.14000000000000001</v>
      </c>
      <c r="Q46" s="18">
        <f t="shared" si="32"/>
        <v>0.14000000000000001</v>
      </c>
      <c r="R46" s="18">
        <f t="shared" si="32"/>
        <v>0.14000000000000001</v>
      </c>
      <c r="S46" s="18">
        <f t="shared" si="32"/>
        <v>0.14000000000000001</v>
      </c>
      <c r="T46" s="18">
        <f t="shared" si="32"/>
        <v>0.14000000000000001</v>
      </c>
      <c r="U46" s="18">
        <f t="shared" si="32"/>
        <v>0.14000000000000001</v>
      </c>
    </row>
    <row r="47" spans="4:21" x14ac:dyDescent="0.25">
      <c r="D47" s="9" t="s">
        <v>26</v>
      </c>
      <c r="E47" s="9" t="s">
        <v>346</v>
      </c>
      <c r="F47" s="9" t="s">
        <v>375</v>
      </c>
      <c r="G47" s="15">
        <v>1000</v>
      </c>
      <c r="H47" s="9" t="s">
        <v>81</v>
      </c>
      <c r="I47" s="9" t="s">
        <v>388</v>
      </c>
      <c r="J47" s="9" t="s">
        <v>57</v>
      </c>
      <c r="K47" s="18">
        <v>0.54100000000000004</v>
      </c>
      <c r="L47" s="18">
        <f t="shared" ref="L47:U47" si="33">K47</f>
        <v>0.54100000000000004</v>
      </c>
      <c r="M47" s="18">
        <f t="shared" si="33"/>
        <v>0.54100000000000004</v>
      </c>
      <c r="N47" s="18">
        <f t="shared" si="33"/>
        <v>0.54100000000000004</v>
      </c>
      <c r="O47" s="18">
        <f t="shared" si="33"/>
        <v>0.54100000000000004</v>
      </c>
      <c r="P47" s="18">
        <f t="shared" si="33"/>
        <v>0.54100000000000004</v>
      </c>
      <c r="Q47" s="18">
        <f t="shared" si="33"/>
        <v>0.54100000000000004</v>
      </c>
      <c r="R47" s="18">
        <f t="shared" si="33"/>
        <v>0.54100000000000004</v>
      </c>
      <c r="S47" s="18">
        <f t="shared" si="33"/>
        <v>0.54100000000000004</v>
      </c>
      <c r="T47" s="18">
        <f t="shared" si="33"/>
        <v>0.54100000000000004</v>
      </c>
      <c r="U47" s="18">
        <f t="shared" si="33"/>
        <v>0.54100000000000004</v>
      </c>
    </row>
    <row r="48" spans="4:21" x14ac:dyDescent="0.25">
      <c r="D48" s="9" t="s">
        <v>26</v>
      </c>
      <c r="E48" s="9" t="s">
        <v>346</v>
      </c>
      <c r="F48" s="9" t="s">
        <v>375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f t="shared" ref="L48:U48" si="34">K48</f>
        <v>8.9999999999999993E-3</v>
      </c>
      <c r="M48" s="18">
        <f t="shared" si="34"/>
        <v>8.9999999999999993E-3</v>
      </c>
      <c r="N48" s="18">
        <f t="shared" si="34"/>
        <v>8.9999999999999993E-3</v>
      </c>
      <c r="O48" s="18">
        <f t="shared" si="34"/>
        <v>8.9999999999999993E-3</v>
      </c>
      <c r="P48" s="18">
        <f t="shared" si="34"/>
        <v>8.9999999999999993E-3</v>
      </c>
      <c r="Q48" s="18">
        <f t="shared" si="34"/>
        <v>8.9999999999999993E-3</v>
      </c>
      <c r="R48" s="18">
        <f t="shared" si="34"/>
        <v>8.9999999999999993E-3</v>
      </c>
      <c r="S48" s="18">
        <f t="shared" si="34"/>
        <v>8.9999999999999993E-3</v>
      </c>
      <c r="T48" s="18">
        <f t="shared" si="34"/>
        <v>8.9999999999999993E-3</v>
      </c>
      <c r="U48" s="18">
        <f t="shared" si="34"/>
        <v>8.9999999999999993E-3</v>
      </c>
    </row>
    <row r="49" spans="4:21" x14ac:dyDescent="0.25">
      <c r="D49" s="9" t="s">
        <v>26</v>
      </c>
      <c r="E49" s="9" t="s">
        <v>346</v>
      </c>
      <c r="F49" s="9" t="s">
        <v>375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f t="shared" ref="L49:U49" si="35">K49</f>
        <v>5.8799999999999998E-3</v>
      </c>
      <c r="M49" s="18">
        <f t="shared" si="35"/>
        <v>5.8799999999999998E-3</v>
      </c>
      <c r="N49" s="18">
        <f t="shared" si="35"/>
        <v>5.8799999999999998E-3</v>
      </c>
      <c r="O49" s="18">
        <f t="shared" si="35"/>
        <v>5.8799999999999998E-3</v>
      </c>
      <c r="P49" s="18">
        <f t="shared" si="35"/>
        <v>5.8799999999999998E-3</v>
      </c>
      <c r="Q49" s="18">
        <f t="shared" si="35"/>
        <v>5.8799999999999998E-3</v>
      </c>
      <c r="R49" s="18">
        <f t="shared" si="35"/>
        <v>5.8799999999999998E-3</v>
      </c>
      <c r="S49" s="18">
        <f t="shared" si="35"/>
        <v>5.8799999999999998E-3</v>
      </c>
      <c r="T49" s="18">
        <f t="shared" si="35"/>
        <v>5.8799999999999998E-3</v>
      </c>
      <c r="U49" s="18">
        <f t="shared" si="35"/>
        <v>5.8799999999999998E-3</v>
      </c>
    </row>
    <row r="50" spans="4:21" x14ac:dyDescent="0.25">
      <c r="D50" s="9" t="s">
        <v>26</v>
      </c>
      <c r="E50" s="9" t="s">
        <v>346</v>
      </c>
      <c r="F50" s="9" t="s">
        <v>375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f t="shared" ref="L50:U50" si="36">K50</f>
        <v>0.21999999999999997</v>
      </c>
      <c r="M50" s="18">
        <f t="shared" si="36"/>
        <v>0.21999999999999997</v>
      </c>
      <c r="N50" s="18">
        <f t="shared" si="36"/>
        <v>0.21999999999999997</v>
      </c>
      <c r="O50" s="18">
        <f t="shared" si="36"/>
        <v>0.21999999999999997</v>
      </c>
      <c r="P50" s="18">
        <f t="shared" si="36"/>
        <v>0.21999999999999997</v>
      </c>
      <c r="Q50" s="18">
        <f t="shared" si="36"/>
        <v>0.21999999999999997</v>
      </c>
      <c r="R50" s="18">
        <f t="shared" si="36"/>
        <v>0.21999999999999997</v>
      </c>
      <c r="S50" s="18">
        <f t="shared" si="36"/>
        <v>0.21999999999999997</v>
      </c>
      <c r="T50" s="18">
        <f t="shared" si="36"/>
        <v>0.21999999999999997</v>
      </c>
      <c r="U50" s="18">
        <f t="shared" si="36"/>
        <v>0.21999999999999997</v>
      </c>
    </row>
    <row r="51" spans="4:21" x14ac:dyDescent="0.25">
      <c r="D51" s="9" t="s">
        <v>26</v>
      </c>
      <c r="E51" s="9" t="s">
        <v>346</v>
      </c>
      <c r="F51" s="9" t="s">
        <v>375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f t="shared" ref="L51:U51" si="37">K51</f>
        <v>40</v>
      </c>
      <c r="M51" s="18">
        <f t="shared" si="37"/>
        <v>40</v>
      </c>
      <c r="N51" s="18">
        <f t="shared" si="37"/>
        <v>40</v>
      </c>
      <c r="O51" s="18">
        <f t="shared" si="37"/>
        <v>40</v>
      </c>
      <c r="P51" s="18">
        <f t="shared" si="37"/>
        <v>40</v>
      </c>
      <c r="Q51" s="18">
        <f t="shared" si="37"/>
        <v>40</v>
      </c>
      <c r="R51" s="18">
        <f t="shared" si="37"/>
        <v>40</v>
      </c>
      <c r="S51" s="18">
        <f t="shared" si="37"/>
        <v>40</v>
      </c>
      <c r="T51" s="18">
        <f t="shared" si="37"/>
        <v>40</v>
      </c>
      <c r="U51" s="18">
        <f t="shared" si="37"/>
        <v>40</v>
      </c>
    </row>
    <row r="52" spans="4:21" x14ac:dyDescent="0.25">
      <c r="D52" s="9" t="s">
        <v>26</v>
      </c>
      <c r="E52" s="9" t="s">
        <v>346</v>
      </c>
      <c r="F52" s="9" t="s">
        <v>375</v>
      </c>
      <c r="G52" s="9">
        <v>1000</v>
      </c>
      <c r="H52" s="9" t="s">
        <v>81</v>
      </c>
      <c r="I52" s="9" t="s">
        <v>336</v>
      </c>
      <c r="J52" s="9" t="s">
        <v>337</v>
      </c>
      <c r="K52" s="18">
        <v>1</v>
      </c>
      <c r="L52" s="18">
        <f t="shared" ref="L52:U52" si="38">K52</f>
        <v>1</v>
      </c>
      <c r="M52" s="18">
        <f t="shared" si="38"/>
        <v>1</v>
      </c>
      <c r="N52" s="18">
        <f t="shared" si="38"/>
        <v>1</v>
      </c>
      <c r="O52" s="18">
        <f t="shared" si="38"/>
        <v>1</v>
      </c>
      <c r="P52" s="18">
        <f t="shared" si="38"/>
        <v>1</v>
      </c>
      <c r="Q52" s="18">
        <f t="shared" si="38"/>
        <v>1</v>
      </c>
      <c r="R52" s="18">
        <f t="shared" si="38"/>
        <v>1</v>
      </c>
      <c r="S52" s="18">
        <f t="shared" si="38"/>
        <v>1</v>
      </c>
      <c r="T52" s="18">
        <f t="shared" si="38"/>
        <v>1</v>
      </c>
      <c r="U52" s="18">
        <f t="shared" si="38"/>
        <v>1</v>
      </c>
    </row>
    <row r="53" spans="4:21" x14ac:dyDescent="0.25">
      <c r="D53" s="9" t="s">
        <v>26</v>
      </c>
      <c r="E53" s="9" t="s">
        <v>346</v>
      </c>
      <c r="F53" s="9" t="s">
        <v>375</v>
      </c>
      <c r="G53" s="9">
        <v>1000</v>
      </c>
      <c r="H53" s="9" t="s">
        <v>81</v>
      </c>
      <c r="I53" s="9" t="s">
        <v>338</v>
      </c>
      <c r="J53" s="9" t="s">
        <v>337</v>
      </c>
      <c r="K53" s="18">
        <v>3</v>
      </c>
      <c r="L53" s="18">
        <f t="shared" ref="L53:U53" si="39">K53</f>
        <v>3</v>
      </c>
      <c r="M53" s="18">
        <f t="shared" si="39"/>
        <v>3</v>
      </c>
      <c r="N53" s="18">
        <f t="shared" si="39"/>
        <v>3</v>
      </c>
      <c r="O53" s="18">
        <f t="shared" si="39"/>
        <v>3</v>
      </c>
      <c r="P53" s="18">
        <f t="shared" si="39"/>
        <v>3</v>
      </c>
      <c r="Q53" s="18">
        <f t="shared" si="39"/>
        <v>3</v>
      </c>
      <c r="R53" s="18">
        <f t="shared" si="39"/>
        <v>3</v>
      </c>
      <c r="S53" s="18">
        <f t="shared" si="39"/>
        <v>3</v>
      </c>
      <c r="T53" s="18">
        <f t="shared" si="39"/>
        <v>3</v>
      </c>
      <c r="U53" s="18">
        <f t="shared" si="39"/>
        <v>3</v>
      </c>
    </row>
    <row r="54" spans="4:21" x14ac:dyDescent="0.25">
      <c r="D54" s="9" t="s">
        <v>26</v>
      </c>
      <c r="E54" s="9" t="s">
        <v>346</v>
      </c>
      <c r="F54" s="9" t="s">
        <v>375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f t="shared" ref="L54:U54" si="40">K54</f>
        <v>2.5000000000000001E-2</v>
      </c>
      <c r="M54" s="18">
        <f t="shared" si="40"/>
        <v>2.5000000000000001E-2</v>
      </c>
      <c r="N54" s="18">
        <f t="shared" si="40"/>
        <v>2.5000000000000001E-2</v>
      </c>
      <c r="O54" s="18">
        <f t="shared" si="40"/>
        <v>2.5000000000000001E-2</v>
      </c>
      <c r="P54" s="18">
        <f t="shared" si="40"/>
        <v>2.5000000000000001E-2</v>
      </c>
      <c r="Q54" s="18">
        <f t="shared" si="40"/>
        <v>2.5000000000000001E-2</v>
      </c>
      <c r="R54" s="18">
        <f t="shared" si="40"/>
        <v>2.5000000000000001E-2</v>
      </c>
      <c r="S54" s="18">
        <f t="shared" si="40"/>
        <v>2.5000000000000001E-2</v>
      </c>
      <c r="T54" s="18">
        <f t="shared" si="40"/>
        <v>2.5000000000000001E-2</v>
      </c>
      <c r="U54" s="18">
        <f t="shared" si="40"/>
        <v>2.5000000000000001E-2</v>
      </c>
    </row>
    <row r="55" spans="4:21" x14ac:dyDescent="0.25">
      <c r="D55" s="9" t="s">
        <v>26</v>
      </c>
      <c r="E55" s="9" t="s">
        <v>346</v>
      </c>
      <c r="F55" s="9" t="s">
        <v>375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f t="shared" ref="L55:U55" si="41">K55</f>
        <v>3.5000000000000003E-2</v>
      </c>
      <c r="M55" s="18">
        <f t="shared" si="41"/>
        <v>3.5000000000000003E-2</v>
      </c>
      <c r="N55" s="18">
        <f t="shared" si="41"/>
        <v>3.5000000000000003E-2</v>
      </c>
      <c r="O55" s="18">
        <f t="shared" si="41"/>
        <v>3.5000000000000003E-2</v>
      </c>
      <c r="P55" s="18">
        <f t="shared" si="41"/>
        <v>3.5000000000000003E-2</v>
      </c>
      <c r="Q55" s="18">
        <f t="shared" si="41"/>
        <v>3.5000000000000003E-2</v>
      </c>
      <c r="R55" s="18">
        <f t="shared" si="41"/>
        <v>3.5000000000000003E-2</v>
      </c>
      <c r="S55" s="18">
        <f t="shared" si="41"/>
        <v>3.5000000000000003E-2</v>
      </c>
      <c r="T55" s="18">
        <f t="shared" si="41"/>
        <v>3.5000000000000003E-2</v>
      </c>
      <c r="U55" s="18">
        <f t="shared" si="41"/>
        <v>3.5000000000000003E-2</v>
      </c>
    </row>
    <row r="56" spans="4:21" x14ac:dyDescent="0.25">
      <c r="D56" s="9" t="s">
        <v>26</v>
      </c>
      <c r="E56" s="9" t="s">
        <v>346</v>
      </c>
      <c r="F56" s="9" t="s">
        <v>375</v>
      </c>
      <c r="G56" s="9">
        <v>1000</v>
      </c>
      <c r="H56" s="9" t="s">
        <v>81</v>
      </c>
      <c r="I56" s="9" t="s">
        <v>339</v>
      </c>
      <c r="J56" s="9" t="s">
        <v>132</v>
      </c>
      <c r="K56" s="18">
        <v>2.5</v>
      </c>
      <c r="L56" s="18">
        <f t="shared" ref="L56:U56" si="42">K56</f>
        <v>2.5</v>
      </c>
      <c r="M56" s="18">
        <f t="shared" si="42"/>
        <v>2.5</v>
      </c>
      <c r="N56" s="18">
        <f t="shared" si="42"/>
        <v>2.5</v>
      </c>
      <c r="O56" s="18">
        <f t="shared" si="42"/>
        <v>2.5</v>
      </c>
      <c r="P56" s="18">
        <f t="shared" si="42"/>
        <v>2.5</v>
      </c>
      <c r="Q56" s="18">
        <f t="shared" si="42"/>
        <v>2.5</v>
      </c>
      <c r="R56" s="18">
        <f t="shared" si="42"/>
        <v>2.5</v>
      </c>
      <c r="S56" s="18">
        <f t="shared" si="42"/>
        <v>2.5</v>
      </c>
      <c r="T56" s="18">
        <f t="shared" si="42"/>
        <v>2.5</v>
      </c>
      <c r="U56" s="18">
        <f t="shared" si="42"/>
        <v>2.5</v>
      </c>
    </row>
    <row r="57" spans="4:21" x14ac:dyDescent="0.25">
      <c r="D57" s="9" t="s">
        <v>26</v>
      </c>
      <c r="E57" s="9" t="s">
        <v>346</v>
      </c>
      <c r="F57" s="9" t="s">
        <v>375</v>
      </c>
      <c r="G57" s="9">
        <v>1000</v>
      </c>
      <c r="H57" s="9" t="s">
        <v>81</v>
      </c>
      <c r="I57" s="9" t="s">
        <v>340</v>
      </c>
      <c r="J57" s="9" t="s">
        <v>341</v>
      </c>
      <c r="K57" s="18">
        <v>50</v>
      </c>
      <c r="L57" s="18">
        <f t="shared" ref="L57:U57" si="43">K57</f>
        <v>50</v>
      </c>
      <c r="M57" s="18">
        <f t="shared" si="43"/>
        <v>50</v>
      </c>
      <c r="N57" s="18">
        <f t="shared" si="43"/>
        <v>50</v>
      </c>
      <c r="O57" s="18">
        <f t="shared" si="43"/>
        <v>50</v>
      </c>
      <c r="P57" s="18">
        <f t="shared" si="43"/>
        <v>50</v>
      </c>
      <c r="Q57" s="18">
        <f t="shared" si="43"/>
        <v>50</v>
      </c>
      <c r="R57" s="18">
        <f t="shared" si="43"/>
        <v>50</v>
      </c>
      <c r="S57" s="18">
        <f t="shared" si="43"/>
        <v>50</v>
      </c>
      <c r="T57" s="18">
        <f t="shared" si="43"/>
        <v>50</v>
      </c>
      <c r="U57" s="18">
        <f t="shared" si="43"/>
        <v>50</v>
      </c>
    </row>
    <row r="58" spans="4:21" x14ac:dyDescent="0.25">
      <c r="D58" s="9" t="s">
        <v>26</v>
      </c>
      <c r="E58" s="9" t="s">
        <v>346</v>
      </c>
      <c r="F58" s="9" t="s">
        <v>375</v>
      </c>
      <c r="G58" s="9">
        <v>1000</v>
      </c>
      <c r="H58" s="9" t="s">
        <v>83</v>
      </c>
      <c r="I58" s="9" t="s">
        <v>343</v>
      </c>
      <c r="J58" s="9" t="s">
        <v>57</v>
      </c>
      <c r="K58" s="18">
        <v>0.187</v>
      </c>
      <c r="L58" s="18">
        <f t="shared" ref="L58:U58" si="44">K58</f>
        <v>0.187</v>
      </c>
      <c r="M58" s="18">
        <f t="shared" si="44"/>
        <v>0.187</v>
      </c>
      <c r="N58" s="18">
        <f t="shared" si="44"/>
        <v>0.187</v>
      </c>
      <c r="O58" s="18">
        <f t="shared" si="44"/>
        <v>0.187</v>
      </c>
      <c r="P58" s="18">
        <f t="shared" si="44"/>
        <v>0.187</v>
      </c>
      <c r="Q58" s="18">
        <f t="shared" si="44"/>
        <v>0.187</v>
      </c>
      <c r="R58" s="18">
        <f t="shared" si="44"/>
        <v>0.187</v>
      </c>
      <c r="S58" s="18">
        <f t="shared" si="44"/>
        <v>0.187</v>
      </c>
      <c r="T58" s="18">
        <f t="shared" si="44"/>
        <v>0.187</v>
      </c>
      <c r="U58" s="18">
        <f t="shared" si="44"/>
        <v>0.187</v>
      </c>
    </row>
    <row r="59" spans="4:21" x14ac:dyDescent="0.25">
      <c r="D59" s="9" t="s">
        <v>26</v>
      </c>
      <c r="E59" s="9" t="s">
        <v>346</v>
      </c>
      <c r="F59" s="9" t="s">
        <v>375</v>
      </c>
      <c r="G59" s="9">
        <v>1000</v>
      </c>
      <c r="H59" s="9" t="s">
        <v>83</v>
      </c>
      <c r="I59" s="9" t="s">
        <v>388</v>
      </c>
      <c r="J59" s="9" t="s">
        <v>57</v>
      </c>
      <c r="K59" s="18">
        <v>0.19400000000000001</v>
      </c>
      <c r="L59" s="18">
        <f t="shared" ref="L59:U59" si="45">K59</f>
        <v>0.19400000000000001</v>
      </c>
      <c r="M59" s="18">
        <f t="shared" si="45"/>
        <v>0.19400000000000001</v>
      </c>
      <c r="N59" s="18">
        <f t="shared" si="45"/>
        <v>0.19400000000000001</v>
      </c>
      <c r="O59" s="18">
        <f t="shared" si="45"/>
        <v>0.19400000000000001</v>
      </c>
      <c r="P59" s="18">
        <f t="shared" si="45"/>
        <v>0.19400000000000001</v>
      </c>
      <c r="Q59" s="18">
        <f t="shared" si="45"/>
        <v>0.19400000000000001</v>
      </c>
      <c r="R59" s="18">
        <f t="shared" si="45"/>
        <v>0.19400000000000001</v>
      </c>
      <c r="S59" s="18">
        <f t="shared" si="45"/>
        <v>0.19400000000000001</v>
      </c>
      <c r="T59" s="18">
        <f t="shared" si="45"/>
        <v>0.19400000000000001</v>
      </c>
      <c r="U59" s="18">
        <f t="shared" si="45"/>
        <v>0.19400000000000001</v>
      </c>
    </row>
    <row r="60" spans="4:21" x14ac:dyDescent="0.25">
      <c r="D60" s="9" t="s">
        <v>26</v>
      </c>
      <c r="E60" s="9" t="s">
        <v>346</v>
      </c>
      <c r="F60" s="9" t="s">
        <v>375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f t="shared" ref="L60:U60" si="46">K60</f>
        <v>0.30599999999999999</v>
      </c>
      <c r="M60" s="18">
        <f t="shared" si="46"/>
        <v>0.30599999999999999</v>
      </c>
      <c r="N60" s="18">
        <f t="shared" si="46"/>
        <v>0.30599999999999999</v>
      </c>
      <c r="O60" s="18">
        <f t="shared" si="46"/>
        <v>0.30599999999999999</v>
      </c>
      <c r="P60" s="18">
        <f t="shared" si="46"/>
        <v>0.30599999999999999</v>
      </c>
      <c r="Q60" s="18">
        <f t="shared" si="46"/>
        <v>0.30599999999999999</v>
      </c>
      <c r="R60" s="18">
        <f t="shared" si="46"/>
        <v>0.30599999999999999</v>
      </c>
      <c r="S60" s="18">
        <f t="shared" si="46"/>
        <v>0.30599999999999999</v>
      </c>
      <c r="T60" s="18">
        <f t="shared" si="46"/>
        <v>0.30599999999999999</v>
      </c>
      <c r="U60" s="18">
        <f t="shared" si="46"/>
        <v>0.30599999999999999</v>
      </c>
    </row>
    <row r="61" spans="4:21" x14ac:dyDescent="0.25">
      <c r="D61" s="9" t="s">
        <v>26</v>
      </c>
      <c r="E61" s="9" t="s">
        <v>346</v>
      </c>
      <c r="F61" s="9" t="s">
        <v>375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f t="shared" ref="L61:U61" si="47">K61</f>
        <v>1.0137E-2</v>
      </c>
      <c r="M61" s="18">
        <f t="shared" si="47"/>
        <v>1.0137E-2</v>
      </c>
      <c r="N61" s="18">
        <f t="shared" si="47"/>
        <v>1.0137E-2</v>
      </c>
      <c r="O61" s="18">
        <f t="shared" si="47"/>
        <v>1.0137E-2</v>
      </c>
      <c r="P61" s="18">
        <f t="shared" si="47"/>
        <v>1.0137E-2</v>
      </c>
      <c r="Q61" s="18">
        <f t="shared" si="47"/>
        <v>1.0137E-2</v>
      </c>
      <c r="R61" s="18">
        <f t="shared" si="47"/>
        <v>1.0137E-2</v>
      </c>
      <c r="S61" s="18">
        <f t="shared" si="47"/>
        <v>1.0137E-2</v>
      </c>
      <c r="T61" s="18">
        <f t="shared" si="47"/>
        <v>1.0137E-2</v>
      </c>
      <c r="U61" s="18">
        <f t="shared" si="47"/>
        <v>1.0137E-2</v>
      </c>
    </row>
    <row r="62" spans="4:21" x14ac:dyDescent="0.25">
      <c r="D62" s="9" t="s">
        <v>26</v>
      </c>
      <c r="E62" s="9" t="s">
        <v>346</v>
      </c>
      <c r="F62" s="9" t="s">
        <v>375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f t="shared" ref="L62:U62" si="48">K62</f>
        <v>0.2</v>
      </c>
      <c r="M62" s="18">
        <f t="shared" si="48"/>
        <v>0.2</v>
      </c>
      <c r="N62" s="18">
        <f t="shared" si="48"/>
        <v>0.2</v>
      </c>
      <c r="O62" s="18">
        <f t="shared" si="48"/>
        <v>0.2</v>
      </c>
      <c r="P62" s="18">
        <f t="shared" si="48"/>
        <v>0.2</v>
      </c>
      <c r="Q62" s="18">
        <f t="shared" si="48"/>
        <v>0.2</v>
      </c>
      <c r="R62" s="18">
        <f t="shared" si="48"/>
        <v>0.2</v>
      </c>
      <c r="S62" s="18">
        <f t="shared" si="48"/>
        <v>0.2</v>
      </c>
      <c r="T62" s="18">
        <f t="shared" si="48"/>
        <v>0.2</v>
      </c>
      <c r="U62" s="18">
        <f t="shared" si="48"/>
        <v>0.2</v>
      </c>
    </row>
    <row r="63" spans="4:21" x14ac:dyDescent="0.25">
      <c r="D63" s="9" t="s">
        <v>26</v>
      </c>
      <c r="E63" s="9" t="s">
        <v>346</v>
      </c>
      <c r="F63" s="9" t="s">
        <v>375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f t="shared" ref="L63:U63" si="49">K63</f>
        <v>40</v>
      </c>
      <c r="M63" s="18">
        <f t="shared" si="49"/>
        <v>40</v>
      </c>
      <c r="N63" s="18">
        <f t="shared" si="49"/>
        <v>40</v>
      </c>
      <c r="O63" s="18">
        <f t="shared" si="49"/>
        <v>40</v>
      </c>
      <c r="P63" s="18">
        <f t="shared" si="49"/>
        <v>40</v>
      </c>
      <c r="Q63" s="18">
        <f t="shared" si="49"/>
        <v>40</v>
      </c>
      <c r="R63" s="18">
        <f t="shared" si="49"/>
        <v>40</v>
      </c>
      <c r="S63" s="18">
        <f t="shared" si="49"/>
        <v>40</v>
      </c>
      <c r="T63" s="18">
        <f t="shared" si="49"/>
        <v>40</v>
      </c>
      <c r="U63" s="18">
        <f t="shared" si="49"/>
        <v>40</v>
      </c>
    </row>
    <row r="64" spans="4:21" x14ac:dyDescent="0.25">
      <c r="D64" s="9" t="s">
        <v>26</v>
      </c>
      <c r="E64" s="9" t="s">
        <v>346</v>
      </c>
      <c r="F64" s="9" t="s">
        <v>375</v>
      </c>
      <c r="G64" s="9">
        <v>1000</v>
      </c>
      <c r="H64" s="9" t="s">
        <v>83</v>
      </c>
      <c r="I64" s="9" t="s">
        <v>336</v>
      </c>
      <c r="J64" s="9" t="s">
        <v>337</v>
      </c>
      <c r="K64" s="18">
        <v>1</v>
      </c>
      <c r="L64" s="18">
        <f t="shared" ref="L64:U64" si="50">K64</f>
        <v>1</v>
      </c>
      <c r="M64" s="18">
        <f t="shared" si="50"/>
        <v>1</v>
      </c>
      <c r="N64" s="18">
        <f t="shared" si="50"/>
        <v>1</v>
      </c>
      <c r="O64" s="18">
        <f t="shared" si="50"/>
        <v>1</v>
      </c>
      <c r="P64" s="18">
        <f t="shared" si="50"/>
        <v>1</v>
      </c>
      <c r="Q64" s="18">
        <f t="shared" si="50"/>
        <v>1</v>
      </c>
      <c r="R64" s="18">
        <f t="shared" si="50"/>
        <v>1</v>
      </c>
      <c r="S64" s="18">
        <f t="shared" si="50"/>
        <v>1</v>
      </c>
      <c r="T64" s="18">
        <f t="shared" si="50"/>
        <v>1</v>
      </c>
      <c r="U64" s="18">
        <f t="shared" si="50"/>
        <v>1</v>
      </c>
    </row>
    <row r="65" spans="4:21" x14ac:dyDescent="0.25">
      <c r="D65" s="9" t="s">
        <v>26</v>
      </c>
      <c r="E65" s="9" t="s">
        <v>346</v>
      </c>
      <c r="F65" s="9" t="s">
        <v>375</v>
      </c>
      <c r="G65" s="9">
        <v>1000</v>
      </c>
      <c r="H65" s="9" t="s">
        <v>83</v>
      </c>
      <c r="I65" s="9" t="s">
        <v>338</v>
      </c>
      <c r="J65" s="9" t="s">
        <v>337</v>
      </c>
      <c r="K65" s="18">
        <v>3</v>
      </c>
      <c r="L65" s="18">
        <f t="shared" ref="L65:U65" si="51">K65</f>
        <v>3</v>
      </c>
      <c r="M65" s="18">
        <f t="shared" si="51"/>
        <v>3</v>
      </c>
      <c r="N65" s="18">
        <f t="shared" si="51"/>
        <v>3</v>
      </c>
      <c r="O65" s="18">
        <f t="shared" si="51"/>
        <v>3</v>
      </c>
      <c r="P65" s="18">
        <f t="shared" si="51"/>
        <v>3</v>
      </c>
      <c r="Q65" s="18">
        <f t="shared" si="51"/>
        <v>3</v>
      </c>
      <c r="R65" s="18">
        <f t="shared" si="51"/>
        <v>3</v>
      </c>
      <c r="S65" s="18">
        <f t="shared" si="51"/>
        <v>3</v>
      </c>
      <c r="T65" s="18">
        <f t="shared" si="51"/>
        <v>3</v>
      </c>
      <c r="U65" s="18">
        <f t="shared" si="51"/>
        <v>3</v>
      </c>
    </row>
    <row r="66" spans="4:21" x14ac:dyDescent="0.25">
      <c r="D66" s="9" t="s">
        <v>26</v>
      </c>
      <c r="E66" s="9" t="s">
        <v>346</v>
      </c>
      <c r="F66" s="9" t="s">
        <v>375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f t="shared" ref="L66:U66" si="52">K66</f>
        <v>2.5000000000000001E-2</v>
      </c>
      <c r="M66" s="18">
        <f t="shared" si="52"/>
        <v>2.5000000000000001E-2</v>
      </c>
      <c r="N66" s="18">
        <f t="shared" si="52"/>
        <v>2.5000000000000001E-2</v>
      </c>
      <c r="O66" s="18">
        <f t="shared" si="52"/>
        <v>2.5000000000000001E-2</v>
      </c>
      <c r="P66" s="18">
        <f t="shared" si="52"/>
        <v>2.5000000000000001E-2</v>
      </c>
      <c r="Q66" s="18">
        <f t="shared" si="52"/>
        <v>2.5000000000000001E-2</v>
      </c>
      <c r="R66" s="18">
        <f t="shared" si="52"/>
        <v>2.5000000000000001E-2</v>
      </c>
      <c r="S66" s="18">
        <f t="shared" si="52"/>
        <v>2.5000000000000001E-2</v>
      </c>
      <c r="T66" s="18">
        <f t="shared" si="52"/>
        <v>2.5000000000000001E-2</v>
      </c>
      <c r="U66" s="18">
        <f t="shared" si="52"/>
        <v>2.5000000000000001E-2</v>
      </c>
    </row>
    <row r="67" spans="4:21" x14ac:dyDescent="0.25">
      <c r="D67" s="9" t="s">
        <v>26</v>
      </c>
      <c r="E67" s="9" t="s">
        <v>346</v>
      </c>
      <c r="F67" s="9" t="s">
        <v>375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f t="shared" ref="L67:U67" si="53">K67</f>
        <v>3.5000000000000003E-2</v>
      </c>
      <c r="M67" s="18">
        <f t="shared" si="53"/>
        <v>3.5000000000000003E-2</v>
      </c>
      <c r="N67" s="18">
        <f t="shared" si="53"/>
        <v>3.5000000000000003E-2</v>
      </c>
      <c r="O67" s="18">
        <f t="shared" si="53"/>
        <v>3.5000000000000003E-2</v>
      </c>
      <c r="P67" s="18">
        <f t="shared" si="53"/>
        <v>3.5000000000000003E-2</v>
      </c>
      <c r="Q67" s="18">
        <f t="shared" si="53"/>
        <v>3.5000000000000003E-2</v>
      </c>
      <c r="R67" s="18">
        <f t="shared" si="53"/>
        <v>3.5000000000000003E-2</v>
      </c>
      <c r="S67" s="18">
        <f t="shared" si="53"/>
        <v>3.5000000000000003E-2</v>
      </c>
      <c r="T67" s="18">
        <f t="shared" si="53"/>
        <v>3.5000000000000003E-2</v>
      </c>
      <c r="U67" s="18">
        <f t="shared" si="53"/>
        <v>3.5000000000000003E-2</v>
      </c>
    </row>
    <row r="68" spans="4:21" x14ac:dyDescent="0.25">
      <c r="D68" s="9" t="s">
        <v>26</v>
      </c>
      <c r="E68" s="9" t="s">
        <v>346</v>
      </c>
      <c r="F68" s="9" t="s">
        <v>375</v>
      </c>
      <c r="G68" s="9">
        <v>1000</v>
      </c>
      <c r="H68" s="9" t="s">
        <v>83</v>
      </c>
      <c r="I68" s="9" t="s">
        <v>328</v>
      </c>
      <c r="J68" s="9" t="s">
        <v>57</v>
      </c>
      <c r="K68" s="18">
        <v>0.255</v>
      </c>
      <c r="L68" s="18">
        <f t="shared" ref="L68:U68" si="54">K68</f>
        <v>0.255</v>
      </c>
      <c r="M68" s="18">
        <f t="shared" si="54"/>
        <v>0.255</v>
      </c>
      <c r="N68" s="18">
        <f t="shared" si="54"/>
        <v>0.255</v>
      </c>
      <c r="O68" s="18">
        <f t="shared" si="54"/>
        <v>0.255</v>
      </c>
      <c r="P68" s="18">
        <f t="shared" si="54"/>
        <v>0.255</v>
      </c>
      <c r="Q68" s="18">
        <f t="shared" si="54"/>
        <v>0.255</v>
      </c>
      <c r="R68" s="18">
        <f t="shared" si="54"/>
        <v>0.255</v>
      </c>
      <c r="S68" s="18">
        <f t="shared" si="54"/>
        <v>0.255</v>
      </c>
      <c r="T68" s="18">
        <f t="shared" si="54"/>
        <v>0.255</v>
      </c>
      <c r="U68" s="18">
        <f t="shared" si="54"/>
        <v>0.255</v>
      </c>
    </row>
    <row r="69" spans="4:21" x14ac:dyDescent="0.25">
      <c r="D69" s="9" t="s">
        <v>26</v>
      </c>
      <c r="E69" s="9" t="s">
        <v>346</v>
      </c>
      <c r="F69" s="9" t="s">
        <v>375</v>
      </c>
      <c r="G69" s="9">
        <v>1000</v>
      </c>
      <c r="H69" s="9" t="s">
        <v>83</v>
      </c>
      <c r="I69" s="9" t="s">
        <v>339</v>
      </c>
      <c r="J69" s="9" t="s">
        <v>132</v>
      </c>
      <c r="K69" s="18">
        <v>2.5</v>
      </c>
      <c r="L69" s="18">
        <f t="shared" ref="L69:U69" si="55">K69</f>
        <v>2.5</v>
      </c>
      <c r="M69" s="18">
        <f t="shared" si="55"/>
        <v>2.5</v>
      </c>
      <c r="N69" s="18">
        <f t="shared" si="55"/>
        <v>2.5</v>
      </c>
      <c r="O69" s="18">
        <f t="shared" si="55"/>
        <v>2.5</v>
      </c>
      <c r="P69" s="18">
        <f t="shared" si="55"/>
        <v>2.5</v>
      </c>
      <c r="Q69" s="18">
        <f t="shared" si="55"/>
        <v>2.5</v>
      </c>
      <c r="R69" s="18">
        <f t="shared" si="55"/>
        <v>2.5</v>
      </c>
      <c r="S69" s="18">
        <f t="shared" si="55"/>
        <v>2.5</v>
      </c>
      <c r="T69" s="18">
        <f t="shared" si="55"/>
        <v>2.5</v>
      </c>
      <c r="U69" s="18">
        <f t="shared" si="55"/>
        <v>2.5</v>
      </c>
    </row>
    <row r="70" spans="4:21" x14ac:dyDescent="0.25">
      <c r="D70" s="9" t="s">
        <v>26</v>
      </c>
      <c r="E70" s="9" t="s">
        <v>346</v>
      </c>
      <c r="F70" s="9" t="s">
        <v>375</v>
      </c>
      <c r="G70" s="9">
        <v>1000</v>
      </c>
      <c r="H70" s="9" t="s">
        <v>83</v>
      </c>
      <c r="I70" s="9" t="s">
        <v>340</v>
      </c>
      <c r="J70" s="9" t="s">
        <v>341</v>
      </c>
      <c r="K70" s="18">
        <v>50</v>
      </c>
      <c r="L70" s="18">
        <f t="shared" ref="L70:U70" si="56">K70</f>
        <v>50</v>
      </c>
      <c r="M70" s="18">
        <f t="shared" si="56"/>
        <v>50</v>
      </c>
      <c r="N70" s="18">
        <f t="shared" si="56"/>
        <v>50</v>
      </c>
      <c r="O70" s="18">
        <f t="shared" si="56"/>
        <v>50</v>
      </c>
      <c r="P70" s="18">
        <f t="shared" si="56"/>
        <v>50</v>
      </c>
      <c r="Q70" s="18">
        <f t="shared" si="56"/>
        <v>50</v>
      </c>
      <c r="R70" s="18">
        <f t="shared" si="56"/>
        <v>50</v>
      </c>
      <c r="S70" s="18">
        <f t="shared" si="56"/>
        <v>50</v>
      </c>
      <c r="T70" s="18">
        <f t="shared" si="56"/>
        <v>50</v>
      </c>
      <c r="U70" s="18">
        <f t="shared" si="56"/>
        <v>50</v>
      </c>
    </row>
    <row r="71" spans="4:21" x14ac:dyDescent="0.25">
      <c r="D71" s="9" t="s">
        <v>26</v>
      </c>
      <c r="E71" s="9" t="s">
        <v>346</v>
      </c>
      <c r="F71" s="9" t="s">
        <v>375</v>
      </c>
      <c r="G71" s="9">
        <v>1000</v>
      </c>
      <c r="H71" s="9" t="s">
        <v>242</v>
      </c>
      <c r="I71" s="9" t="s">
        <v>343</v>
      </c>
      <c r="J71" s="9" t="s">
        <v>57</v>
      </c>
      <c r="K71" s="18">
        <v>0.18099999999999999</v>
      </c>
      <c r="L71" s="18">
        <f t="shared" ref="L71:U71" si="57">K71</f>
        <v>0.18099999999999999</v>
      </c>
      <c r="M71" s="18">
        <f t="shared" si="57"/>
        <v>0.18099999999999999</v>
      </c>
      <c r="N71" s="18">
        <f t="shared" si="57"/>
        <v>0.18099999999999999</v>
      </c>
      <c r="O71" s="18">
        <f t="shared" si="57"/>
        <v>0.18099999999999999</v>
      </c>
      <c r="P71" s="18">
        <f t="shared" si="57"/>
        <v>0.18099999999999999</v>
      </c>
      <c r="Q71" s="18">
        <f t="shared" si="57"/>
        <v>0.18099999999999999</v>
      </c>
      <c r="R71" s="18">
        <f t="shared" si="57"/>
        <v>0.18099999999999999</v>
      </c>
      <c r="S71" s="18">
        <f t="shared" si="57"/>
        <v>0.18099999999999999</v>
      </c>
      <c r="T71" s="18">
        <f t="shared" si="57"/>
        <v>0.18099999999999999</v>
      </c>
      <c r="U71" s="18">
        <f t="shared" si="57"/>
        <v>0.18099999999999999</v>
      </c>
    </row>
    <row r="72" spans="4:21" x14ac:dyDescent="0.25">
      <c r="D72" s="9" t="s">
        <v>26</v>
      </c>
      <c r="E72" s="9" t="s">
        <v>346</v>
      </c>
      <c r="F72" s="9" t="s">
        <v>375</v>
      </c>
      <c r="G72" s="9">
        <v>1000</v>
      </c>
      <c r="H72" s="9" t="s">
        <v>242</v>
      </c>
      <c r="I72" s="9" t="s">
        <v>388</v>
      </c>
      <c r="J72" s="9" t="s">
        <v>57</v>
      </c>
      <c r="K72" s="18">
        <v>0.46899999999999997</v>
      </c>
      <c r="L72" s="18">
        <f t="shared" ref="L72:U72" si="58">K72</f>
        <v>0.46899999999999997</v>
      </c>
      <c r="M72" s="18">
        <f t="shared" si="58"/>
        <v>0.46899999999999997</v>
      </c>
      <c r="N72" s="18">
        <f t="shared" si="58"/>
        <v>0.46899999999999997</v>
      </c>
      <c r="O72" s="18">
        <f t="shared" si="58"/>
        <v>0.46899999999999997</v>
      </c>
      <c r="P72" s="18">
        <f t="shared" si="58"/>
        <v>0.46899999999999997</v>
      </c>
      <c r="Q72" s="18">
        <f t="shared" si="58"/>
        <v>0.46899999999999997</v>
      </c>
      <c r="R72" s="18">
        <f t="shared" si="58"/>
        <v>0.46899999999999997</v>
      </c>
      <c r="S72" s="18">
        <f t="shared" si="58"/>
        <v>0.46899999999999997</v>
      </c>
      <c r="T72" s="18">
        <f t="shared" si="58"/>
        <v>0.46899999999999997</v>
      </c>
      <c r="U72" s="18">
        <f t="shared" si="58"/>
        <v>0.46899999999999997</v>
      </c>
    </row>
    <row r="73" spans="4:21" x14ac:dyDescent="0.25">
      <c r="D73" s="9" t="s">
        <v>26</v>
      </c>
      <c r="E73" s="9" t="s">
        <v>346</v>
      </c>
      <c r="F73" s="9" t="s">
        <v>375</v>
      </c>
      <c r="G73" s="9">
        <v>1000</v>
      </c>
      <c r="H73" s="9" t="s">
        <v>242</v>
      </c>
      <c r="I73" s="9" t="s">
        <v>29</v>
      </c>
      <c r="J73" s="9" t="s">
        <v>57</v>
      </c>
      <c r="K73" s="18">
        <v>0.28999999999999998</v>
      </c>
      <c r="L73" s="18">
        <f t="shared" ref="L73:U73" si="59">K73</f>
        <v>0.28999999999999998</v>
      </c>
      <c r="M73" s="18">
        <f t="shared" si="59"/>
        <v>0.28999999999999998</v>
      </c>
      <c r="N73" s="18">
        <f t="shared" si="59"/>
        <v>0.28999999999999998</v>
      </c>
      <c r="O73" s="18">
        <f t="shared" si="59"/>
        <v>0.28999999999999998</v>
      </c>
      <c r="P73" s="18">
        <f t="shared" si="59"/>
        <v>0.28999999999999998</v>
      </c>
      <c r="Q73" s="18">
        <f t="shared" si="59"/>
        <v>0.28999999999999998</v>
      </c>
      <c r="R73" s="18">
        <f t="shared" si="59"/>
        <v>0.28999999999999998</v>
      </c>
      <c r="S73" s="18">
        <f t="shared" si="59"/>
        <v>0.28999999999999998</v>
      </c>
      <c r="T73" s="18">
        <f t="shared" si="59"/>
        <v>0.28999999999999998</v>
      </c>
      <c r="U73" s="18">
        <f t="shared" si="59"/>
        <v>0.28999999999999998</v>
      </c>
    </row>
    <row r="74" spans="4:21" x14ac:dyDescent="0.25">
      <c r="D74" s="9" t="s">
        <v>26</v>
      </c>
      <c r="E74" s="9" t="s">
        <v>346</v>
      </c>
      <c r="F74" s="9" t="s">
        <v>375</v>
      </c>
      <c r="G74" s="9">
        <v>1000</v>
      </c>
      <c r="H74" s="9" t="s">
        <v>242</v>
      </c>
      <c r="I74" s="9" t="s">
        <v>16</v>
      </c>
      <c r="J74" s="9" t="s">
        <v>57</v>
      </c>
      <c r="K74" s="18">
        <v>4.5269999999999998E-3</v>
      </c>
      <c r="L74" s="18">
        <f t="shared" ref="L74:U74" si="60">K74</f>
        <v>4.5269999999999998E-3</v>
      </c>
      <c r="M74" s="18">
        <f t="shared" si="60"/>
        <v>4.5269999999999998E-3</v>
      </c>
      <c r="N74" s="18">
        <f t="shared" si="60"/>
        <v>4.5269999999999998E-3</v>
      </c>
      <c r="O74" s="18">
        <f t="shared" si="60"/>
        <v>4.5269999999999998E-3</v>
      </c>
      <c r="P74" s="18">
        <f t="shared" si="60"/>
        <v>4.5269999999999998E-3</v>
      </c>
      <c r="Q74" s="18">
        <f t="shared" si="60"/>
        <v>4.5269999999999998E-3</v>
      </c>
      <c r="R74" s="18">
        <f t="shared" si="60"/>
        <v>4.5269999999999998E-3</v>
      </c>
      <c r="S74" s="18">
        <f t="shared" si="60"/>
        <v>4.5269999999999998E-3</v>
      </c>
      <c r="T74" s="18">
        <f t="shared" si="60"/>
        <v>4.5269999999999998E-3</v>
      </c>
      <c r="U74" s="18">
        <f t="shared" si="60"/>
        <v>4.5269999999999998E-3</v>
      </c>
    </row>
    <row r="75" spans="4:21" x14ac:dyDescent="0.25">
      <c r="D75" s="9" t="s">
        <v>26</v>
      </c>
      <c r="E75" s="9" t="s">
        <v>346</v>
      </c>
      <c r="F75" s="9" t="s">
        <v>375</v>
      </c>
      <c r="G75" s="9">
        <v>1000</v>
      </c>
      <c r="H75" s="9" t="s">
        <v>242</v>
      </c>
      <c r="I75" s="9" t="s">
        <v>13</v>
      </c>
      <c r="J75" s="9" t="s">
        <v>61</v>
      </c>
      <c r="K75" s="18">
        <v>0.434</v>
      </c>
      <c r="L75" s="18">
        <f t="shared" ref="L75:U75" si="61">K75</f>
        <v>0.434</v>
      </c>
      <c r="M75" s="18">
        <f t="shared" si="61"/>
        <v>0.434</v>
      </c>
      <c r="N75" s="18">
        <f t="shared" si="61"/>
        <v>0.434</v>
      </c>
      <c r="O75" s="18">
        <f t="shared" si="61"/>
        <v>0.434</v>
      </c>
      <c r="P75" s="18">
        <f t="shared" si="61"/>
        <v>0.434</v>
      </c>
      <c r="Q75" s="18">
        <f t="shared" si="61"/>
        <v>0.434</v>
      </c>
      <c r="R75" s="18">
        <f t="shared" si="61"/>
        <v>0.434</v>
      </c>
      <c r="S75" s="18">
        <f t="shared" si="61"/>
        <v>0.434</v>
      </c>
      <c r="T75" s="18">
        <f t="shared" si="61"/>
        <v>0.434</v>
      </c>
      <c r="U75" s="18">
        <f t="shared" si="61"/>
        <v>0.434</v>
      </c>
    </row>
    <row r="76" spans="4:21" x14ac:dyDescent="0.25">
      <c r="D76" s="9" t="s">
        <v>26</v>
      </c>
      <c r="E76" s="9" t="s">
        <v>346</v>
      </c>
      <c r="F76" s="9" t="s">
        <v>375</v>
      </c>
      <c r="G76" s="9">
        <v>1000</v>
      </c>
      <c r="H76" s="9" t="s">
        <v>242</v>
      </c>
      <c r="I76" s="9" t="s">
        <v>15</v>
      </c>
      <c r="J76" s="9" t="s">
        <v>65</v>
      </c>
      <c r="K76" s="18">
        <v>40</v>
      </c>
      <c r="L76" s="18">
        <f t="shared" ref="L76:U76" si="62">K76</f>
        <v>40</v>
      </c>
      <c r="M76" s="18">
        <f t="shared" si="62"/>
        <v>40</v>
      </c>
      <c r="N76" s="18">
        <f t="shared" si="62"/>
        <v>40</v>
      </c>
      <c r="O76" s="18">
        <f t="shared" si="62"/>
        <v>40</v>
      </c>
      <c r="P76" s="18">
        <f t="shared" si="62"/>
        <v>40</v>
      </c>
      <c r="Q76" s="18">
        <f t="shared" si="62"/>
        <v>40</v>
      </c>
      <c r="R76" s="18">
        <f t="shared" si="62"/>
        <v>40</v>
      </c>
      <c r="S76" s="18">
        <f t="shared" si="62"/>
        <v>40</v>
      </c>
      <c r="T76" s="18">
        <f t="shared" si="62"/>
        <v>40</v>
      </c>
      <c r="U76" s="18">
        <f t="shared" si="62"/>
        <v>40</v>
      </c>
    </row>
    <row r="77" spans="4:21" x14ac:dyDescent="0.25">
      <c r="D77" s="9" t="s">
        <v>26</v>
      </c>
      <c r="E77" s="9" t="s">
        <v>346</v>
      </c>
      <c r="F77" s="9" t="s">
        <v>375</v>
      </c>
      <c r="G77" s="9">
        <v>1000</v>
      </c>
      <c r="H77" s="9" t="s">
        <v>242</v>
      </c>
      <c r="I77" s="9" t="s">
        <v>336</v>
      </c>
      <c r="J77" s="9" t="s">
        <v>337</v>
      </c>
      <c r="K77" s="18">
        <v>1</v>
      </c>
      <c r="L77" s="18">
        <f t="shared" ref="L77:U77" si="63">K77</f>
        <v>1</v>
      </c>
      <c r="M77" s="18">
        <f t="shared" si="63"/>
        <v>1</v>
      </c>
      <c r="N77" s="18">
        <f t="shared" si="63"/>
        <v>1</v>
      </c>
      <c r="O77" s="18">
        <f t="shared" si="63"/>
        <v>1</v>
      </c>
      <c r="P77" s="18">
        <f t="shared" si="63"/>
        <v>1</v>
      </c>
      <c r="Q77" s="18">
        <f t="shared" si="63"/>
        <v>1</v>
      </c>
      <c r="R77" s="18">
        <f t="shared" si="63"/>
        <v>1</v>
      </c>
      <c r="S77" s="18">
        <f t="shared" si="63"/>
        <v>1</v>
      </c>
      <c r="T77" s="18">
        <f t="shared" si="63"/>
        <v>1</v>
      </c>
      <c r="U77" s="18">
        <f t="shared" si="63"/>
        <v>1</v>
      </c>
    </row>
    <row r="78" spans="4:21" x14ac:dyDescent="0.25">
      <c r="D78" s="9" t="s">
        <v>26</v>
      </c>
      <c r="E78" s="9" t="s">
        <v>346</v>
      </c>
      <c r="F78" s="9" t="s">
        <v>375</v>
      </c>
      <c r="G78" s="9">
        <v>1000</v>
      </c>
      <c r="H78" s="9" t="s">
        <v>242</v>
      </c>
      <c r="I78" s="9" t="s">
        <v>338</v>
      </c>
      <c r="J78" s="9" t="s">
        <v>337</v>
      </c>
      <c r="K78" s="18">
        <v>3</v>
      </c>
      <c r="L78" s="18">
        <f t="shared" ref="L78:U78" si="64">K78</f>
        <v>3</v>
      </c>
      <c r="M78" s="18">
        <f t="shared" si="64"/>
        <v>3</v>
      </c>
      <c r="N78" s="18">
        <f t="shared" si="64"/>
        <v>3</v>
      </c>
      <c r="O78" s="18">
        <f t="shared" si="64"/>
        <v>3</v>
      </c>
      <c r="P78" s="18">
        <f t="shared" si="64"/>
        <v>3</v>
      </c>
      <c r="Q78" s="18">
        <f t="shared" si="64"/>
        <v>3</v>
      </c>
      <c r="R78" s="18">
        <f t="shared" si="64"/>
        <v>3</v>
      </c>
      <c r="S78" s="18">
        <f t="shared" si="64"/>
        <v>3</v>
      </c>
      <c r="T78" s="18">
        <f t="shared" si="64"/>
        <v>3</v>
      </c>
      <c r="U78" s="18">
        <f t="shared" si="64"/>
        <v>3</v>
      </c>
    </row>
    <row r="79" spans="4:21" x14ac:dyDescent="0.25">
      <c r="D79" s="9" t="s">
        <v>26</v>
      </c>
      <c r="E79" s="9" t="s">
        <v>346</v>
      </c>
      <c r="F79" s="9" t="s">
        <v>375</v>
      </c>
      <c r="G79" s="9">
        <v>1000</v>
      </c>
      <c r="H79" s="9" t="s">
        <v>242</v>
      </c>
      <c r="I79" s="9" t="s">
        <v>32</v>
      </c>
      <c r="J79" s="9" t="s">
        <v>57</v>
      </c>
      <c r="K79" s="18">
        <v>2.5000000000000001E-2</v>
      </c>
      <c r="L79" s="18">
        <f t="shared" ref="L79:U79" si="65">K79</f>
        <v>2.5000000000000001E-2</v>
      </c>
      <c r="M79" s="18">
        <f t="shared" si="65"/>
        <v>2.5000000000000001E-2</v>
      </c>
      <c r="N79" s="18">
        <f t="shared" si="65"/>
        <v>2.5000000000000001E-2</v>
      </c>
      <c r="O79" s="18">
        <f t="shared" si="65"/>
        <v>2.5000000000000001E-2</v>
      </c>
      <c r="P79" s="18">
        <f t="shared" si="65"/>
        <v>2.5000000000000001E-2</v>
      </c>
      <c r="Q79" s="18">
        <f t="shared" si="65"/>
        <v>2.5000000000000001E-2</v>
      </c>
      <c r="R79" s="18">
        <f t="shared" si="65"/>
        <v>2.5000000000000001E-2</v>
      </c>
      <c r="S79" s="18">
        <f t="shared" si="65"/>
        <v>2.5000000000000001E-2</v>
      </c>
      <c r="T79" s="18">
        <f t="shared" si="65"/>
        <v>2.5000000000000001E-2</v>
      </c>
      <c r="U79" s="18">
        <f t="shared" si="65"/>
        <v>2.5000000000000001E-2</v>
      </c>
    </row>
    <row r="80" spans="4:21" x14ac:dyDescent="0.25">
      <c r="D80" s="9" t="s">
        <v>26</v>
      </c>
      <c r="E80" s="9" t="s">
        <v>346</v>
      </c>
      <c r="F80" s="9" t="s">
        <v>375</v>
      </c>
      <c r="G80" s="9">
        <v>1000</v>
      </c>
      <c r="H80" s="9" t="s">
        <v>242</v>
      </c>
      <c r="I80" s="9" t="s">
        <v>31</v>
      </c>
      <c r="J80" s="9" t="s">
        <v>57</v>
      </c>
      <c r="K80" s="18">
        <v>3.5000000000000003E-2</v>
      </c>
      <c r="L80" s="18">
        <f t="shared" ref="L80:U80" si="66">K80</f>
        <v>3.5000000000000003E-2</v>
      </c>
      <c r="M80" s="18">
        <f t="shared" si="66"/>
        <v>3.5000000000000003E-2</v>
      </c>
      <c r="N80" s="18">
        <f t="shared" si="66"/>
        <v>3.5000000000000003E-2</v>
      </c>
      <c r="O80" s="18">
        <f t="shared" si="66"/>
        <v>3.5000000000000003E-2</v>
      </c>
      <c r="P80" s="18">
        <f t="shared" si="66"/>
        <v>3.5000000000000003E-2</v>
      </c>
      <c r="Q80" s="18">
        <f t="shared" si="66"/>
        <v>3.5000000000000003E-2</v>
      </c>
      <c r="R80" s="18">
        <f t="shared" si="66"/>
        <v>3.5000000000000003E-2</v>
      </c>
      <c r="S80" s="18">
        <f t="shared" si="66"/>
        <v>3.5000000000000003E-2</v>
      </c>
      <c r="T80" s="18">
        <f t="shared" si="66"/>
        <v>3.5000000000000003E-2</v>
      </c>
      <c r="U80" s="18">
        <f t="shared" si="66"/>
        <v>3.5000000000000003E-2</v>
      </c>
    </row>
    <row r="81" spans="4:21" x14ac:dyDescent="0.25">
      <c r="D81" s="9" t="s">
        <v>26</v>
      </c>
      <c r="E81" s="9" t="s">
        <v>346</v>
      </c>
      <c r="F81" s="9" t="s">
        <v>375</v>
      </c>
      <c r="G81" s="9">
        <v>1000</v>
      </c>
      <c r="H81" s="9" t="s">
        <v>242</v>
      </c>
      <c r="I81" s="9" t="s">
        <v>339</v>
      </c>
      <c r="J81" s="9" t="s">
        <v>132</v>
      </c>
      <c r="K81" s="18">
        <v>2.5</v>
      </c>
      <c r="L81" s="18">
        <f t="shared" ref="L81:U81" si="67">K81</f>
        <v>2.5</v>
      </c>
      <c r="M81" s="18">
        <f t="shared" si="67"/>
        <v>2.5</v>
      </c>
      <c r="N81" s="18">
        <f t="shared" si="67"/>
        <v>2.5</v>
      </c>
      <c r="O81" s="18">
        <f t="shared" si="67"/>
        <v>2.5</v>
      </c>
      <c r="P81" s="18">
        <f t="shared" si="67"/>
        <v>2.5</v>
      </c>
      <c r="Q81" s="18">
        <f t="shared" si="67"/>
        <v>2.5</v>
      </c>
      <c r="R81" s="18">
        <f t="shared" si="67"/>
        <v>2.5</v>
      </c>
      <c r="S81" s="18">
        <f t="shared" si="67"/>
        <v>2.5</v>
      </c>
      <c r="T81" s="18">
        <f t="shared" si="67"/>
        <v>2.5</v>
      </c>
      <c r="U81" s="18">
        <f t="shared" si="67"/>
        <v>2.5</v>
      </c>
    </row>
    <row r="82" spans="4:21" x14ac:dyDescent="0.25">
      <c r="D82" s="9" t="s">
        <v>26</v>
      </c>
      <c r="E82" s="9" t="s">
        <v>346</v>
      </c>
      <c r="F82" s="9" t="s">
        <v>375</v>
      </c>
      <c r="G82" s="9">
        <v>1000</v>
      </c>
      <c r="H82" s="9" t="s">
        <v>242</v>
      </c>
      <c r="I82" s="9" t="s">
        <v>340</v>
      </c>
      <c r="J82" s="9" t="s">
        <v>341</v>
      </c>
      <c r="K82" s="18">
        <v>50</v>
      </c>
      <c r="L82" s="18">
        <f t="shared" ref="L82:U82" si="68">K82</f>
        <v>50</v>
      </c>
      <c r="M82" s="18">
        <f t="shared" si="68"/>
        <v>50</v>
      </c>
      <c r="N82" s="18">
        <f t="shared" si="68"/>
        <v>50</v>
      </c>
      <c r="O82" s="18">
        <f t="shared" si="68"/>
        <v>50</v>
      </c>
      <c r="P82" s="18">
        <f t="shared" si="68"/>
        <v>50</v>
      </c>
      <c r="Q82" s="18">
        <f t="shared" si="68"/>
        <v>50</v>
      </c>
      <c r="R82" s="18">
        <f t="shared" si="68"/>
        <v>50</v>
      </c>
      <c r="S82" s="18">
        <f t="shared" si="68"/>
        <v>50</v>
      </c>
      <c r="T82" s="18">
        <f t="shared" si="68"/>
        <v>50</v>
      </c>
      <c r="U82" s="18">
        <f t="shared" si="68"/>
        <v>50</v>
      </c>
    </row>
    <row r="83" spans="4:21" x14ac:dyDescent="0.25">
      <c r="D83" s="9" t="s">
        <v>26</v>
      </c>
      <c r="E83" s="9" t="s">
        <v>346</v>
      </c>
      <c r="F83" s="9" t="s">
        <v>375</v>
      </c>
      <c r="G83" s="9">
        <v>1000</v>
      </c>
      <c r="H83" s="9" t="s">
        <v>243</v>
      </c>
      <c r="I83" s="9" t="s">
        <v>343</v>
      </c>
      <c r="J83" s="9" t="s">
        <v>57</v>
      </c>
      <c r="K83" s="18">
        <v>0.24</v>
      </c>
      <c r="L83" s="18">
        <f t="shared" ref="L83:U83" si="69">K83</f>
        <v>0.24</v>
      </c>
      <c r="M83" s="18">
        <f t="shared" si="69"/>
        <v>0.24</v>
      </c>
      <c r="N83" s="18">
        <f t="shared" si="69"/>
        <v>0.24</v>
      </c>
      <c r="O83" s="18">
        <f t="shared" si="69"/>
        <v>0.24</v>
      </c>
      <c r="P83" s="18">
        <f t="shared" si="69"/>
        <v>0.24</v>
      </c>
      <c r="Q83" s="18">
        <f t="shared" si="69"/>
        <v>0.24</v>
      </c>
      <c r="R83" s="18">
        <f t="shared" si="69"/>
        <v>0.24</v>
      </c>
      <c r="S83" s="18">
        <f t="shared" si="69"/>
        <v>0.24</v>
      </c>
      <c r="T83" s="18">
        <f t="shared" si="69"/>
        <v>0.24</v>
      </c>
      <c r="U83" s="18">
        <f t="shared" si="69"/>
        <v>0.24</v>
      </c>
    </row>
    <row r="84" spans="4:21" x14ac:dyDescent="0.25">
      <c r="D84" s="9" t="s">
        <v>26</v>
      </c>
      <c r="E84" s="9" t="s">
        <v>346</v>
      </c>
      <c r="F84" s="9" t="s">
        <v>375</v>
      </c>
      <c r="G84" s="9">
        <v>1000</v>
      </c>
      <c r="H84" s="9" t="s">
        <v>243</v>
      </c>
      <c r="I84" s="9" t="s">
        <v>388</v>
      </c>
      <c r="J84" s="9" t="s">
        <v>57</v>
      </c>
      <c r="K84" s="18">
        <v>0.39100000000000001</v>
      </c>
      <c r="L84" s="18">
        <f t="shared" ref="L84:U84" si="70">K84</f>
        <v>0.39100000000000001</v>
      </c>
      <c r="M84" s="18">
        <f t="shared" si="70"/>
        <v>0.39100000000000001</v>
      </c>
      <c r="N84" s="18">
        <f t="shared" si="70"/>
        <v>0.39100000000000001</v>
      </c>
      <c r="O84" s="18">
        <f t="shared" si="70"/>
        <v>0.39100000000000001</v>
      </c>
      <c r="P84" s="18">
        <f t="shared" si="70"/>
        <v>0.39100000000000001</v>
      </c>
      <c r="Q84" s="18">
        <f t="shared" si="70"/>
        <v>0.39100000000000001</v>
      </c>
      <c r="R84" s="18">
        <f t="shared" si="70"/>
        <v>0.39100000000000001</v>
      </c>
      <c r="S84" s="18">
        <f t="shared" si="70"/>
        <v>0.39100000000000001</v>
      </c>
      <c r="T84" s="18">
        <f t="shared" si="70"/>
        <v>0.39100000000000001</v>
      </c>
      <c r="U84" s="18">
        <f t="shared" si="70"/>
        <v>0.39100000000000001</v>
      </c>
    </row>
    <row r="85" spans="4:21" x14ac:dyDescent="0.25">
      <c r="D85" s="9" t="s">
        <v>26</v>
      </c>
      <c r="E85" s="9" t="s">
        <v>346</v>
      </c>
      <c r="F85" s="9" t="s">
        <v>375</v>
      </c>
      <c r="G85" s="9">
        <v>1000</v>
      </c>
      <c r="H85" s="9" t="s">
        <v>243</v>
      </c>
      <c r="I85" s="9" t="s">
        <v>29</v>
      </c>
      <c r="J85" s="9" t="s">
        <v>57</v>
      </c>
      <c r="K85" s="18">
        <v>0.217</v>
      </c>
      <c r="L85" s="18">
        <f t="shared" ref="L85:U85" si="71">K85</f>
        <v>0.217</v>
      </c>
      <c r="M85" s="18">
        <f t="shared" si="71"/>
        <v>0.217</v>
      </c>
      <c r="N85" s="18">
        <f t="shared" si="71"/>
        <v>0.217</v>
      </c>
      <c r="O85" s="18">
        <f t="shared" si="71"/>
        <v>0.217</v>
      </c>
      <c r="P85" s="18">
        <f t="shared" si="71"/>
        <v>0.217</v>
      </c>
      <c r="Q85" s="18">
        <f t="shared" si="71"/>
        <v>0.217</v>
      </c>
      <c r="R85" s="18">
        <f t="shared" si="71"/>
        <v>0.217</v>
      </c>
      <c r="S85" s="18">
        <f t="shared" si="71"/>
        <v>0.217</v>
      </c>
      <c r="T85" s="18">
        <f t="shared" si="71"/>
        <v>0.217</v>
      </c>
      <c r="U85" s="18">
        <f t="shared" si="71"/>
        <v>0.217</v>
      </c>
    </row>
    <row r="86" spans="4:21" x14ac:dyDescent="0.25">
      <c r="D86" s="9" t="s">
        <v>26</v>
      </c>
      <c r="E86" s="9" t="s">
        <v>346</v>
      </c>
      <c r="F86" s="9" t="s">
        <v>375</v>
      </c>
      <c r="G86" s="9">
        <v>1000</v>
      </c>
      <c r="H86" s="9" t="s">
        <v>243</v>
      </c>
      <c r="I86" s="9" t="s">
        <v>16</v>
      </c>
      <c r="J86" s="9" t="s">
        <v>57</v>
      </c>
      <c r="K86" s="18">
        <v>8.0000000000000002E-3</v>
      </c>
      <c r="L86" s="18">
        <f t="shared" ref="L86:U86" si="72">K86</f>
        <v>8.0000000000000002E-3</v>
      </c>
      <c r="M86" s="18">
        <f t="shared" si="72"/>
        <v>8.0000000000000002E-3</v>
      </c>
      <c r="N86" s="18">
        <f t="shared" si="72"/>
        <v>8.0000000000000002E-3</v>
      </c>
      <c r="O86" s="18">
        <f t="shared" si="72"/>
        <v>8.0000000000000002E-3</v>
      </c>
      <c r="P86" s="18">
        <f t="shared" si="72"/>
        <v>8.0000000000000002E-3</v>
      </c>
      <c r="Q86" s="18">
        <f t="shared" si="72"/>
        <v>8.0000000000000002E-3</v>
      </c>
      <c r="R86" s="18">
        <f t="shared" si="72"/>
        <v>8.0000000000000002E-3</v>
      </c>
      <c r="S86" s="18">
        <f t="shared" si="72"/>
        <v>8.0000000000000002E-3</v>
      </c>
      <c r="T86" s="18">
        <f t="shared" si="72"/>
        <v>8.0000000000000002E-3</v>
      </c>
      <c r="U86" s="18">
        <f t="shared" si="72"/>
        <v>8.0000000000000002E-3</v>
      </c>
    </row>
    <row r="87" spans="4:21" x14ac:dyDescent="0.25">
      <c r="D87" s="9" t="s">
        <v>26</v>
      </c>
      <c r="E87" s="9" t="s">
        <v>346</v>
      </c>
      <c r="F87" s="9" t="s">
        <v>375</v>
      </c>
      <c r="G87" s="9">
        <v>1000</v>
      </c>
      <c r="H87" s="9" t="s">
        <v>243</v>
      </c>
      <c r="I87" s="9" t="s">
        <v>13</v>
      </c>
      <c r="J87" s="9" t="s">
        <v>61</v>
      </c>
      <c r="K87" s="18">
        <v>0.434</v>
      </c>
      <c r="L87" s="18">
        <f t="shared" ref="L87:U87" si="73">K87</f>
        <v>0.434</v>
      </c>
      <c r="M87" s="18">
        <f t="shared" si="73"/>
        <v>0.434</v>
      </c>
      <c r="N87" s="18">
        <f t="shared" si="73"/>
        <v>0.434</v>
      </c>
      <c r="O87" s="18">
        <f t="shared" si="73"/>
        <v>0.434</v>
      </c>
      <c r="P87" s="18">
        <f t="shared" si="73"/>
        <v>0.434</v>
      </c>
      <c r="Q87" s="18">
        <f t="shared" si="73"/>
        <v>0.434</v>
      </c>
      <c r="R87" s="18">
        <f t="shared" si="73"/>
        <v>0.434</v>
      </c>
      <c r="S87" s="18">
        <f t="shared" si="73"/>
        <v>0.434</v>
      </c>
      <c r="T87" s="18">
        <f t="shared" si="73"/>
        <v>0.434</v>
      </c>
      <c r="U87" s="18">
        <f t="shared" si="73"/>
        <v>0.434</v>
      </c>
    </row>
    <row r="88" spans="4:21" x14ac:dyDescent="0.25">
      <c r="D88" s="9" t="s">
        <v>26</v>
      </c>
      <c r="E88" s="9" t="s">
        <v>346</v>
      </c>
      <c r="F88" s="9" t="s">
        <v>375</v>
      </c>
      <c r="G88" s="9">
        <v>1000</v>
      </c>
      <c r="H88" s="9" t="s">
        <v>243</v>
      </c>
      <c r="I88" s="9" t="s">
        <v>15</v>
      </c>
      <c r="J88" s="9" t="s">
        <v>65</v>
      </c>
      <c r="K88" s="18">
        <v>40</v>
      </c>
      <c r="L88" s="18">
        <f t="shared" ref="L88:U88" si="74">K88</f>
        <v>40</v>
      </c>
      <c r="M88" s="18">
        <f t="shared" si="74"/>
        <v>40</v>
      </c>
      <c r="N88" s="18">
        <f t="shared" si="74"/>
        <v>40</v>
      </c>
      <c r="O88" s="18">
        <f t="shared" si="74"/>
        <v>40</v>
      </c>
      <c r="P88" s="18">
        <f t="shared" si="74"/>
        <v>40</v>
      </c>
      <c r="Q88" s="18">
        <f t="shared" si="74"/>
        <v>40</v>
      </c>
      <c r="R88" s="18">
        <f t="shared" si="74"/>
        <v>40</v>
      </c>
      <c r="S88" s="18">
        <f t="shared" si="74"/>
        <v>40</v>
      </c>
      <c r="T88" s="18">
        <f t="shared" si="74"/>
        <v>40</v>
      </c>
      <c r="U88" s="18">
        <f t="shared" si="74"/>
        <v>40</v>
      </c>
    </row>
    <row r="89" spans="4:21" x14ac:dyDescent="0.25">
      <c r="D89" s="9" t="s">
        <v>26</v>
      </c>
      <c r="E89" s="9" t="s">
        <v>346</v>
      </c>
      <c r="F89" s="9" t="s">
        <v>375</v>
      </c>
      <c r="G89" s="9">
        <v>1000</v>
      </c>
      <c r="H89" s="9" t="s">
        <v>243</v>
      </c>
      <c r="I89" s="9" t="s">
        <v>336</v>
      </c>
      <c r="J89" s="9" t="s">
        <v>337</v>
      </c>
      <c r="K89" s="18">
        <v>1</v>
      </c>
      <c r="L89" s="18">
        <f t="shared" ref="L89:U89" si="75">K89</f>
        <v>1</v>
      </c>
      <c r="M89" s="18">
        <f t="shared" si="75"/>
        <v>1</v>
      </c>
      <c r="N89" s="18">
        <f t="shared" si="75"/>
        <v>1</v>
      </c>
      <c r="O89" s="18">
        <f t="shared" si="75"/>
        <v>1</v>
      </c>
      <c r="P89" s="18">
        <f t="shared" si="75"/>
        <v>1</v>
      </c>
      <c r="Q89" s="18">
        <f t="shared" si="75"/>
        <v>1</v>
      </c>
      <c r="R89" s="18">
        <f t="shared" si="75"/>
        <v>1</v>
      </c>
      <c r="S89" s="18">
        <f t="shared" si="75"/>
        <v>1</v>
      </c>
      <c r="T89" s="18">
        <f t="shared" si="75"/>
        <v>1</v>
      </c>
      <c r="U89" s="18">
        <f t="shared" si="75"/>
        <v>1</v>
      </c>
    </row>
    <row r="90" spans="4:21" x14ac:dyDescent="0.25">
      <c r="D90" s="9" t="s">
        <v>26</v>
      </c>
      <c r="E90" s="9" t="s">
        <v>346</v>
      </c>
      <c r="F90" s="9" t="s">
        <v>375</v>
      </c>
      <c r="G90" s="9">
        <v>1000</v>
      </c>
      <c r="H90" s="9" t="s">
        <v>243</v>
      </c>
      <c r="I90" s="9" t="s">
        <v>338</v>
      </c>
      <c r="J90" s="9" t="s">
        <v>337</v>
      </c>
      <c r="K90" s="18">
        <v>3</v>
      </c>
      <c r="L90" s="18">
        <f t="shared" ref="L90:U90" si="76">K90</f>
        <v>3</v>
      </c>
      <c r="M90" s="18">
        <f t="shared" si="76"/>
        <v>3</v>
      </c>
      <c r="N90" s="18">
        <f t="shared" si="76"/>
        <v>3</v>
      </c>
      <c r="O90" s="18">
        <f t="shared" si="76"/>
        <v>3</v>
      </c>
      <c r="P90" s="18">
        <f t="shared" si="76"/>
        <v>3</v>
      </c>
      <c r="Q90" s="18">
        <f t="shared" si="76"/>
        <v>3</v>
      </c>
      <c r="R90" s="18">
        <f t="shared" si="76"/>
        <v>3</v>
      </c>
      <c r="S90" s="18">
        <f t="shared" si="76"/>
        <v>3</v>
      </c>
      <c r="T90" s="18">
        <f t="shared" si="76"/>
        <v>3</v>
      </c>
      <c r="U90" s="18">
        <f t="shared" si="76"/>
        <v>3</v>
      </c>
    </row>
    <row r="91" spans="4:21" x14ac:dyDescent="0.25">
      <c r="D91" s="9" t="s">
        <v>26</v>
      </c>
      <c r="E91" s="9" t="s">
        <v>346</v>
      </c>
      <c r="F91" s="9" t="s">
        <v>375</v>
      </c>
      <c r="G91" s="9">
        <v>1000</v>
      </c>
      <c r="H91" s="9" t="s">
        <v>243</v>
      </c>
      <c r="I91" s="9" t="s">
        <v>32</v>
      </c>
      <c r="J91" s="9" t="s">
        <v>57</v>
      </c>
      <c r="K91" s="18">
        <v>2.5000000000000001E-2</v>
      </c>
      <c r="L91" s="18">
        <f t="shared" ref="L91:U91" si="77">K91</f>
        <v>2.5000000000000001E-2</v>
      </c>
      <c r="M91" s="18">
        <f t="shared" si="77"/>
        <v>2.5000000000000001E-2</v>
      </c>
      <c r="N91" s="18">
        <f t="shared" si="77"/>
        <v>2.5000000000000001E-2</v>
      </c>
      <c r="O91" s="18">
        <f t="shared" si="77"/>
        <v>2.5000000000000001E-2</v>
      </c>
      <c r="P91" s="18">
        <f t="shared" si="77"/>
        <v>2.5000000000000001E-2</v>
      </c>
      <c r="Q91" s="18">
        <f t="shared" si="77"/>
        <v>2.5000000000000001E-2</v>
      </c>
      <c r="R91" s="18">
        <f t="shared" si="77"/>
        <v>2.5000000000000001E-2</v>
      </c>
      <c r="S91" s="18">
        <f t="shared" si="77"/>
        <v>2.5000000000000001E-2</v>
      </c>
      <c r="T91" s="18">
        <f t="shared" si="77"/>
        <v>2.5000000000000001E-2</v>
      </c>
      <c r="U91" s="18">
        <f t="shared" si="77"/>
        <v>2.5000000000000001E-2</v>
      </c>
    </row>
    <row r="92" spans="4:21" x14ac:dyDescent="0.25">
      <c r="D92" s="9" t="s">
        <v>26</v>
      </c>
      <c r="E92" s="9" t="s">
        <v>346</v>
      </c>
      <c r="F92" s="9" t="s">
        <v>375</v>
      </c>
      <c r="G92" s="9">
        <v>1000</v>
      </c>
      <c r="H92" s="9" t="s">
        <v>243</v>
      </c>
      <c r="I92" s="9" t="s">
        <v>31</v>
      </c>
      <c r="J92" s="9" t="s">
        <v>57</v>
      </c>
      <c r="K92" s="18">
        <v>3.5000000000000003E-2</v>
      </c>
      <c r="L92" s="18">
        <f t="shared" ref="L92:U92" si="78">K92</f>
        <v>3.5000000000000003E-2</v>
      </c>
      <c r="M92" s="18">
        <f t="shared" si="78"/>
        <v>3.5000000000000003E-2</v>
      </c>
      <c r="N92" s="18">
        <f t="shared" si="78"/>
        <v>3.5000000000000003E-2</v>
      </c>
      <c r="O92" s="18">
        <f t="shared" si="78"/>
        <v>3.5000000000000003E-2</v>
      </c>
      <c r="P92" s="18">
        <f t="shared" si="78"/>
        <v>3.5000000000000003E-2</v>
      </c>
      <c r="Q92" s="18">
        <f t="shared" si="78"/>
        <v>3.5000000000000003E-2</v>
      </c>
      <c r="R92" s="18">
        <f t="shared" si="78"/>
        <v>3.5000000000000003E-2</v>
      </c>
      <c r="S92" s="18">
        <f t="shared" si="78"/>
        <v>3.5000000000000003E-2</v>
      </c>
      <c r="T92" s="18">
        <f t="shared" si="78"/>
        <v>3.5000000000000003E-2</v>
      </c>
      <c r="U92" s="18">
        <f t="shared" si="78"/>
        <v>3.5000000000000003E-2</v>
      </c>
    </row>
    <row r="93" spans="4:21" x14ac:dyDescent="0.25">
      <c r="D93" s="9" t="s">
        <v>26</v>
      </c>
      <c r="E93" s="9" t="s">
        <v>346</v>
      </c>
      <c r="F93" s="9" t="s">
        <v>375</v>
      </c>
      <c r="G93" s="9">
        <v>1000</v>
      </c>
      <c r="H93" s="9" t="s">
        <v>243</v>
      </c>
      <c r="I93" s="9" t="s">
        <v>339</v>
      </c>
      <c r="J93" s="9" t="s">
        <v>132</v>
      </c>
      <c r="K93" s="18">
        <v>2.5</v>
      </c>
      <c r="L93" s="18">
        <f t="shared" ref="L93:U93" si="79">K93</f>
        <v>2.5</v>
      </c>
      <c r="M93" s="18">
        <f t="shared" si="79"/>
        <v>2.5</v>
      </c>
      <c r="N93" s="18">
        <f t="shared" si="79"/>
        <v>2.5</v>
      </c>
      <c r="O93" s="18">
        <f t="shared" si="79"/>
        <v>2.5</v>
      </c>
      <c r="P93" s="18">
        <f t="shared" si="79"/>
        <v>2.5</v>
      </c>
      <c r="Q93" s="18">
        <f t="shared" si="79"/>
        <v>2.5</v>
      </c>
      <c r="R93" s="18">
        <f t="shared" si="79"/>
        <v>2.5</v>
      </c>
      <c r="S93" s="18">
        <f t="shared" si="79"/>
        <v>2.5</v>
      </c>
      <c r="T93" s="18">
        <f t="shared" si="79"/>
        <v>2.5</v>
      </c>
      <c r="U93" s="18">
        <f t="shared" si="79"/>
        <v>2.5</v>
      </c>
    </row>
    <row r="94" spans="4:21" x14ac:dyDescent="0.25">
      <c r="D94" s="9" t="s">
        <v>26</v>
      </c>
      <c r="E94" s="9" t="s">
        <v>346</v>
      </c>
      <c r="F94" s="9" t="s">
        <v>375</v>
      </c>
      <c r="G94" s="9">
        <v>1000</v>
      </c>
      <c r="H94" s="9" t="s">
        <v>243</v>
      </c>
      <c r="I94" s="9" t="s">
        <v>340</v>
      </c>
      <c r="J94" s="9" t="s">
        <v>341</v>
      </c>
      <c r="K94" s="18">
        <v>50</v>
      </c>
      <c r="L94" s="18">
        <f t="shared" ref="L94:U94" si="80">K94</f>
        <v>50</v>
      </c>
      <c r="M94" s="18">
        <f t="shared" si="80"/>
        <v>50</v>
      </c>
      <c r="N94" s="18">
        <f t="shared" si="80"/>
        <v>50</v>
      </c>
      <c r="O94" s="18">
        <f t="shared" si="80"/>
        <v>50</v>
      </c>
      <c r="P94" s="18">
        <f t="shared" si="80"/>
        <v>50</v>
      </c>
      <c r="Q94" s="18">
        <f t="shared" si="80"/>
        <v>50</v>
      </c>
      <c r="R94" s="18">
        <f t="shared" si="80"/>
        <v>50</v>
      </c>
      <c r="S94" s="18">
        <f t="shared" si="80"/>
        <v>50</v>
      </c>
      <c r="T94" s="18">
        <f t="shared" si="80"/>
        <v>50</v>
      </c>
      <c r="U94" s="18">
        <f t="shared" si="80"/>
        <v>50</v>
      </c>
    </row>
    <row r="95" spans="4:21" x14ac:dyDescent="0.25">
      <c r="D95" s="9" t="s">
        <v>26</v>
      </c>
      <c r="E95" s="9" t="s">
        <v>346</v>
      </c>
      <c r="F95" s="9" t="s">
        <v>375</v>
      </c>
      <c r="G95" s="9">
        <v>1000</v>
      </c>
      <c r="H95" s="9" t="s">
        <v>84</v>
      </c>
      <c r="I95" s="9" t="s">
        <v>288</v>
      </c>
      <c r="J95" s="9" t="s">
        <v>57</v>
      </c>
      <c r="K95" s="18">
        <v>0.45</v>
      </c>
      <c r="L95" s="18">
        <f t="shared" ref="L95:U95" si="81">K95</f>
        <v>0.45</v>
      </c>
      <c r="M95" s="18">
        <f t="shared" si="81"/>
        <v>0.45</v>
      </c>
      <c r="N95" s="18">
        <f t="shared" si="81"/>
        <v>0.45</v>
      </c>
      <c r="O95" s="18">
        <f t="shared" si="81"/>
        <v>0.45</v>
      </c>
      <c r="P95" s="18">
        <f t="shared" si="81"/>
        <v>0.45</v>
      </c>
      <c r="Q95" s="18">
        <f t="shared" si="81"/>
        <v>0.45</v>
      </c>
      <c r="R95" s="18">
        <f t="shared" si="81"/>
        <v>0.45</v>
      </c>
      <c r="S95" s="18">
        <f t="shared" si="81"/>
        <v>0.45</v>
      </c>
      <c r="T95" s="18">
        <f t="shared" si="81"/>
        <v>0.45</v>
      </c>
      <c r="U95" s="18">
        <f t="shared" si="81"/>
        <v>0.45</v>
      </c>
    </row>
    <row r="96" spans="4:21" x14ac:dyDescent="0.25">
      <c r="D96" s="9" t="s">
        <v>26</v>
      </c>
      <c r="E96" s="9" t="s">
        <v>346</v>
      </c>
      <c r="F96" s="9" t="s">
        <v>375</v>
      </c>
      <c r="G96" s="9">
        <v>1000</v>
      </c>
      <c r="H96" s="9" t="s">
        <v>84</v>
      </c>
      <c r="I96" s="9" t="s">
        <v>388</v>
      </c>
      <c r="J96" s="9" t="s">
        <v>57</v>
      </c>
      <c r="K96" s="18">
        <v>0.371</v>
      </c>
      <c r="L96" s="18">
        <f t="shared" ref="L96:U96" si="82">K96</f>
        <v>0.371</v>
      </c>
      <c r="M96" s="18">
        <f t="shared" si="82"/>
        <v>0.371</v>
      </c>
      <c r="N96" s="18">
        <f t="shared" si="82"/>
        <v>0.371</v>
      </c>
      <c r="O96" s="18">
        <f t="shared" si="82"/>
        <v>0.371</v>
      </c>
      <c r="P96" s="18">
        <f t="shared" si="82"/>
        <v>0.371</v>
      </c>
      <c r="Q96" s="18">
        <f t="shared" si="82"/>
        <v>0.371</v>
      </c>
      <c r="R96" s="18">
        <f t="shared" si="82"/>
        <v>0.371</v>
      </c>
      <c r="S96" s="18">
        <f t="shared" si="82"/>
        <v>0.371</v>
      </c>
      <c r="T96" s="18">
        <f t="shared" si="82"/>
        <v>0.371</v>
      </c>
      <c r="U96" s="18">
        <f t="shared" si="82"/>
        <v>0.371</v>
      </c>
    </row>
    <row r="97" spans="4:25" x14ac:dyDescent="0.25">
      <c r="D97" s="9" t="s">
        <v>26</v>
      </c>
      <c r="E97" s="9" t="s">
        <v>346</v>
      </c>
      <c r="F97" s="9" t="s">
        <v>375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f t="shared" ref="L97:U97" si="83">K97</f>
        <v>2.3E-2</v>
      </c>
      <c r="M97" s="18">
        <f t="shared" si="83"/>
        <v>2.3E-2</v>
      </c>
      <c r="N97" s="18">
        <f t="shared" si="83"/>
        <v>2.3E-2</v>
      </c>
      <c r="O97" s="18">
        <f t="shared" si="83"/>
        <v>2.3E-2</v>
      </c>
      <c r="P97" s="18">
        <f t="shared" si="83"/>
        <v>2.3E-2</v>
      </c>
      <c r="Q97" s="18">
        <f t="shared" si="83"/>
        <v>2.3E-2</v>
      </c>
      <c r="R97" s="18">
        <f t="shared" si="83"/>
        <v>2.3E-2</v>
      </c>
      <c r="S97" s="18">
        <f t="shared" si="83"/>
        <v>2.3E-2</v>
      </c>
      <c r="T97" s="18">
        <f t="shared" si="83"/>
        <v>2.3E-2</v>
      </c>
      <c r="U97" s="18">
        <f t="shared" si="83"/>
        <v>2.3E-2</v>
      </c>
    </row>
    <row r="98" spans="4:25" x14ac:dyDescent="0.25">
      <c r="D98" s="9" t="s">
        <v>26</v>
      </c>
      <c r="E98" s="9" t="s">
        <v>346</v>
      </c>
      <c r="F98" s="9" t="s">
        <v>375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f t="shared" ref="L98:U98" si="84">K98</f>
        <v>0.40500000000000003</v>
      </c>
      <c r="M98" s="18">
        <f t="shared" si="84"/>
        <v>0.40500000000000003</v>
      </c>
      <c r="N98" s="18">
        <f t="shared" si="84"/>
        <v>0.40500000000000003</v>
      </c>
      <c r="O98" s="18">
        <f t="shared" si="84"/>
        <v>0.40500000000000003</v>
      </c>
      <c r="P98" s="18">
        <f t="shared" si="84"/>
        <v>0.40500000000000003</v>
      </c>
      <c r="Q98" s="18">
        <f t="shared" si="84"/>
        <v>0.40500000000000003</v>
      </c>
      <c r="R98" s="18">
        <f t="shared" si="84"/>
        <v>0.40500000000000003</v>
      </c>
      <c r="S98" s="18">
        <f t="shared" si="84"/>
        <v>0.40500000000000003</v>
      </c>
      <c r="T98" s="18">
        <f t="shared" si="84"/>
        <v>0.40500000000000003</v>
      </c>
      <c r="U98" s="18">
        <f t="shared" si="84"/>
        <v>0.40500000000000003</v>
      </c>
    </row>
    <row r="99" spans="4:25" x14ac:dyDescent="0.25">
      <c r="D99" s="9" t="s">
        <v>26</v>
      </c>
      <c r="E99" s="9" t="s">
        <v>346</v>
      </c>
      <c r="F99" s="9" t="s">
        <v>375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f t="shared" ref="L99:U99" si="85">K99</f>
        <v>80</v>
      </c>
      <c r="M99" s="18">
        <f t="shared" si="85"/>
        <v>80</v>
      </c>
      <c r="N99" s="18">
        <f t="shared" si="85"/>
        <v>80</v>
      </c>
      <c r="O99" s="18">
        <f t="shared" si="85"/>
        <v>80</v>
      </c>
      <c r="P99" s="18">
        <f t="shared" si="85"/>
        <v>80</v>
      </c>
      <c r="Q99" s="18">
        <f t="shared" si="85"/>
        <v>80</v>
      </c>
      <c r="R99" s="18">
        <f t="shared" si="85"/>
        <v>80</v>
      </c>
      <c r="S99" s="18">
        <f t="shared" si="85"/>
        <v>80</v>
      </c>
      <c r="T99" s="18">
        <f t="shared" si="85"/>
        <v>80</v>
      </c>
      <c r="U99" s="18">
        <f t="shared" si="85"/>
        <v>80</v>
      </c>
    </row>
    <row r="100" spans="4:25" x14ac:dyDescent="0.25">
      <c r="D100" s="9" t="s">
        <v>26</v>
      </c>
      <c r="E100" s="9" t="s">
        <v>346</v>
      </c>
      <c r="F100" s="9" t="s">
        <v>375</v>
      </c>
      <c r="G100" s="9">
        <v>1000</v>
      </c>
      <c r="H100" s="9" t="s">
        <v>84</v>
      </c>
      <c r="I100" s="9" t="s">
        <v>336</v>
      </c>
      <c r="J100" s="9" t="s">
        <v>337</v>
      </c>
      <c r="K100" s="18">
        <v>1</v>
      </c>
      <c r="L100" s="18">
        <f t="shared" ref="L100:U100" si="86">K100</f>
        <v>1</v>
      </c>
      <c r="M100" s="18">
        <f t="shared" si="86"/>
        <v>1</v>
      </c>
      <c r="N100" s="18">
        <f t="shared" si="86"/>
        <v>1</v>
      </c>
      <c r="O100" s="18">
        <f t="shared" si="86"/>
        <v>1</v>
      </c>
      <c r="P100" s="18">
        <f t="shared" si="86"/>
        <v>1</v>
      </c>
      <c r="Q100" s="18">
        <f t="shared" si="86"/>
        <v>1</v>
      </c>
      <c r="R100" s="18">
        <f t="shared" si="86"/>
        <v>1</v>
      </c>
      <c r="S100" s="18">
        <f t="shared" si="86"/>
        <v>1</v>
      </c>
      <c r="T100" s="18">
        <f t="shared" si="86"/>
        <v>1</v>
      </c>
      <c r="U100" s="18">
        <f t="shared" si="86"/>
        <v>1</v>
      </c>
    </row>
    <row r="101" spans="4:25" x14ac:dyDescent="0.25">
      <c r="D101" s="9" t="s">
        <v>26</v>
      </c>
      <c r="E101" s="9" t="s">
        <v>346</v>
      </c>
      <c r="F101" s="9" t="s">
        <v>375</v>
      </c>
      <c r="G101" s="9">
        <v>1000</v>
      </c>
      <c r="H101" s="9" t="s">
        <v>84</v>
      </c>
      <c r="I101" s="9" t="s">
        <v>338</v>
      </c>
      <c r="J101" s="9" t="s">
        <v>337</v>
      </c>
      <c r="K101" s="18">
        <v>3</v>
      </c>
      <c r="L101" s="18">
        <f t="shared" ref="L101:U101" si="87">K101</f>
        <v>3</v>
      </c>
      <c r="M101" s="18">
        <f t="shared" si="87"/>
        <v>3</v>
      </c>
      <c r="N101" s="18">
        <f t="shared" si="87"/>
        <v>3</v>
      </c>
      <c r="O101" s="18">
        <f t="shared" si="87"/>
        <v>3</v>
      </c>
      <c r="P101" s="18">
        <f t="shared" si="87"/>
        <v>3</v>
      </c>
      <c r="Q101" s="18">
        <f t="shared" si="87"/>
        <v>3</v>
      </c>
      <c r="R101" s="18">
        <f t="shared" si="87"/>
        <v>3</v>
      </c>
      <c r="S101" s="18">
        <f t="shared" si="87"/>
        <v>3</v>
      </c>
      <c r="T101" s="18">
        <f t="shared" si="87"/>
        <v>3</v>
      </c>
      <c r="U101" s="18">
        <f t="shared" si="87"/>
        <v>3</v>
      </c>
    </row>
    <row r="102" spans="4:25" x14ac:dyDescent="0.25">
      <c r="D102" s="9" t="s">
        <v>26</v>
      </c>
      <c r="E102" s="9" t="s">
        <v>346</v>
      </c>
      <c r="F102" s="9" t="s">
        <v>375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f t="shared" ref="L102:U102" si="88">K102</f>
        <v>7.0000000000000007E-2</v>
      </c>
      <c r="M102" s="18">
        <f t="shared" si="88"/>
        <v>7.0000000000000007E-2</v>
      </c>
      <c r="N102" s="18">
        <f t="shared" si="88"/>
        <v>7.0000000000000007E-2</v>
      </c>
      <c r="O102" s="18">
        <f t="shared" si="88"/>
        <v>7.0000000000000007E-2</v>
      </c>
      <c r="P102" s="18">
        <f t="shared" si="88"/>
        <v>7.0000000000000007E-2</v>
      </c>
      <c r="Q102" s="18">
        <f t="shared" si="88"/>
        <v>7.0000000000000007E-2</v>
      </c>
      <c r="R102" s="18">
        <f t="shared" si="88"/>
        <v>7.0000000000000007E-2</v>
      </c>
      <c r="S102" s="18">
        <f t="shared" si="88"/>
        <v>7.0000000000000007E-2</v>
      </c>
      <c r="T102" s="18">
        <f t="shared" si="88"/>
        <v>7.0000000000000007E-2</v>
      </c>
      <c r="U102" s="18">
        <f t="shared" si="88"/>
        <v>7.0000000000000007E-2</v>
      </c>
    </row>
    <row r="103" spans="4:25" x14ac:dyDescent="0.25">
      <c r="D103" s="9" t="s">
        <v>26</v>
      </c>
      <c r="E103" s="9" t="s">
        <v>346</v>
      </c>
      <c r="F103" s="9" t="s">
        <v>375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f t="shared" ref="L103:U103" si="89">K103</f>
        <v>0.09</v>
      </c>
      <c r="M103" s="18">
        <f t="shared" si="89"/>
        <v>0.09</v>
      </c>
      <c r="N103" s="18">
        <f t="shared" si="89"/>
        <v>0.09</v>
      </c>
      <c r="O103" s="18">
        <f t="shared" si="89"/>
        <v>0.09</v>
      </c>
      <c r="P103" s="18">
        <f t="shared" si="89"/>
        <v>0.09</v>
      </c>
      <c r="Q103" s="18">
        <f t="shared" si="89"/>
        <v>0.09</v>
      </c>
      <c r="R103" s="18">
        <f t="shared" si="89"/>
        <v>0.09</v>
      </c>
      <c r="S103" s="18">
        <f t="shared" si="89"/>
        <v>0.09</v>
      </c>
      <c r="T103" s="18">
        <f t="shared" si="89"/>
        <v>0.09</v>
      </c>
      <c r="U103" s="18">
        <f t="shared" si="89"/>
        <v>0.09</v>
      </c>
    </row>
    <row r="104" spans="4:25" x14ac:dyDescent="0.25">
      <c r="D104" s="9" t="s">
        <v>26</v>
      </c>
      <c r="E104" s="9" t="s">
        <v>346</v>
      </c>
      <c r="F104" s="9" t="s">
        <v>375</v>
      </c>
      <c r="G104" s="9">
        <v>1000</v>
      </c>
      <c r="H104" s="9" t="s">
        <v>84</v>
      </c>
      <c r="I104" s="9" t="s">
        <v>339</v>
      </c>
      <c r="J104" s="9" t="s">
        <v>132</v>
      </c>
      <c r="K104" s="18">
        <v>2.5</v>
      </c>
      <c r="L104" s="18">
        <f t="shared" ref="L104:U104" si="90">K104</f>
        <v>2.5</v>
      </c>
      <c r="M104" s="18">
        <f t="shared" si="90"/>
        <v>2.5</v>
      </c>
      <c r="N104" s="18">
        <f t="shared" si="90"/>
        <v>2.5</v>
      </c>
      <c r="O104" s="18">
        <f t="shared" si="90"/>
        <v>2.5</v>
      </c>
      <c r="P104" s="18">
        <f t="shared" si="90"/>
        <v>2.5</v>
      </c>
      <c r="Q104" s="18">
        <f t="shared" si="90"/>
        <v>2.5</v>
      </c>
      <c r="R104" s="18">
        <f t="shared" si="90"/>
        <v>2.5</v>
      </c>
      <c r="S104" s="18">
        <f t="shared" si="90"/>
        <v>2.5</v>
      </c>
      <c r="T104" s="18">
        <f t="shared" si="90"/>
        <v>2.5</v>
      </c>
      <c r="U104" s="18">
        <f t="shared" si="90"/>
        <v>2.5</v>
      </c>
    </row>
    <row r="105" spans="4:25" x14ac:dyDescent="0.25">
      <c r="D105" s="9" t="s">
        <v>26</v>
      </c>
      <c r="E105" s="9" t="s">
        <v>346</v>
      </c>
      <c r="F105" s="9" t="s">
        <v>375</v>
      </c>
      <c r="G105" s="9">
        <v>1000</v>
      </c>
      <c r="H105" s="9" t="s">
        <v>84</v>
      </c>
      <c r="I105" s="9" t="s">
        <v>340</v>
      </c>
      <c r="J105" s="9" t="s">
        <v>341</v>
      </c>
      <c r="K105" s="18">
        <v>50</v>
      </c>
      <c r="L105" s="18">
        <f t="shared" ref="L105:U105" si="91">K105</f>
        <v>50</v>
      </c>
      <c r="M105" s="18">
        <f t="shared" si="91"/>
        <v>50</v>
      </c>
      <c r="N105" s="18">
        <f t="shared" si="91"/>
        <v>50</v>
      </c>
      <c r="O105" s="18">
        <f t="shared" si="91"/>
        <v>50</v>
      </c>
      <c r="P105" s="18">
        <f t="shared" si="91"/>
        <v>50</v>
      </c>
      <c r="Q105" s="18">
        <f t="shared" si="91"/>
        <v>50</v>
      </c>
      <c r="R105" s="18">
        <f t="shared" si="91"/>
        <v>50</v>
      </c>
      <c r="S105" s="18">
        <f t="shared" si="91"/>
        <v>50</v>
      </c>
      <c r="T105" s="18">
        <f t="shared" si="91"/>
        <v>50</v>
      </c>
      <c r="U105" s="18">
        <f t="shared" si="91"/>
        <v>50</v>
      </c>
    </row>
    <row r="106" spans="4:25" x14ac:dyDescent="0.25">
      <c r="D106" s="9" t="s">
        <v>26</v>
      </c>
      <c r="E106" s="9" t="s">
        <v>346</v>
      </c>
      <c r="F106" s="9" t="s">
        <v>375</v>
      </c>
      <c r="G106" s="9">
        <v>500</v>
      </c>
      <c r="H106" s="9" t="s">
        <v>82</v>
      </c>
      <c r="I106" s="9" t="s">
        <v>343</v>
      </c>
      <c r="J106" s="9" t="s">
        <v>57</v>
      </c>
      <c r="K106" s="18">
        <v>0.23</v>
      </c>
      <c r="L106" s="18">
        <f t="shared" ref="L106:U106" si="92">K106</f>
        <v>0.23</v>
      </c>
      <c r="M106" s="18">
        <f t="shared" si="92"/>
        <v>0.23</v>
      </c>
      <c r="N106" s="18">
        <f t="shared" si="92"/>
        <v>0.23</v>
      </c>
      <c r="O106" s="18">
        <f t="shared" si="92"/>
        <v>0.23</v>
      </c>
      <c r="P106" s="18">
        <f t="shared" si="92"/>
        <v>0.23</v>
      </c>
      <c r="Q106" s="18">
        <f t="shared" si="92"/>
        <v>0.23</v>
      </c>
      <c r="R106" s="18">
        <f t="shared" si="92"/>
        <v>0.23</v>
      </c>
      <c r="S106" s="18">
        <f t="shared" si="92"/>
        <v>0.23</v>
      </c>
      <c r="T106" s="18">
        <f t="shared" si="92"/>
        <v>0.23</v>
      </c>
      <c r="U106" s="18">
        <f t="shared" si="92"/>
        <v>0.23</v>
      </c>
    </row>
    <row r="107" spans="4:25" x14ac:dyDescent="0.25">
      <c r="D107" s="9" t="s">
        <v>26</v>
      </c>
      <c r="E107" s="9" t="s">
        <v>346</v>
      </c>
      <c r="F107" s="9" t="s">
        <v>375</v>
      </c>
      <c r="G107" s="9">
        <v>500</v>
      </c>
      <c r="H107" s="9" t="s">
        <v>82</v>
      </c>
      <c r="I107" s="9" t="s">
        <v>388</v>
      </c>
      <c r="J107" s="9" t="s">
        <v>57</v>
      </c>
      <c r="K107" s="18">
        <v>0.47699999999999998</v>
      </c>
      <c r="L107" s="18">
        <f t="shared" ref="L107:U107" si="93">K107</f>
        <v>0.47699999999999998</v>
      </c>
      <c r="M107" s="18">
        <f t="shared" si="93"/>
        <v>0.47699999999999998</v>
      </c>
      <c r="N107" s="18">
        <f t="shared" si="93"/>
        <v>0.47699999999999998</v>
      </c>
      <c r="O107" s="18">
        <f t="shared" si="93"/>
        <v>0.47699999999999998</v>
      </c>
      <c r="P107" s="18">
        <f t="shared" si="93"/>
        <v>0.47699999999999998</v>
      </c>
      <c r="Q107" s="18">
        <f t="shared" si="93"/>
        <v>0.47699999999999998</v>
      </c>
      <c r="R107" s="18">
        <f t="shared" si="93"/>
        <v>0.47699999999999998</v>
      </c>
      <c r="S107" s="18">
        <f t="shared" si="93"/>
        <v>0.47699999999999998</v>
      </c>
      <c r="T107" s="18">
        <f t="shared" si="93"/>
        <v>0.47699999999999998</v>
      </c>
      <c r="U107" s="18">
        <f t="shared" si="93"/>
        <v>0.47699999999999998</v>
      </c>
    </row>
    <row r="108" spans="4:25" ht="15.75" thickBot="1" x14ac:dyDescent="0.3">
      <c r="D108" s="9" t="s">
        <v>26</v>
      </c>
      <c r="E108" s="9" t="s">
        <v>346</v>
      </c>
      <c r="F108" s="9" t="s">
        <v>375</v>
      </c>
      <c r="G108" s="9">
        <v>500</v>
      </c>
      <c r="H108" s="9" t="s">
        <v>82</v>
      </c>
      <c r="I108" s="9" t="s">
        <v>29</v>
      </c>
      <c r="J108" s="9" t="s">
        <v>57</v>
      </c>
      <c r="K108" s="18">
        <v>3.0000000000000001E-3</v>
      </c>
      <c r="L108" s="18">
        <f t="shared" ref="L108:U108" si="94">K108</f>
        <v>3.0000000000000001E-3</v>
      </c>
      <c r="M108" s="18">
        <f t="shared" si="94"/>
        <v>3.0000000000000001E-3</v>
      </c>
      <c r="N108" s="18">
        <f t="shared" si="94"/>
        <v>3.0000000000000001E-3</v>
      </c>
      <c r="O108" s="18">
        <f t="shared" si="94"/>
        <v>3.0000000000000001E-3</v>
      </c>
      <c r="P108" s="18">
        <f t="shared" si="94"/>
        <v>3.0000000000000001E-3</v>
      </c>
      <c r="Q108" s="18">
        <f t="shared" si="94"/>
        <v>3.0000000000000001E-3</v>
      </c>
      <c r="R108" s="18">
        <f t="shared" si="94"/>
        <v>3.0000000000000001E-3</v>
      </c>
      <c r="S108" s="18">
        <f t="shared" si="94"/>
        <v>3.0000000000000001E-3</v>
      </c>
      <c r="T108" s="18">
        <f t="shared" si="94"/>
        <v>3.0000000000000001E-3</v>
      </c>
      <c r="U108" s="18">
        <f t="shared" si="94"/>
        <v>3.0000000000000001E-3</v>
      </c>
    </row>
    <row r="109" spans="4:25" x14ac:dyDescent="0.25">
      <c r="D109" s="9" t="s">
        <v>26</v>
      </c>
      <c r="E109" s="9" t="s">
        <v>346</v>
      </c>
      <c r="F109" s="9" t="s">
        <v>375</v>
      </c>
      <c r="G109" s="9">
        <v>500</v>
      </c>
      <c r="H109" s="9" t="s">
        <v>82</v>
      </c>
      <c r="I109" s="9" t="s">
        <v>16</v>
      </c>
      <c r="J109" s="9" t="s">
        <v>57</v>
      </c>
      <c r="K109" s="18">
        <v>5.6449999999999998E-3</v>
      </c>
      <c r="L109" s="18">
        <f t="shared" ref="L109:U109" si="95">K109</f>
        <v>5.6449999999999998E-3</v>
      </c>
      <c r="M109" s="18">
        <f t="shared" si="95"/>
        <v>5.6449999999999998E-3</v>
      </c>
      <c r="N109" s="18">
        <f t="shared" si="95"/>
        <v>5.6449999999999998E-3</v>
      </c>
      <c r="O109" s="18">
        <f t="shared" si="95"/>
        <v>5.6449999999999998E-3</v>
      </c>
      <c r="P109" s="18">
        <f t="shared" si="95"/>
        <v>5.6449999999999998E-3</v>
      </c>
      <c r="Q109" s="18">
        <f t="shared" si="95"/>
        <v>5.6449999999999998E-3</v>
      </c>
      <c r="R109" s="18">
        <f t="shared" si="95"/>
        <v>5.6449999999999998E-3</v>
      </c>
      <c r="S109" s="18">
        <f t="shared" si="95"/>
        <v>5.6449999999999998E-3</v>
      </c>
      <c r="T109" s="18">
        <f t="shared" si="95"/>
        <v>5.6449999999999998E-3</v>
      </c>
      <c r="U109" s="18">
        <f t="shared" si="95"/>
        <v>5.6449999999999998E-3</v>
      </c>
      <c r="W109" s="9" t="s">
        <v>184</v>
      </c>
      <c r="X109" s="8" t="s">
        <v>100</v>
      </c>
      <c r="Y109" s="17">
        <v>3</v>
      </c>
    </row>
    <row r="110" spans="4:25" x14ac:dyDescent="0.25">
      <c r="D110" s="9" t="s">
        <v>26</v>
      </c>
      <c r="E110" s="9" t="s">
        <v>346</v>
      </c>
      <c r="F110" s="9" t="s">
        <v>375</v>
      </c>
      <c r="G110" s="9">
        <v>500</v>
      </c>
      <c r="H110" s="9" t="s">
        <v>82</v>
      </c>
      <c r="I110" s="9" t="s">
        <v>13</v>
      </c>
      <c r="J110" s="9" t="s">
        <v>61</v>
      </c>
      <c r="K110" s="18">
        <v>0.36799999999999999</v>
      </c>
      <c r="L110" s="18">
        <f t="shared" ref="L110:U110" si="96">K110</f>
        <v>0.36799999999999999</v>
      </c>
      <c r="M110" s="18">
        <f t="shared" si="96"/>
        <v>0.36799999999999999</v>
      </c>
      <c r="N110" s="18">
        <f t="shared" si="96"/>
        <v>0.36799999999999999</v>
      </c>
      <c r="O110" s="18">
        <f t="shared" si="96"/>
        <v>0.36799999999999999</v>
      </c>
      <c r="P110" s="18">
        <f t="shared" si="96"/>
        <v>0.36799999999999999</v>
      </c>
      <c r="Q110" s="18">
        <f t="shared" si="96"/>
        <v>0.36799999999999999</v>
      </c>
      <c r="R110" s="18">
        <f t="shared" si="96"/>
        <v>0.36799999999999999</v>
      </c>
      <c r="S110" s="18">
        <f t="shared" si="96"/>
        <v>0.36799999999999999</v>
      </c>
      <c r="T110" s="18">
        <f t="shared" si="96"/>
        <v>0.36799999999999999</v>
      </c>
      <c r="U110" s="18">
        <f t="shared" si="96"/>
        <v>0.36799999999999999</v>
      </c>
      <c r="W110" s="9" t="s">
        <v>29</v>
      </c>
      <c r="X110" s="9" t="s">
        <v>131</v>
      </c>
      <c r="Y110" s="18">
        <v>1</v>
      </c>
    </row>
    <row r="111" spans="4:25" x14ac:dyDescent="0.25">
      <c r="D111" s="9" t="s">
        <v>26</v>
      </c>
      <c r="E111" s="9" t="s">
        <v>346</v>
      </c>
      <c r="F111" s="9" t="s">
        <v>375</v>
      </c>
      <c r="G111" s="9">
        <v>500</v>
      </c>
      <c r="H111" s="9" t="s">
        <v>82</v>
      </c>
      <c r="I111" s="9" t="s">
        <v>15</v>
      </c>
      <c r="J111" s="9" t="s">
        <v>65</v>
      </c>
      <c r="K111" s="18">
        <v>40</v>
      </c>
      <c r="L111" s="18">
        <f t="shared" ref="L111:U111" si="97">K111</f>
        <v>40</v>
      </c>
      <c r="M111" s="18">
        <f t="shared" si="97"/>
        <v>40</v>
      </c>
      <c r="N111" s="18">
        <f t="shared" si="97"/>
        <v>40</v>
      </c>
      <c r="O111" s="18">
        <f t="shared" si="97"/>
        <v>40</v>
      </c>
      <c r="P111" s="18">
        <f t="shared" si="97"/>
        <v>40</v>
      </c>
      <c r="Q111" s="18">
        <f t="shared" si="97"/>
        <v>40</v>
      </c>
      <c r="R111" s="18">
        <f t="shared" si="97"/>
        <v>40</v>
      </c>
      <c r="S111" s="18">
        <f t="shared" si="97"/>
        <v>40</v>
      </c>
      <c r="T111" s="18">
        <f t="shared" si="97"/>
        <v>40</v>
      </c>
      <c r="U111" s="18">
        <f t="shared" si="97"/>
        <v>40</v>
      </c>
      <c r="W111" s="9" t="s">
        <v>185</v>
      </c>
      <c r="X111" s="9" t="s">
        <v>133</v>
      </c>
      <c r="Y111" s="18">
        <v>4</v>
      </c>
    </row>
    <row r="112" spans="4:25" x14ac:dyDescent="0.25">
      <c r="D112" s="9" t="s">
        <v>26</v>
      </c>
      <c r="E112" s="9" t="s">
        <v>346</v>
      </c>
      <c r="F112" s="9" t="s">
        <v>375</v>
      </c>
      <c r="G112" s="9">
        <v>500</v>
      </c>
      <c r="H112" s="9" t="s">
        <v>82</v>
      </c>
      <c r="I112" s="9" t="s">
        <v>336</v>
      </c>
      <c r="J112" s="9" t="s">
        <v>337</v>
      </c>
      <c r="K112" s="18">
        <v>1</v>
      </c>
      <c r="L112" s="18">
        <f t="shared" ref="L112:U112" si="98">K112</f>
        <v>1</v>
      </c>
      <c r="M112" s="18">
        <f t="shared" si="98"/>
        <v>1</v>
      </c>
      <c r="N112" s="18">
        <f t="shared" si="98"/>
        <v>1</v>
      </c>
      <c r="O112" s="18">
        <f t="shared" si="98"/>
        <v>1</v>
      </c>
      <c r="P112" s="18">
        <f t="shared" si="98"/>
        <v>1</v>
      </c>
      <c r="Q112" s="18">
        <f t="shared" si="98"/>
        <v>1</v>
      </c>
      <c r="R112" s="18">
        <f t="shared" si="98"/>
        <v>1</v>
      </c>
      <c r="S112" s="18">
        <f t="shared" si="98"/>
        <v>1</v>
      </c>
      <c r="T112" s="18">
        <f t="shared" si="98"/>
        <v>1</v>
      </c>
      <c r="U112" s="18">
        <f t="shared" si="98"/>
        <v>1</v>
      </c>
      <c r="W112" s="9" t="s">
        <v>13</v>
      </c>
      <c r="X112" s="9" t="s">
        <v>100</v>
      </c>
      <c r="Y112" s="18">
        <v>0.6</v>
      </c>
    </row>
    <row r="113" spans="4:25" x14ac:dyDescent="0.25">
      <c r="D113" s="9" t="s">
        <v>26</v>
      </c>
      <c r="E113" s="9" t="s">
        <v>346</v>
      </c>
      <c r="F113" s="9" t="s">
        <v>375</v>
      </c>
      <c r="G113" s="9">
        <v>500</v>
      </c>
      <c r="H113" s="9" t="s">
        <v>82</v>
      </c>
      <c r="I113" s="9" t="s">
        <v>338</v>
      </c>
      <c r="J113" s="9" t="s">
        <v>337</v>
      </c>
      <c r="K113" s="18">
        <v>3</v>
      </c>
      <c r="L113" s="18">
        <f t="shared" ref="L113:U113" si="99">K113</f>
        <v>3</v>
      </c>
      <c r="M113" s="18">
        <f t="shared" si="99"/>
        <v>3</v>
      </c>
      <c r="N113" s="18">
        <f t="shared" si="99"/>
        <v>3</v>
      </c>
      <c r="O113" s="18">
        <f t="shared" si="99"/>
        <v>3</v>
      </c>
      <c r="P113" s="18">
        <f t="shared" si="99"/>
        <v>3</v>
      </c>
      <c r="Q113" s="18">
        <f t="shared" si="99"/>
        <v>3</v>
      </c>
      <c r="R113" s="18">
        <f t="shared" si="99"/>
        <v>3</v>
      </c>
      <c r="S113" s="18">
        <f t="shared" si="99"/>
        <v>3</v>
      </c>
      <c r="T113" s="18">
        <f t="shared" si="99"/>
        <v>3</v>
      </c>
      <c r="U113" s="18">
        <f t="shared" si="99"/>
        <v>3</v>
      </c>
      <c r="W113" s="9" t="s">
        <v>15</v>
      </c>
      <c r="X113" s="9" t="s">
        <v>131</v>
      </c>
      <c r="Y113" s="18">
        <v>1</v>
      </c>
    </row>
    <row r="114" spans="4:25" x14ac:dyDescent="0.25">
      <c r="D114" s="9" t="s">
        <v>26</v>
      </c>
      <c r="E114" s="9" t="s">
        <v>346</v>
      </c>
      <c r="F114" s="9" t="s">
        <v>375</v>
      </c>
      <c r="G114" s="9">
        <v>500</v>
      </c>
      <c r="H114" s="9" t="s">
        <v>82</v>
      </c>
      <c r="I114" s="9" t="s">
        <v>32</v>
      </c>
      <c r="J114" s="9" t="s">
        <v>57</v>
      </c>
      <c r="K114" s="18">
        <v>2.5000000000000001E-2</v>
      </c>
      <c r="L114" s="18">
        <f t="shared" ref="L114:U114" si="100">K114</f>
        <v>2.5000000000000001E-2</v>
      </c>
      <c r="M114" s="18">
        <f t="shared" si="100"/>
        <v>2.5000000000000001E-2</v>
      </c>
      <c r="N114" s="18">
        <f t="shared" si="100"/>
        <v>2.5000000000000001E-2</v>
      </c>
      <c r="O114" s="18">
        <f t="shared" si="100"/>
        <v>2.5000000000000001E-2</v>
      </c>
      <c r="P114" s="18">
        <f t="shared" si="100"/>
        <v>2.5000000000000001E-2</v>
      </c>
      <c r="Q114" s="18">
        <f t="shared" si="100"/>
        <v>2.5000000000000001E-2</v>
      </c>
      <c r="R114" s="18">
        <f t="shared" si="100"/>
        <v>2.5000000000000001E-2</v>
      </c>
      <c r="S114" s="18">
        <f t="shared" si="100"/>
        <v>2.5000000000000001E-2</v>
      </c>
      <c r="T114" s="18">
        <f t="shared" si="100"/>
        <v>2.5000000000000001E-2</v>
      </c>
      <c r="U114" s="18">
        <f t="shared" si="100"/>
        <v>2.5000000000000001E-2</v>
      </c>
      <c r="W114" s="9" t="s">
        <v>35</v>
      </c>
      <c r="X114" s="9" t="s">
        <v>133</v>
      </c>
      <c r="Y114" s="18">
        <v>15</v>
      </c>
    </row>
    <row r="115" spans="4:25" x14ac:dyDescent="0.25">
      <c r="D115" s="9" t="s">
        <v>26</v>
      </c>
      <c r="E115" s="9" t="s">
        <v>346</v>
      </c>
      <c r="F115" s="9" t="s">
        <v>375</v>
      </c>
      <c r="G115" s="9">
        <v>500</v>
      </c>
      <c r="H115" s="9" t="s">
        <v>82</v>
      </c>
      <c r="I115" s="9" t="s">
        <v>31</v>
      </c>
      <c r="J115" s="9" t="s">
        <v>57</v>
      </c>
      <c r="K115" s="18">
        <v>3.5000000000000003E-2</v>
      </c>
      <c r="L115" s="18">
        <f t="shared" ref="L115:U115" si="101">K115</f>
        <v>3.5000000000000003E-2</v>
      </c>
      <c r="M115" s="18">
        <f t="shared" si="101"/>
        <v>3.5000000000000003E-2</v>
      </c>
      <c r="N115" s="18">
        <f t="shared" si="101"/>
        <v>3.5000000000000003E-2</v>
      </c>
      <c r="O115" s="18">
        <f t="shared" si="101"/>
        <v>3.5000000000000003E-2</v>
      </c>
      <c r="P115" s="18">
        <f t="shared" si="101"/>
        <v>3.5000000000000003E-2</v>
      </c>
      <c r="Q115" s="18">
        <f t="shared" si="101"/>
        <v>3.5000000000000003E-2</v>
      </c>
      <c r="R115" s="18">
        <f t="shared" si="101"/>
        <v>3.5000000000000003E-2</v>
      </c>
      <c r="S115" s="18">
        <f t="shared" si="101"/>
        <v>3.5000000000000003E-2</v>
      </c>
      <c r="T115" s="18">
        <f t="shared" si="101"/>
        <v>3.5000000000000003E-2</v>
      </c>
      <c r="U115" s="18">
        <f t="shared" si="101"/>
        <v>3.5000000000000003E-2</v>
      </c>
      <c r="W115" s="9" t="s">
        <v>186</v>
      </c>
      <c r="X115" s="9" t="s">
        <v>133</v>
      </c>
      <c r="Y115" s="18">
        <v>15</v>
      </c>
    </row>
    <row r="116" spans="4:25" x14ac:dyDescent="0.25">
      <c r="D116" s="9" t="s">
        <v>26</v>
      </c>
      <c r="E116" s="9" t="s">
        <v>346</v>
      </c>
      <c r="F116" s="9" t="s">
        <v>375</v>
      </c>
      <c r="G116" s="9">
        <v>500</v>
      </c>
      <c r="H116" s="9" t="s">
        <v>82</v>
      </c>
      <c r="I116" s="9" t="s">
        <v>339</v>
      </c>
      <c r="J116" s="9" t="s">
        <v>132</v>
      </c>
      <c r="K116" s="18">
        <v>2.5</v>
      </c>
      <c r="L116" s="18">
        <f t="shared" ref="L116:U116" si="102">K116</f>
        <v>2.5</v>
      </c>
      <c r="M116" s="18">
        <f t="shared" si="102"/>
        <v>2.5</v>
      </c>
      <c r="N116" s="18">
        <f t="shared" si="102"/>
        <v>2.5</v>
      </c>
      <c r="O116" s="18">
        <f t="shared" si="102"/>
        <v>2.5</v>
      </c>
      <c r="P116" s="18">
        <f t="shared" si="102"/>
        <v>2.5</v>
      </c>
      <c r="Q116" s="18">
        <f t="shared" si="102"/>
        <v>2.5</v>
      </c>
      <c r="R116" s="18">
        <f t="shared" si="102"/>
        <v>2.5</v>
      </c>
      <c r="S116" s="18">
        <f t="shared" si="102"/>
        <v>2.5</v>
      </c>
      <c r="T116" s="18">
        <f t="shared" si="102"/>
        <v>2.5</v>
      </c>
      <c r="U116" s="18">
        <f t="shared" si="102"/>
        <v>2.5</v>
      </c>
    </row>
    <row r="117" spans="4:25" x14ac:dyDescent="0.25">
      <c r="D117" s="9" t="s">
        <v>26</v>
      </c>
      <c r="E117" s="9" t="s">
        <v>346</v>
      </c>
      <c r="F117" s="9" t="s">
        <v>375</v>
      </c>
      <c r="G117" s="9">
        <v>500</v>
      </c>
      <c r="H117" s="9" t="s">
        <v>82</v>
      </c>
      <c r="I117" s="9" t="s">
        <v>340</v>
      </c>
      <c r="J117" s="9" t="s">
        <v>341</v>
      </c>
      <c r="K117" s="18">
        <v>50</v>
      </c>
      <c r="L117" s="18">
        <f t="shared" ref="L117:U117" si="103">K117</f>
        <v>50</v>
      </c>
      <c r="M117" s="18">
        <f t="shared" si="103"/>
        <v>50</v>
      </c>
      <c r="N117" s="18">
        <f t="shared" si="103"/>
        <v>50</v>
      </c>
      <c r="O117" s="18">
        <f t="shared" si="103"/>
        <v>50</v>
      </c>
      <c r="P117" s="18">
        <f t="shared" si="103"/>
        <v>50</v>
      </c>
      <c r="Q117" s="18">
        <f t="shared" si="103"/>
        <v>50</v>
      </c>
      <c r="R117" s="18">
        <f t="shared" si="103"/>
        <v>50</v>
      </c>
      <c r="S117" s="18">
        <f t="shared" si="103"/>
        <v>50</v>
      </c>
      <c r="T117" s="18">
        <f t="shared" si="103"/>
        <v>50</v>
      </c>
      <c r="U117" s="18">
        <f t="shared" si="103"/>
        <v>50</v>
      </c>
    </row>
    <row r="118" spans="4:25" x14ac:dyDescent="0.25">
      <c r="D118" s="9" t="s">
        <v>26</v>
      </c>
      <c r="E118" s="9" t="s">
        <v>346</v>
      </c>
      <c r="F118" s="9" t="s">
        <v>375</v>
      </c>
      <c r="G118" s="9">
        <v>500</v>
      </c>
      <c r="H118" s="9" t="s">
        <v>81</v>
      </c>
      <c r="I118" s="9" t="s">
        <v>343</v>
      </c>
      <c r="J118" s="9" t="s">
        <v>57</v>
      </c>
      <c r="K118" s="18">
        <v>0.14000000000000001</v>
      </c>
      <c r="L118" s="18">
        <f t="shared" ref="L118:U118" si="104">K118</f>
        <v>0.14000000000000001</v>
      </c>
      <c r="M118" s="18">
        <f t="shared" si="104"/>
        <v>0.14000000000000001</v>
      </c>
      <c r="N118" s="18">
        <f t="shared" si="104"/>
        <v>0.14000000000000001</v>
      </c>
      <c r="O118" s="18">
        <f t="shared" si="104"/>
        <v>0.14000000000000001</v>
      </c>
      <c r="P118" s="18">
        <f t="shared" si="104"/>
        <v>0.14000000000000001</v>
      </c>
      <c r="Q118" s="18">
        <f t="shared" si="104"/>
        <v>0.14000000000000001</v>
      </c>
      <c r="R118" s="18">
        <f t="shared" si="104"/>
        <v>0.14000000000000001</v>
      </c>
      <c r="S118" s="18">
        <f t="shared" si="104"/>
        <v>0.14000000000000001</v>
      </c>
      <c r="T118" s="18">
        <f t="shared" si="104"/>
        <v>0.14000000000000001</v>
      </c>
      <c r="U118" s="18">
        <f t="shared" si="104"/>
        <v>0.14000000000000001</v>
      </c>
      <c r="W118" s="134">
        <f>(K110*Y112+K111*Y113+K106*Y109)</f>
        <v>40.910799999999995</v>
      </c>
      <c r="X118" s="5" t="s">
        <v>371</v>
      </c>
    </row>
    <row r="119" spans="4:25" x14ac:dyDescent="0.25">
      <c r="D119" s="9" t="s">
        <v>26</v>
      </c>
      <c r="E119" s="9" t="s">
        <v>346</v>
      </c>
      <c r="F119" s="9" t="s">
        <v>375</v>
      </c>
      <c r="G119" s="9">
        <v>500</v>
      </c>
      <c r="H119" s="9" t="s">
        <v>81</v>
      </c>
      <c r="I119" s="9" t="s">
        <v>388</v>
      </c>
      <c r="J119" s="9" t="s">
        <v>57</v>
      </c>
      <c r="K119" s="18">
        <v>0.54100000000000004</v>
      </c>
      <c r="L119" s="18">
        <f t="shared" ref="L119:U119" si="105">K119</f>
        <v>0.54100000000000004</v>
      </c>
      <c r="M119" s="18">
        <f t="shared" si="105"/>
        <v>0.54100000000000004</v>
      </c>
      <c r="N119" s="18">
        <f t="shared" si="105"/>
        <v>0.54100000000000004</v>
      </c>
      <c r="O119" s="18">
        <f t="shared" si="105"/>
        <v>0.54100000000000004</v>
      </c>
      <c r="P119" s="18">
        <f t="shared" si="105"/>
        <v>0.54100000000000004</v>
      </c>
      <c r="Q119" s="18">
        <f t="shared" si="105"/>
        <v>0.54100000000000004</v>
      </c>
      <c r="R119" s="18">
        <f t="shared" si="105"/>
        <v>0.54100000000000004</v>
      </c>
      <c r="S119" s="18">
        <f t="shared" si="105"/>
        <v>0.54100000000000004</v>
      </c>
      <c r="T119" s="18">
        <f t="shared" si="105"/>
        <v>0.54100000000000004</v>
      </c>
      <c r="U119" s="18">
        <f t="shared" si="105"/>
        <v>0.54100000000000004</v>
      </c>
      <c r="W119" s="134">
        <f>500000</f>
        <v>500000</v>
      </c>
      <c r="X119" s="5" t="s">
        <v>368</v>
      </c>
    </row>
    <row r="120" spans="4:25" x14ac:dyDescent="0.25">
      <c r="D120" s="9" t="s">
        <v>26</v>
      </c>
      <c r="E120" s="9" t="s">
        <v>346</v>
      </c>
      <c r="F120" s="9" t="s">
        <v>375</v>
      </c>
      <c r="G120" s="9">
        <v>500</v>
      </c>
      <c r="H120" s="9" t="s">
        <v>81</v>
      </c>
      <c r="I120" s="9" t="s">
        <v>29</v>
      </c>
      <c r="J120" s="9" t="s">
        <v>57</v>
      </c>
      <c r="K120" s="18">
        <v>8.9999999999999993E-3</v>
      </c>
      <c r="L120" s="18">
        <f t="shared" ref="L120:U120" si="106">K120</f>
        <v>8.9999999999999993E-3</v>
      </c>
      <c r="M120" s="18">
        <f t="shared" si="106"/>
        <v>8.9999999999999993E-3</v>
      </c>
      <c r="N120" s="18">
        <f t="shared" si="106"/>
        <v>8.9999999999999993E-3</v>
      </c>
      <c r="O120" s="18">
        <f t="shared" si="106"/>
        <v>8.9999999999999993E-3</v>
      </c>
      <c r="P120" s="18">
        <f t="shared" si="106"/>
        <v>8.9999999999999993E-3</v>
      </c>
      <c r="Q120" s="18">
        <f t="shared" si="106"/>
        <v>8.9999999999999993E-3</v>
      </c>
      <c r="R120" s="18">
        <f t="shared" si="106"/>
        <v>8.9999999999999993E-3</v>
      </c>
      <c r="S120" s="18">
        <f t="shared" si="106"/>
        <v>8.9999999999999993E-3</v>
      </c>
      <c r="T120" s="18">
        <f t="shared" si="106"/>
        <v>8.9999999999999993E-3</v>
      </c>
      <c r="U120" s="18">
        <f t="shared" si="106"/>
        <v>8.9999999999999993E-3</v>
      </c>
    </row>
    <row r="121" spans="4:25" x14ac:dyDescent="0.25">
      <c r="D121" s="9" t="s">
        <v>26</v>
      </c>
      <c r="E121" s="9" t="s">
        <v>346</v>
      </c>
      <c r="F121" s="9" t="s">
        <v>375</v>
      </c>
      <c r="G121" s="9">
        <v>500</v>
      </c>
      <c r="H121" s="9" t="s">
        <v>81</v>
      </c>
      <c r="I121" s="9" t="s">
        <v>16</v>
      </c>
      <c r="J121" s="9" t="s">
        <v>57</v>
      </c>
      <c r="K121" s="18">
        <v>5.8799999999999998E-3</v>
      </c>
      <c r="L121" s="18">
        <f t="shared" ref="L121:U121" si="107">K121</f>
        <v>5.8799999999999998E-3</v>
      </c>
      <c r="M121" s="18">
        <f t="shared" si="107"/>
        <v>5.8799999999999998E-3</v>
      </c>
      <c r="N121" s="18">
        <f t="shared" si="107"/>
        <v>5.8799999999999998E-3</v>
      </c>
      <c r="O121" s="18">
        <f t="shared" si="107"/>
        <v>5.8799999999999998E-3</v>
      </c>
      <c r="P121" s="18">
        <f t="shared" si="107"/>
        <v>5.8799999999999998E-3</v>
      </c>
      <c r="Q121" s="18">
        <f t="shared" si="107"/>
        <v>5.8799999999999998E-3</v>
      </c>
      <c r="R121" s="18">
        <f t="shared" si="107"/>
        <v>5.8799999999999998E-3</v>
      </c>
      <c r="S121" s="18">
        <f t="shared" si="107"/>
        <v>5.8799999999999998E-3</v>
      </c>
      <c r="T121" s="18">
        <f t="shared" si="107"/>
        <v>5.8799999999999998E-3</v>
      </c>
      <c r="U121" s="18">
        <f t="shared" si="107"/>
        <v>5.8799999999999998E-3</v>
      </c>
      <c r="W121" s="134">
        <f>W119*W118</f>
        <v>20455399.999999996</v>
      </c>
    </row>
    <row r="122" spans="4:25" x14ac:dyDescent="0.25">
      <c r="D122" s="9" t="s">
        <v>26</v>
      </c>
      <c r="E122" s="9" t="s">
        <v>346</v>
      </c>
      <c r="F122" s="9" t="s">
        <v>375</v>
      </c>
      <c r="G122" s="9">
        <v>500</v>
      </c>
      <c r="H122" s="9" t="s">
        <v>81</v>
      </c>
      <c r="I122" s="9" t="s">
        <v>13</v>
      </c>
      <c r="J122" s="9" t="s">
        <v>61</v>
      </c>
      <c r="K122" s="18">
        <v>0.21999999999999997</v>
      </c>
      <c r="L122" s="18">
        <f t="shared" ref="L122:U122" si="108">K122</f>
        <v>0.21999999999999997</v>
      </c>
      <c r="M122" s="18">
        <f t="shared" si="108"/>
        <v>0.21999999999999997</v>
      </c>
      <c r="N122" s="18">
        <f t="shared" si="108"/>
        <v>0.21999999999999997</v>
      </c>
      <c r="O122" s="18">
        <f t="shared" si="108"/>
        <v>0.21999999999999997</v>
      </c>
      <c r="P122" s="18">
        <f t="shared" si="108"/>
        <v>0.21999999999999997</v>
      </c>
      <c r="Q122" s="18">
        <f t="shared" si="108"/>
        <v>0.21999999999999997</v>
      </c>
      <c r="R122" s="18">
        <f t="shared" si="108"/>
        <v>0.21999999999999997</v>
      </c>
      <c r="S122" s="18">
        <f t="shared" si="108"/>
        <v>0.21999999999999997</v>
      </c>
      <c r="T122" s="18">
        <f t="shared" si="108"/>
        <v>0.21999999999999997</v>
      </c>
      <c r="U122" s="18">
        <f t="shared" si="108"/>
        <v>0.21999999999999997</v>
      </c>
    </row>
    <row r="123" spans="4:25" x14ac:dyDescent="0.25">
      <c r="D123" s="9" t="s">
        <v>26</v>
      </c>
      <c r="E123" s="9" t="s">
        <v>346</v>
      </c>
      <c r="F123" s="9" t="s">
        <v>375</v>
      </c>
      <c r="G123" s="9">
        <v>500</v>
      </c>
      <c r="H123" s="9" t="s">
        <v>81</v>
      </c>
      <c r="I123" s="9" t="s">
        <v>15</v>
      </c>
      <c r="J123" s="9" t="s">
        <v>65</v>
      </c>
      <c r="K123" s="18">
        <v>40</v>
      </c>
      <c r="L123" s="18">
        <f t="shared" ref="L123:U123" si="109">K123</f>
        <v>40</v>
      </c>
      <c r="M123" s="18">
        <f t="shared" si="109"/>
        <v>40</v>
      </c>
      <c r="N123" s="18">
        <f t="shared" si="109"/>
        <v>40</v>
      </c>
      <c r="O123" s="18">
        <f t="shared" si="109"/>
        <v>40</v>
      </c>
      <c r="P123" s="18">
        <f t="shared" si="109"/>
        <v>40</v>
      </c>
      <c r="Q123" s="18">
        <f t="shared" si="109"/>
        <v>40</v>
      </c>
      <c r="R123" s="18">
        <f t="shared" si="109"/>
        <v>40</v>
      </c>
      <c r="S123" s="18">
        <f t="shared" si="109"/>
        <v>40</v>
      </c>
      <c r="T123" s="18">
        <f t="shared" si="109"/>
        <v>40</v>
      </c>
      <c r="U123" s="18">
        <f t="shared" si="109"/>
        <v>40</v>
      </c>
      <c r="W123" s="134">
        <f>W121*5</f>
        <v>102276999.99999999</v>
      </c>
    </row>
    <row r="124" spans="4:25" x14ac:dyDescent="0.25">
      <c r="D124" s="9" t="s">
        <v>26</v>
      </c>
      <c r="E124" s="9" t="s">
        <v>346</v>
      </c>
      <c r="F124" s="9" t="s">
        <v>375</v>
      </c>
      <c r="G124" s="9">
        <v>500</v>
      </c>
      <c r="H124" s="9" t="s">
        <v>81</v>
      </c>
      <c r="I124" s="9" t="s">
        <v>336</v>
      </c>
      <c r="J124" s="9" t="s">
        <v>337</v>
      </c>
      <c r="K124" s="18">
        <v>1</v>
      </c>
      <c r="L124" s="18">
        <f t="shared" ref="L124:U124" si="110">K124</f>
        <v>1</v>
      </c>
      <c r="M124" s="18">
        <f t="shared" si="110"/>
        <v>1</v>
      </c>
      <c r="N124" s="18">
        <f t="shared" si="110"/>
        <v>1</v>
      </c>
      <c r="O124" s="18">
        <f t="shared" si="110"/>
        <v>1</v>
      </c>
      <c r="P124" s="18">
        <f t="shared" si="110"/>
        <v>1</v>
      </c>
      <c r="Q124" s="18">
        <f t="shared" si="110"/>
        <v>1</v>
      </c>
      <c r="R124" s="18">
        <f t="shared" si="110"/>
        <v>1</v>
      </c>
      <c r="S124" s="18">
        <f t="shared" si="110"/>
        <v>1</v>
      </c>
      <c r="T124" s="18">
        <f t="shared" si="110"/>
        <v>1</v>
      </c>
      <c r="U124" s="18">
        <f t="shared" si="110"/>
        <v>1</v>
      </c>
    </row>
    <row r="125" spans="4:25" x14ac:dyDescent="0.25">
      <c r="D125" s="9" t="s">
        <v>26</v>
      </c>
      <c r="E125" s="9" t="s">
        <v>346</v>
      </c>
      <c r="F125" s="9" t="s">
        <v>375</v>
      </c>
      <c r="G125" s="9">
        <v>500</v>
      </c>
      <c r="H125" s="9" t="s">
        <v>81</v>
      </c>
      <c r="I125" s="9" t="s">
        <v>338</v>
      </c>
      <c r="J125" s="9" t="s">
        <v>337</v>
      </c>
      <c r="K125" s="18">
        <v>3</v>
      </c>
      <c r="L125" s="18">
        <f t="shared" ref="L125:U125" si="111">K125</f>
        <v>3</v>
      </c>
      <c r="M125" s="18">
        <f t="shared" si="111"/>
        <v>3</v>
      </c>
      <c r="N125" s="18">
        <f t="shared" si="111"/>
        <v>3</v>
      </c>
      <c r="O125" s="18">
        <f t="shared" si="111"/>
        <v>3</v>
      </c>
      <c r="P125" s="18">
        <f t="shared" si="111"/>
        <v>3</v>
      </c>
      <c r="Q125" s="18">
        <f t="shared" si="111"/>
        <v>3</v>
      </c>
      <c r="R125" s="18">
        <f t="shared" si="111"/>
        <v>3</v>
      </c>
      <c r="S125" s="18">
        <f t="shared" si="111"/>
        <v>3</v>
      </c>
      <c r="T125" s="18">
        <f t="shared" si="111"/>
        <v>3</v>
      </c>
      <c r="U125" s="18">
        <f t="shared" si="111"/>
        <v>3</v>
      </c>
    </row>
    <row r="126" spans="4:25" x14ac:dyDescent="0.25">
      <c r="D126" s="9" t="s">
        <v>26</v>
      </c>
      <c r="E126" s="9" t="s">
        <v>346</v>
      </c>
      <c r="F126" s="9" t="s">
        <v>375</v>
      </c>
      <c r="G126" s="9">
        <v>500</v>
      </c>
      <c r="H126" s="9" t="s">
        <v>81</v>
      </c>
      <c r="I126" s="9" t="s">
        <v>32</v>
      </c>
      <c r="J126" s="9" t="s">
        <v>57</v>
      </c>
      <c r="K126" s="18">
        <v>2.5000000000000001E-2</v>
      </c>
      <c r="L126" s="18">
        <f t="shared" ref="L126:U126" si="112">K126</f>
        <v>2.5000000000000001E-2</v>
      </c>
      <c r="M126" s="18">
        <f t="shared" si="112"/>
        <v>2.5000000000000001E-2</v>
      </c>
      <c r="N126" s="18">
        <f t="shared" si="112"/>
        <v>2.5000000000000001E-2</v>
      </c>
      <c r="O126" s="18">
        <f t="shared" si="112"/>
        <v>2.5000000000000001E-2</v>
      </c>
      <c r="P126" s="18">
        <f t="shared" si="112"/>
        <v>2.5000000000000001E-2</v>
      </c>
      <c r="Q126" s="18">
        <f t="shared" si="112"/>
        <v>2.5000000000000001E-2</v>
      </c>
      <c r="R126" s="18">
        <f t="shared" si="112"/>
        <v>2.5000000000000001E-2</v>
      </c>
      <c r="S126" s="18">
        <f t="shared" si="112"/>
        <v>2.5000000000000001E-2</v>
      </c>
      <c r="T126" s="18">
        <f t="shared" si="112"/>
        <v>2.5000000000000001E-2</v>
      </c>
      <c r="U126" s="18">
        <f t="shared" si="112"/>
        <v>2.5000000000000001E-2</v>
      </c>
    </row>
    <row r="127" spans="4:25" x14ac:dyDescent="0.25">
      <c r="D127" s="9" t="s">
        <v>26</v>
      </c>
      <c r="E127" s="9" t="s">
        <v>346</v>
      </c>
      <c r="F127" s="9" t="s">
        <v>375</v>
      </c>
      <c r="G127" s="9">
        <v>500</v>
      </c>
      <c r="H127" s="9" t="s">
        <v>81</v>
      </c>
      <c r="I127" s="9" t="s">
        <v>31</v>
      </c>
      <c r="J127" s="9" t="s">
        <v>57</v>
      </c>
      <c r="K127" s="18">
        <v>3.5000000000000003E-2</v>
      </c>
      <c r="L127" s="18">
        <f t="shared" ref="L127:U127" si="113">K127</f>
        <v>3.5000000000000003E-2</v>
      </c>
      <c r="M127" s="18">
        <f t="shared" si="113"/>
        <v>3.5000000000000003E-2</v>
      </c>
      <c r="N127" s="18">
        <f t="shared" si="113"/>
        <v>3.5000000000000003E-2</v>
      </c>
      <c r="O127" s="18">
        <f t="shared" si="113"/>
        <v>3.5000000000000003E-2</v>
      </c>
      <c r="P127" s="18">
        <f t="shared" si="113"/>
        <v>3.5000000000000003E-2</v>
      </c>
      <c r="Q127" s="18">
        <f t="shared" si="113"/>
        <v>3.5000000000000003E-2</v>
      </c>
      <c r="R127" s="18">
        <f t="shared" si="113"/>
        <v>3.5000000000000003E-2</v>
      </c>
      <c r="S127" s="18">
        <f t="shared" si="113"/>
        <v>3.5000000000000003E-2</v>
      </c>
      <c r="T127" s="18">
        <f t="shared" si="113"/>
        <v>3.5000000000000003E-2</v>
      </c>
      <c r="U127" s="18">
        <f t="shared" si="113"/>
        <v>3.5000000000000003E-2</v>
      </c>
      <c r="W127" s="5">
        <f>200.18*500000</f>
        <v>100090000</v>
      </c>
    </row>
    <row r="128" spans="4:25" x14ac:dyDescent="0.25">
      <c r="D128" s="9" t="s">
        <v>26</v>
      </c>
      <c r="E128" s="9" t="s">
        <v>346</v>
      </c>
      <c r="F128" s="9" t="s">
        <v>375</v>
      </c>
      <c r="G128" s="9">
        <v>500</v>
      </c>
      <c r="H128" s="9" t="s">
        <v>81</v>
      </c>
      <c r="I128" s="9" t="s">
        <v>339</v>
      </c>
      <c r="J128" s="9" t="s">
        <v>132</v>
      </c>
      <c r="K128" s="18">
        <v>2.5</v>
      </c>
      <c r="L128" s="18">
        <f t="shared" ref="L128:U128" si="114">K128</f>
        <v>2.5</v>
      </c>
      <c r="M128" s="18">
        <f t="shared" si="114"/>
        <v>2.5</v>
      </c>
      <c r="N128" s="18">
        <f t="shared" si="114"/>
        <v>2.5</v>
      </c>
      <c r="O128" s="18">
        <f t="shared" si="114"/>
        <v>2.5</v>
      </c>
      <c r="P128" s="18">
        <f t="shared" si="114"/>
        <v>2.5</v>
      </c>
      <c r="Q128" s="18">
        <f t="shared" si="114"/>
        <v>2.5</v>
      </c>
      <c r="R128" s="18">
        <f t="shared" si="114"/>
        <v>2.5</v>
      </c>
      <c r="S128" s="18">
        <f t="shared" si="114"/>
        <v>2.5</v>
      </c>
      <c r="T128" s="18">
        <f t="shared" si="114"/>
        <v>2.5</v>
      </c>
      <c r="U128" s="18">
        <f t="shared" si="114"/>
        <v>2.5</v>
      </c>
    </row>
    <row r="129" spans="4:21" x14ac:dyDescent="0.25">
      <c r="D129" s="9" t="s">
        <v>26</v>
      </c>
      <c r="E129" s="9" t="s">
        <v>346</v>
      </c>
      <c r="F129" s="9" t="s">
        <v>375</v>
      </c>
      <c r="G129" s="9">
        <v>500</v>
      </c>
      <c r="H129" s="9" t="s">
        <v>81</v>
      </c>
      <c r="I129" s="9" t="s">
        <v>340</v>
      </c>
      <c r="J129" s="9" t="s">
        <v>341</v>
      </c>
      <c r="K129" s="18">
        <v>50</v>
      </c>
      <c r="L129" s="18">
        <f t="shared" ref="L129:U129" si="115">K129</f>
        <v>50</v>
      </c>
      <c r="M129" s="18">
        <f t="shared" si="115"/>
        <v>50</v>
      </c>
      <c r="N129" s="18">
        <f t="shared" si="115"/>
        <v>50</v>
      </c>
      <c r="O129" s="18">
        <f t="shared" si="115"/>
        <v>50</v>
      </c>
      <c r="P129" s="18">
        <f t="shared" si="115"/>
        <v>50</v>
      </c>
      <c r="Q129" s="18">
        <f t="shared" si="115"/>
        <v>50</v>
      </c>
      <c r="R129" s="18">
        <f t="shared" si="115"/>
        <v>50</v>
      </c>
      <c r="S129" s="18">
        <f t="shared" si="115"/>
        <v>50</v>
      </c>
      <c r="T129" s="18">
        <f t="shared" si="115"/>
        <v>50</v>
      </c>
      <c r="U129" s="18">
        <f t="shared" si="115"/>
        <v>50</v>
      </c>
    </row>
    <row r="130" spans="4:21" x14ac:dyDescent="0.25">
      <c r="D130" s="9" t="s">
        <v>26</v>
      </c>
      <c r="E130" s="9" t="s">
        <v>346</v>
      </c>
      <c r="F130" s="9" t="s">
        <v>375</v>
      </c>
      <c r="G130" s="9">
        <v>500</v>
      </c>
      <c r="H130" s="9" t="s">
        <v>83</v>
      </c>
      <c r="I130" s="9" t="s">
        <v>343</v>
      </c>
      <c r="J130" s="9" t="s">
        <v>57</v>
      </c>
      <c r="K130" s="18">
        <v>0.186</v>
      </c>
      <c r="L130" s="18">
        <f t="shared" ref="L130:U130" si="116">K130</f>
        <v>0.186</v>
      </c>
      <c r="M130" s="18">
        <f t="shared" si="116"/>
        <v>0.186</v>
      </c>
      <c r="N130" s="18">
        <f t="shared" si="116"/>
        <v>0.186</v>
      </c>
      <c r="O130" s="18">
        <f t="shared" si="116"/>
        <v>0.186</v>
      </c>
      <c r="P130" s="18">
        <f t="shared" si="116"/>
        <v>0.186</v>
      </c>
      <c r="Q130" s="18">
        <f t="shared" si="116"/>
        <v>0.186</v>
      </c>
      <c r="R130" s="18">
        <f t="shared" si="116"/>
        <v>0.186</v>
      </c>
      <c r="S130" s="18">
        <f t="shared" si="116"/>
        <v>0.186</v>
      </c>
      <c r="T130" s="18">
        <f t="shared" si="116"/>
        <v>0.186</v>
      </c>
      <c r="U130" s="18">
        <f t="shared" si="116"/>
        <v>0.186</v>
      </c>
    </row>
    <row r="131" spans="4:21" x14ac:dyDescent="0.25">
      <c r="D131" s="9" t="s">
        <v>26</v>
      </c>
      <c r="E131" s="9" t="s">
        <v>346</v>
      </c>
      <c r="F131" s="9" t="s">
        <v>375</v>
      </c>
      <c r="G131" s="9">
        <v>500</v>
      </c>
      <c r="H131" s="9" t="s">
        <v>83</v>
      </c>
      <c r="I131" s="9" t="s">
        <v>388</v>
      </c>
      <c r="J131" s="9" t="s">
        <v>57</v>
      </c>
      <c r="K131" s="18">
        <v>0.19400000000000001</v>
      </c>
      <c r="L131" s="18">
        <f t="shared" ref="L131:U131" si="117">K131</f>
        <v>0.19400000000000001</v>
      </c>
      <c r="M131" s="18">
        <f t="shared" si="117"/>
        <v>0.19400000000000001</v>
      </c>
      <c r="N131" s="18">
        <f t="shared" si="117"/>
        <v>0.19400000000000001</v>
      </c>
      <c r="O131" s="18">
        <f t="shared" si="117"/>
        <v>0.19400000000000001</v>
      </c>
      <c r="P131" s="18">
        <f t="shared" si="117"/>
        <v>0.19400000000000001</v>
      </c>
      <c r="Q131" s="18">
        <f t="shared" si="117"/>
        <v>0.19400000000000001</v>
      </c>
      <c r="R131" s="18">
        <f t="shared" si="117"/>
        <v>0.19400000000000001</v>
      </c>
      <c r="S131" s="18">
        <f t="shared" si="117"/>
        <v>0.19400000000000001</v>
      </c>
      <c r="T131" s="18">
        <f t="shared" si="117"/>
        <v>0.19400000000000001</v>
      </c>
      <c r="U131" s="18">
        <f t="shared" si="117"/>
        <v>0.19400000000000001</v>
      </c>
    </row>
    <row r="132" spans="4:21" x14ac:dyDescent="0.25">
      <c r="D132" s="9" t="s">
        <v>26</v>
      </c>
      <c r="E132" s="9" t="s">
        <v>346</v>
      </c>
      <c r="F132" s="9" t="s">
        <v>375</v>
      </c>
      <c r="G132" s="9">
        <v>500</v>
      </c>
      <c r="H132" s="9" t="s">
        <v>83</v>
      </c>
      <c r="I132" s="9" t="s">
        <v>29</v>
      </c>
      <c r="J132" s="9" t="s">
        <v>57</v>
      </c>
      <c r="K132" s="18">
        <v>0.30599999999999999</v>
      </c>
      <c r="L132" s="18">
        <f t="shared" ref="L132:U132" si="118">K132</f>
        <v>0.30599999999999999</v>
      </c>
      <c r="M132" s="18">
        <f t="shared" si="118"/>
        <v>0.30599999999999999</v>
      </c>
      <c r="N132" s="18">
        <f t="shared" si="118"/>
        <v>0.30599999999999999</v>
      </c>
      <c r="O132" s="18">
        <f t="shared" si="118"/>
        <v>0.30599999999999999</v>
      </c>
      <c r="P132" s="18">
        <f t="shared" si="118"/>
        <v>0.30599999999999999</v>
      </c>
      <c r="Q132" s="18">
        <f t="shared" si="118"/>
        <v>0.30599999999999999</v>
      </c>
      <c r="R132" s="18">
        <f t="shared" si="118"/>
        <v>0.30599999999999999</v>
      </c>
      <c r="S132" s="18">
        <f t="shared" si="118"/>
        <v>0.30599999999999999</v>
      </c>
      <c r="T132" s="18">
        <f t="shared" si="118"/>
        <v>0.30599999999999999</v>
      </c>
      <c r="U132" s="18">
        <f t="shared" si="118"/>
        <v>0.30599999999999999</v>
      </c>
    </row>
    <row r="133" spans="4:21" x14ac:dyDescent="0.25">
      <c r="D133" s="9" t="s">
        <v>26</v>
      </c>
      <c r="E133" s="9" t="s">
        <v>346</v>
      </c>
      <c r="F133" s="9" t="s">
        <v>375</v>
      </c>
      <c r="G133" s="9">
        <v>500</v>
      </c>
      <c r="H133" s="9" t="s">
        <v>83</v>
      </c>
      <c r="I133" s="9" t="s">
        <v>16</v>
      </c>
      <c r="J133" s="9" t="s">
        <v>57</v>
      </c>
      <c r="K133" s="18">
        <v>1.0137E-2</v>
      </c>
      <c r="L133" s="18">
        <f t="shared" ref="L133:U133" si="119">K133</f>
        <v>1.0137E-2</v>
      </c>
      <c r="M133" s="18">
        <f t="shared" si="119"/>
        <v>1.0137E-2</v>
      </c>
      <c r="N133" s="18">
        <f t="shared" si="119"/>
        <v>1.0137E-2</v>
      </c>
      <c r="O133" s="18">
        <f t="shared" si="119"/>
        <v>1.0137E-2</v>
      </c>
      <c r="P133" s="18">
        <f t="shared" si="119"/>
        <v>1.0137E-2</v>
      </c>
      <c r="Q133" s="18">
        <f t="shared" si="119"/>
        <v>1.0137E-2</v>
      </c>
      <c r="R133" s="18">
        <f t="shared" si="119"/>
        <v>1.0137E-2</v>
      </c>
      <c r="S133" s="18">
        <f t="shared" si="119"/>
        <v>1.0137E-2</v>
      </c>
      <c r="T133" s="18">
        <f t="shared" si="119"/>
        <v>1.0137E-2</v>
      </c>
      <c r="U133" s="18">
        <f t="shared" si="119"/>
        <v>1.0137E-2</v>
      </c>
    </row>
    <row r="134" spans="4:21" x14ac:dyDescent="0.25">
      <c r="D134" s="9" t="s">
        <v>26</v>
      </c>
      <c r="E134" s="9" t="s">
        <v>346</v>
      </c>
      <c r="F134" s="9" t="s">
        <v>375</v>
      </c>
      <c r="G134" s="9">
        <v>500</v>
      </c>
      <c r="H134" s="9" t="s">
        <v>83</v>
      </c>
      <c r="I134" s="9" t="s">
        <v>13</v>
      </c>
      <c r="J134" s="9" t="s">
        <v>61</v>
      </c>
      <c r="K134" s="18">
        <v>0.2</v>
      </c>
      <c r="L134" s="18">
        <f t="shared" ref="L134:U134" si="120">K134</f>
        <v>0.2</v>
      </c>
      <c r="M134" s="18">
        <f t="shared" si="120"/>
        <v>0.2</v>
      </c>
      <c r="N134" s="18">
        <f t="shared" si="120"/>
        <v>0.2</v>
      </c>
      <c r="O134" s="18">
        <f t="shared" si="120"/>
        <v>0.2</v>
      </c>
      <c r="P134" s="18">
        <f t="shared" si="120"/>
        <v>0.2</v>
      </c>
      <c r="Q134" s="18">
        <f t="shared" si="120"/>
        <v>0.2</v>
      </c>
      <c r="R134" s="18">
        <f t="shared" si="120"/>
        <v>0.2</v>
      </c>
      <c r="S134" s="18">
        <f t="shared" si="120"/>
        <v>0.2</v>
      </c>
      <c r="T134" s="18">
        <f t="shared" si="120"/>
        <v>0.2</v>
      </c>
      <c r="U134" s="18">
        <f t="shared" si="120"/>
        <v>0.2</v>
      </c>
    </row>
    <row r="135" spans="4:21" x14ac:dyDescent="0.25">
      <c r="D135" s="9" t="s">
        <v>26</v>
      </c>
      <c r="E135" s="9" t="s">
        <v>346</v>
      </c>
      <c r="F135" s="9" t="s">
        <v>375</v>
      </c>
      <c r="G135" s="9">
        <v>500</v>
      </c>
      <c r="H135" s="9" t="s">
        <v>83</v>
      </c>
      <c r="I135" s="9" t="s">
        <v>15</v>
      </c>
      <c r="J135" s="9" t="s">
        <v>65</v>
      </c>
      <c r="K135" s="18">
        <v>40</v>
      </c>
      <c r="L135" s="18">
        <f t="shared" ref="L135:U135" si="121">K135</f>
        <v>40</v>
      </c>
      <c r="M135" s="18">
        <f t="shared" si="121"/>
        <v>40</v>
      </c>
      <c r="N135" s="18">
        <f t="shared" si="121"/>
        <v>40</v>
      </c>
      <c r="O135" s="18">
        <f t="shared" si="121"/>
        <v>40</v>
      </c>
      <c r="P135" s="18">
        <f t="shared" si="121"/>
        <v>40</v>
      </c>
      <c r="Q135" s="18">
        <f t="shared" si="121"/>
        <v>40</v>
      </c>
      <c r="R135" s="18">
        <f t="shared" si="121"/>
        <v>40</v>
      </c>
      <c r="S135" s="18">
        <f t="shared" si="121"/>
        <v>40</v>
      </c>
      <c r="T135" s="18">
        <f t="shared" si="121"/>
        <v>40</v>
      </c>
      <c r="U135" s="18">
        <f t="shared" si="121"/>
        <v>40</v>
      </c>
    </row>
    <row r="136" spans="4:21" x14ac:dyDescent="0.25">
      <c r="D136" s="9" t="s">
        <v>26</v>
      </c>
      <c r="E136" s="9" t="s">
        <v>346</v>
      </c>
      <c r="F136" s="9" t="s">
        <v>375</v>
      </c>
      <c r="G136" s="9">
        <v>500</v>
      </c>
      <c r="H136" s="9" t="s">
        <v>83</v>
      </c>
      <c r="I136" s="9" t="s">
        <v>336</v>
      </c>
      <c r="J136" s="9" t="s">
        <v>337</v>
      </c>
      <c r="K136" s="18">
        <v>1</v>
      </c>
      <c r="L136" s="18">
        <f t="shared" ref="L136:U136" si="122">K136</f>
        <v>1</v>
      </c>
      <c r="M136" s="18">
        <f t="shared" si="122"/>
        <v>1</v>
      </c>
      <c r="N136" s="18">
        <f t="shared" si="122"/>
        <v>1</v>
      </c>
      <c r="O136" s="18">
        <f t="shared" si="122"/>
        <v>1</v>
      </c>
      <c r="P136" s="18">
        <f t="shared" si="122"/>
        <v>1</v>
      </c>
      <c r="Q136" s="18">
        <f t="shared" si="122"/>
        <v>1</v>
      </c>
      <c r="R136" s="18">
        <f t="shared" si="122"/>
        <v>1</v>
      </c>
      <c r="S136" s="18">
        <f t="shared" si="122"/>
        <v>1</v>
      </c>
      <c r="T136" s="18">
        <f t="shared" si="122"/>
        <v>1</v>
      </c>
      <c r="U136" s="18">
        <f t="shared" si="122"/>
        <v>1</v>
      </c>
    </row>
    <row r="137" spans="4:21" x14ac:dyDescent="0.25">
      <c r="D137" s="9" t="s">
        <v>26</v>
      </c>
      <c r="E137" s="9" t="s">
        <v>346</v>
      </c>
      <c r="F137" s="9" t="s">
        <v>375</v>
      </c>
      <c r="G137" s="9">
        <v>500</v>
      </c>
      <c r="H137" s="9" t="s">
        <v>83</v>
      </c>
      <c r="I137" s="9" t="s">
        <v>338</v>
      </c>
      <c r="J137" s="9" t="s">
        <v>337</v>
      </c>
      <c r="K137" s="18">
        <v>3</v>
      </c>
      <c r="L137" s="18">
        <f t="shared" ref="L137:U137" si="123">K137</f>
        <v>3</v>
      </c>
      <c r="M137" s="18">
        <f t="shared" si="123"/>
        <v>3</v>
      </c>
      <c r="N137" s="18">
        <f t="shared" si="123"/>
        <v>3</v>
      </c>
      <c r="O137" s="18">
        <f t="shared" si="123"/>
        <v>3</v>
      </c>
      <c r="P137" s="18">
        <f t="shared" si="123"/>
        <v>3</v>
      </c>
      <c r="Q137" s="18">
        <f t="shared" si="123"/>
        <v>3</v>
      </c>
      <c r="R137" s="18">
        <f t="shared" si="123"/>
        <v>3</v>
      </c>
      <c r="S137" s="18">
        <f t="shared" si="123"/>
        <v>3</v>
      </c>
      <c r="T137" s="18">
        <f t="shared" si="123"/>
        <v>3</v>
      </c>
      <c r="U137" s="18">
        <f t="shared" si="123"/>
        <v>3</v>
      </c>
    </row>
    <row r="138" spans="4:21" x14ac:dyDescent="0.25">
      <c r="D138" s="9" t="s">
        <v>26</v>
      </c>
      <c r="E138" s="9" t="s">
        <v>346</v>
      </c>
      <c r="F138" s="9" t="s">
        <v>375</v>
      </c>
      <c r="G138" s="9">
        <v>500</v>
      </c>
      <c r="H138" s="9" t="s">
        <v>83</v>
      </c>
      <c r="I138" s="9" t="s">
        <v>32</v>
      </c>
      <c r="J138" s="9" t="s">
        <v>57</v>
      </c>
      <c r="K138" s="18">
        <v>2.5000000000000001E-2</v>
      </c>
      <c r="L138" s="18">
        <f t="shared" ref="L138:U138" si="124">K138</f>
        <v>2.5000000000000001E-2</v>
      </c>
      <c r="M138" s="18">
        <f t="shared" si="124"/>
        <v>2.5000000000000001E-2</v>
      </c>
      <c r="N138" s="18">
        <f t="shared" si="124"/>
        <v>2.5000000000000001E-2</v>
      </c>
      <c r="O138" s="18">
        <f t="shared" si="124"/>
        <v>2.5000000000000001E-2</v>
      </c>
      <c r="P138" s="18">
        <f t="shared" si="124"/>
        <v>2.5000000000000001E-2</v>
      </c>
      <c r="Q138" s="18">
        <f t="shared" si="124"/>
        <v>2.5000000000000001E-2</v>
      </c>
      <c r="R138" s="18">
        <f t="shared" si="124"/>
        <v>2.5000000000000001E-2</v>
      </c>
      <c r="S138" s="18">
        <f t="shared" si="124"/>
        <v>2.5000000000000001E-2</v>
      </c>
      <c r="T138" s="18">
        <f t="shared" si="124"/>
        <v>2.5000000000000001E-2</v>
      </c>
      <c r="U138" s="18">
        <f t="shared" si="124"/>
        <v>2.5000000000000001E-2</v>
      </c>
    </row>
    <row r="139" spans="4:21" x14ac:dyDescent="0.25">
      <c r="D139" s="9" t="s">
        <v>26</v>
      </c>
      <c r="E139" s="9" t="s">
        <v>346</v>
      </c>
      <c r="F139" s="9" t="s">
        <v>375</v>
      </c>
      <c r="G139" s="9">
        <v>500</v>
      </c>
      <c r="H139" s="9" t="s">
        <v>83</v>
      </c>
      <c r="I139" s="9" t="s">
        <v>31</v>
      </c>
      <c r="J139" s="9" t="s">
        <v>57</v>
      </c>
      <c r="K139" s="18">
        <v>3.5000000000000003E-2</v>
      </c>
      <c r="L139" s="18">
        <f t="shared" ref="L139:U139" si="125">K139</f>
        <v>3.5000000000000003E-2</v>
      </c>
      <c r="M139" s="18">
        <f t="shared" si="125"/>
        <v>3.5000000000000003E-2</v>
      </c>
      <c r="N139" s="18">
        <f t="shared" si="125"/>
        <v>3.5000000000000003E-2</v>
      </c>
      <c r="O139" s="18">
        <f t="shared" si="125"/>
        <v>3.5000000000000003E-2</v>
      </c>
      <c r="P139" s="18">
        <f t="shared" si="125"/>
        <v>3.5000000000000003E-2</v>
      </c>
      <c r="Q139" s="18">
        <f t="shared" si="125"/>
        <v>3.5000000000000003E-2</v>
      </c>
      <c r="R139" s="18">
        <f t="shared" si="125"/>
        <v>3.5000000000000003E-2</v>
      </c>
      <c r="S139" s="18">
        <f t="shared" si="125"/>
        <v>3.5000000000000003E-2</v>
      </c>
      <c r="T139" s="18">
        <f t="shared" si="125"/>
        <v>3.5000000000000003E-2</v>
      </c>
      <c r="U139" s="18">
        <f t="shared" si="125"/>
        <v>3.5000000000000003E-2</v>
      </c>
    </row>
    <row r="140" spans="4:21" x14ac:dyDescent="0.25">
      <c r="D140" s="9" t="s">
        <v>26</v>
      </c>
      <c r="E140" s="9" t="s">
        <v>346</v>
      </c>
      <c r="F140" s="9" t="s">
        <v>375</v>
      </c>
      <c r="G140" s="9">
        <v>500</v>
      </c>
      <c r="H140" s="9" t="s">
        <v>83</v>
      </c>
      <c r="I140" s="9" t="s">
        <v>328</v>
      </c>
      <c r="J140" s="9" t="s">
        <v>57</v>
      </c>
      <c r="K140" s="18">
        <v>0.255</v>
      </c>
      <c r="L140" s="18">
        <f t="shared" ref="L140:U140" si="126">K140</f>
        <v>0.255</v>
      </c>
      <c r="M140" s="18">
        <f t="shared" si="126"/>
        <v>0.255</v>
      </c>
      <c r="N140" s="18">
        <f t="shared" si="126"/>
        <v>0.255</v>
      </c>
      <c r="O140" s="18">
        <f t="shared" si="126"/>
        <v>0.255</v>
      </c>
      <c r="P140" s="18">
        <f t="shared" si="126"/>
        <v>0.255</v>
      </c>
      <c r="Q140" s="18">
        <f t="shared" si="126"/>
        <v>0.255</v>
      </c>
      <c r="R140" s="18">
        <f t="shared" si="126"/>
        <v>0.255</v>
      </c>
      <c r="S140" s="18">
        <f t="shared" si="126"/>
        <v>0.255</v>
      </c>
      <c r="T140" s="18">
        <f t="shared" si="126"/>
        <v>0.255</v>
      </c>
      <c r="U140" s="18">
        <f t="shared" si="126"/>
        <v>0.255</v>
      </c>
    </row>
    <row r="141" spans="4:21" x14ac:dyDescent="0.25">
      <c r="D141" s="9" t="s">
        <v>26</v>
      </c>
      <c r="E141" s="9" t="s">
        <v>346</v>
      </c>
      <c r="F141" s="9" t="s">
        <v>375</v>
      </c>
      <c r="G141" s="9">
        <v>500</v>
      </c>
      <c r="H141" s="9" t="s">
        <v>83</v>
      </c>
      <c r="I141" s="9" t="s">
        <v>339</v>
      </c>
      <c r="J141" s="9" t="s">
        <v>132</v>
      </c>
      <c r="K141" s="18">
        <v>2.5</v>
      </c>
      <c r="L141" s="18">
        <f t="shared" ref="L141:U141" si="127">K141</f>
        <v>2.5</v>
      </c>
      <c r="M141" s="18">
        <f t="shared" si="127"/>
        <v>2.5</v>
      </c>
      <c r="N141" s="18">
        <f t="shared" si="127"/>
        <v>2.5</v>
      </c>
      <c r="O141" s="18">
        <f t="shared" si="127"/>
        <v>2.5</v>
      </c>
      <c r="P141" s="18">
        <f t="shared" si="127"/>
        <v>2.5</v>
      </c>
      <c r="Q141" s="18">
        <f t="shared" si="127"/>
        <v>2.5</v>
      </c>
      <c r="R141" s="18">
        <f t="shared" si="127"/>
        <v>2.5</v>
      </c>
      <c r="S141" s="18">
        <f t="shared" si="127"/>
        <v>2.5</v>
      </c>
      <c r="T141" s="18">
        <f t="shared" si="127"/>
        <v>2.5</v>
      </c>
      <c r="U141" s="18">
        <f t="shared" si="127"/>
        <v>2.5</v>
      </c>
    </row>
    <row r="142" spans="4:21" x14ac:dyDescent="0.25">
      <c r="D142" s="9" t="s">
        <v>26</v>
      </c>
      <c r="E142" s="9" t="s">
        <v>346</v>
      </c>
      <c r="F142" s="9" t="s">
        <v>375</v>
      </c>
      <c r="G142" s="9">
        <v>500</v>
      </c>
      <c r="H142" s="9" t="s">
        <v>83</v>
      </c>
      <c r="I142" s="9" t="s">
        <v>340</v>
      </c>
      <c r="J142" s="9" t="s">
        <v>341</v>
      </c>
      <c r="K142" s="18">
        <v>50</v>
      </c>
      <c r="L142" s="18">
        <f t="shared" ref="L142:U142" si="128">K142</f>
        <v>50</v>
      </c>
      <c r="M142" s="18">
        <f t="shared" si="128"/>
        <v>50</v>
      </c>
      <c r="N142" s="18">
        <f t="shared" si="128"/>
        <v>50</v>
      </c>
      <c r="O142" s="18">
        <f t="shared" si="128"/>
        <v>50</v>
      </c>
      <c r="P142" s="18">
        <f t="shared" si="128"/>
        <v>50</v>
      </c>
      <c r="Q142" s="18">
        <f t="shared" si="128"/>
        <v>50</v>
      </c>
      <c r="R142" s="18">
        <f t="shared" si="128"/>
        <v>50</v>
      </c>
      <c r="S142" s="18">
        <f t="shared" si="128"/>
        <v>50</v>
      </c>
      <c r="T142" s="18">
        <f t="shared" si="128"/>
        <v>50</v>
      </c>
      <c r="U142" s="18">
        <f t="shared" si="128"/>
        <v>50</v>
      </c>
    </row>
    <row r="143" spans="4:21" x14ac:dyDescent="0.25">
      <c r="D143" s="9" t="s">
        <v>26</v>
      </c>
      <c r="E143" s="9" t="s">
        <v>346</v>
      </c>
      <c r="F143" s="9" t="s">
        <v>375</v>
      </c>
      <c r="G143" s="9">
        <v>500</v>
      </c>
      <c r="H143" s="9" t="s">
        <v>242</v>
      </c>
      <c r="I143" s="9" t="s">
        <v>343</v>
      </c>
      <c r="J143" s="9" t="s">
        <v>57</v>
      </c>
      <c r="K143" s="18">
        <v>0.18099999999999999</v>
      </c>
      <c r="L143" s="18">
        <f t="shared" ref="L143:U143" si="129">K143</f>
        <v>0.18099999999999999</v>
      </c>
      <c r="M143" s="18">
        <f t="shared" si="129"/>
        <v>0.18099999999999999</v>
      </c>
      <c r="N143" s="18">
        <f t="shared" si="129"/>
        <v>0.18099999999999999</v>
      </c>
      <c r="O143" s="18">
        <f t="shared" si="129"/>
        <v>0.18099999999999999</v>
      </c>
      <c r="P143" s="18">
        <f t="shared" si="129"/>
        <v>0.18099999999999999</v>
      </c>
      <c r="Q143" s="18">
        <f t="shared" si="129"/>
        <v>0.18099999999999999</v>
      </c>
      <c r="R143" s="18">
        <f t="shared" si="129"/>
        <v>0.18099999999999999</v>
      </c>
      <c r="S143" s="18">
        <f t="shared" si="129"/>
        <v>0.18099999999999999</v>
      </c>
      <c r="T143" s="18">
        <f t="shared" si="129"/>
        <v>0.18099999999999999</v>
      </c>
      <c r="U143" s="18">
        <f t="shared" si="129"/>
        <v>0.18099999999999999</v>
      </c>
    </row>
    <row r="144" spans="4:21" x14ac:dyDescent="0.25">
      <c r="D144" s="9" t="s">
        <v>26</v>
      </c>
      <c r="E144" s="9" t="s">
        <v>346</v>
      </c>
      <c r="F144" s="9" t="s">
        <v>375</v>
      </c>
      <c r="G144" s="9">
        <v>500</v>
      </c>
      <c r="H144" s="9" t="s">
        <v>242</v>
      </c>
      <c r="I144" s="9" t="s">
        <v>388</v>
      </c>
      <c r="J144" s="9" t="s">
        <v>57</v>
      </c>
      <c r="K144" s="18">
        <v>0.46899999999999997</v>
      </c>
      <c r="L144" s="18">
        <f t="shared" ref="L144:U144" si="130">K144</f>
        <v>0.46899999999999997</v>
      </c>
      <c r="M144" s="18">
        <f t="shared" si="130"/>
        <v>0.46899999999999997</v>
      </c>
      <c r="N144" s="18">
        <f t="shared" si="130"/>
        <v>0.46899999999999997</v>
      </c>
      <c r="O144" s="18">
        <f t="shared" si="130"/>
        <v>0.46899999999999997</v>
      </c>
      <c r="P144" s="18">
        <f t="shared" si="130"/>
        <v>0.46899999999999997</v>
      </c>
      <c r="Q144" s="18">
        <f t="shared" si="130"/>
        <v>0.46899999999999997</v>
      </c>
      <c r="R144" s="18">
        <f t="shared" si="130"/>
        <v>0.46899999999999997</v>
      </c>
      <c r="S144" s="18">
        <f t="shared" si="130"/>
        <v>0.46899999999999997</v>
      </c>
      <c r="T144" s="18">
        <f t="shared" si="130"/>
        <v>0.46899999999999997</v>
      </c>
      <c r="U144" s="18">
        <f t="shared" si="130"/>
        <v>0.46899999999999997</v>
      </c>
    </row>
    <row r="145" spans="4:21" x14ac:dyDescent="0.25">
      <c r="D145" s="9" t="s">
        <v>26</v>
      </c>
      <c r="E145" s="9" t="s">
        <v>346</v>
      </c>
      <c r="F145" s="9" t="s">
        <v>375</v>
      </c>
      <c r="G145" s="9">
        <v>500</v>
      </c>
      <c r="H145" s="9" t="s">
        <v>242</v>
      </c>
      <c r="I145" s="9" t="s">
        <v>29</v>
      </c>
      <c r="J145" s="9" t="s">
        <v>57</v>
      </c>
      <c r="K145" s="18">
        <v>0.28999999999999998</v>
      </c>
      <c r="L145" s="18">
        <f t="shared" ref="L145:U145" si="131">K145</f>
        <v>0.28999999999999998</v>
      </c>
      <c r="M145" s="18">
        <f t="shared" si="131"/>
        <v>0.28999999999999998</v>
      </c>
      <c r="N145" s="18">
        <f t="shared" si="131"/>
        <v>0.28999999999999998</v>
      </c>
      <c r="O145" s="18">
        <f t="shared" si="131"/>
        <v>0.28999999999999998</v>
      </c>
      <c r="P145" s="18">
        <f t="shared" si="131"/>
        <v>0.28999999999999998</v>
      </c>
      <c r="Q145" s="18">
        <f t="shared" si="131"/>
        <v>0.28999999999999998</v>
      </c>
      <c r="R145" s="18">
        <f t="shared" si="131"/>
        <v>0.28999999999999998</v>
      </c>
      <c r="S145" s="18">
        <f t="shared" si="131"/>
        <v>0.28999999999999998</v>
      </c>
      <c r="T145" s="18">
        <f t="shared" si="131"/>
        <v>0.28999999999999998</v>
      </c>
      <c r="U145" s="18">
        <f t="shared" si="131"/>
        <v>0.28999999999999998</v>
      </c>
    </row>
    <row r="146" spans="4:21" x14ac:dyDescent="0.25">
      <c r="D146" s="9" t="s">
        <v>26</v>
      </c>
      <c r="E146" s="9" t="s">
        <v>346</v>
      </c>
      <c r="F146" s="9" t="s">
        <v>375</v>
      </c>
      <c r="G146" s="9">
        <v>500</v>
      </c>
      <c r="H146" s="9" t="s">
        <v>242</v>
      </c>
      <c r="I146" s="9" t="s">
        <v>16</v>
      </c>
      <c r="J146" s="9" t="s">
        <v>57</v>
      </c>
      <c r="K146" s="18">
        <v>4.5269999999999998E-3</v>
      </c>
      <c r="L146" s="18">
        <f t="shared" ref="L146:U146" si="132">K146</f>
        <v>4.5269999999999998E-3</v>
      </c>
      <c r="M146" s="18">
        <f t="shared" si="132"/>
        <v>4.5269999999999998E-3</v>
      </c>
      <c r="N146" s="18">
        <f t="shared" si="132"/>
        <v>4.5269999999999998E-3</v>
      </c>
      <c r="O146" s="18">
        <f t="shared" si="132"/>
        <v>4.5269999999999998E-3</v>
      </c>
      <c r="P146" s="18">
        <f t="shared" si="132"/>
        <v>4.5269999999999998E-3</v>
      </c>
      <c r="Q146" s="18">
        <f t="shared" si="132"/>
        <v>4.5269999999999998E-3</v>
      </c>
      <c r="R146" s="18">
        <f t="shared" si="132"/>
        <v>4.5269999999999998E-3</v>
      </c>
      <c r="S146" s="18">
        <f t="shared" si="132"/>
        <v>4.5269999999999998E-3</v>
      </c>
      <c r="T146" s="18">
        <f t="shared" si="132"/>
        <v>4.5269999999999998E-3</v>
      </c>
      <c r="U146" s="18">
        <f t="shared" si="132"/>
        <v>4.5269999999999998E-3</v>
      </c>
    </row>
    <row r="147" spans="4:21" x14ac:dyDescent="0.25">
      <c r="D147" s="9" t="s">
        <v>26</v>
      </c>
      <c r="E147" s="9" t="s">
        <v>346</v>
      </c>
      <c r="F147" s="9" t="s">
        <v>375</v>
      </c>
      <c r="G147" s="9">
        <v>500</v>
      </c>
      <c r="H147" s="9" t="s">
        <v>242</v>
      </c>
      <c r="I147" s="9" t="s">
        <v>13</v>
      </c>
      <c r="J147" s="9" t="s">
        <v>61</v>
      </c>
      <c r="K147" s="18">
        <v>0.434</v>
      </c>
      <c r="L147" s="18">
        <f t="shared" ref="L147:U147" si="133">K147</f>
        <v>0.434</v>
      </c>
      <c r="M147" s="18">
        <f t="shared" si="133"/>
        <v>0.434</v>
      </c>
      <c r="N147" s="18">
        <f t="shared" si="133"/>
        <v>0.434</v>
      </c>
      <c r="O147" s="18">
        <f t="shared" si="133"/>
        <v>0.434</v>
      </c>
      <c r="P147" s="18">
        <f t="shared" si="133"/>
        <v>0.434</v>
      </c>
      <c r="Q147" s="18">
        <f t="shared" si="133"/>
        <v>0.434</v>
      </c>
      <c r="R147" s="18">
        <f t="shared" si="133"/>
        <v>0.434</v>
      </c>
      <c r="S147" s="18">
        <f t="shared" si="133"/>
        <v>0.434</v>
      </c>
      <c r="T147" s="18">
        <f t="shared" si="133"/>
        <v>0.434</v>
      </c>
      <c r="U147" s="18">
        <f t="shared" si="133"/>
        <v>0.434</v>
      </c>
    </row>
    <row r="148" spans="4:21" x14ac:dyDescent="0.25">
      <c r="D148" s="9" t="s">
        <v>26</v>
      </c>
      <c r="E148" s="9" t="s">
        <v>346</v>
      </c>
      <c r="F148" s="9" t="s">
        <v>375</v>
      </c>
      <c r="G148" s="9">
        <v>500</v>
      </c>
      <c r="H148" s="9" t="s">
        <v>242</v>
      </c>
      <c r="I148" s="9" t="s">
        <v>15</v>
      </c>
      <c r="J148" s="9" t="s">
        <v>65</v>
      </c>
      <c r="K148" s="18">
        <v>40</v>
      </c>
      <c r="L148" s="18">
        <f t="shared" ref="L148:U148" si="134">K148</f>
        <v>40</v>
      </c>
      <c r="M148" s="18">
        <f t="shared" si="134"/>
        <v>40</v>
      </c>
      <c r="N148" s="18">
        <f t="shared" si="134"/>
        <v>40</v>
      </c>
      <c r="O148" s="18">
        <f t="shared" si="134"/>
        <v>40</v>
      </c>
      <c r="P148" s="18">
        <f t="shared" si="134"/>
        <v>40</v>
      </c>
      <c r="Q148" s="18">
        <f t="shared" si="134"/>
        <v>40</v>
      </c>
      <c r="R148" s="18">
        <f t="shared" si="134"/>
        <v>40</v>
      </c>
      <c r="S148" s="18">
        <f t="shared" si="134"/>
        <v>40</v>
      </c>
      <c r="T148" s="18">
        <f t="shared" si="134"/>
        <v>40</v>
      </c>
      <c r="U148" s="18">
        <f t="shared" si="134"/>
        <v>40</v>
      </c>
    </row>
    <row r="149" spans="4:21" x14ac:dyDescent="0.25">
      <c r="D149" s="9" t="s">
        <v>26</v>
      </c>
      <c r="E149" s="9" t="s">
        <v>346</v>
      </c>
      <c r="F149" s="9" t="s">
        <v>375</v>
      </c>
      <c r="G149" s="9">
        <v>500</v>
      </c>
      <c r="H149" s="9" t="s">
        <v>242</v>
      </c>
      <c r="I149" s="9" t="s">
        <v>336</v>
      </c>
      <c r="J149" s="9" t="s">
        <v>337</v>
      </c>
      <c r="K149" s="18">
        <v>1</v>
      </c>
      <c r="L149" s="18">
        <f t="shared" ref="L149:U149" si="135">K149</f>
        <v>1</v>
      </c>
      <c r="M149" s="18">
        <f t="shared" si="135"/>
        <v>1</v>
      </c>
      <c r="N149" s="18">
        <f t="shared" si="135"/>
        <v>1</v>
      </c>
      <c r="O149" s="18">
        <f t="shared" si="135"/>
        <v>1</v>
      </c>
      <c r="P149" s="18">
        <f t="shared" si="135"/>
        <v>1</v>
      </c>
      <c r="Q149" s="18">
        <f t="shared" si="135"/>
        <v>1</v>
      </c>
      <c r="R149" s="18">
        <f t="shared" si="135"/>
        <v>1</v>
      </c>
      <c r="S149" s="18">
        <f t="shared" si="135"/>
        <v>1</v>
      </c>
      <c r="T149" s="18">
        <f t="shared" si="135"/>
        <v>1</v>
      </c>
      <c r="U149" s="18">
        <f t="shared" si="135"/>
        <v>1</v>
      </c>
    </row>
    <row r="150" spans="4:21" x14ac:dyDescent="0.25">
      <c r="D150" s="9" t="s">
        <v>26</v>
      </c>
      <c r="E150" s="9" t="s">
        <v>346</v>
      </c>
      <c r="F150" s="9" t="s">
        <v>375</v>
      </c>
      <c r="G150" s="9">
        <v>500</v>
      </c>
      <c r="H150" s="9" t="s">
        <v>242</v>
      </c>
      <c r="I150" s="9" t="s">
        <v>338</v>
      </c>
      <c r="J150" s="9" t="s">
        <v>337</v>
      </c>
      <c r="K150" s="18">
        <v>3</v>
      </c>
      <c r="L150" s="18">
        <f t="shared" ref="L150:U150" si="136">K150</f>
        <v>3</v>
      </c>
      <c r="M150" s="18">
        <f t="shared" si="136"/>
        <v>3</v>
      </c>
      <c r="N150" s="18">
        <f t="shared" si="136"/>
        <v>3</v>
      </c>
      <c r="O150" s="18">
        <f t="shared" si="136"/>
        <v>3</v>
      </c>
      <c r="P150" s="18">
        <f t="shared" si="136"/>
        <v>3</v>
      </c>
      <c r="Q150" s="18">
        <f t="shared" si="136"/>
        <v>3</v>
      </c>
      <c r="R150" s="18">
        <f t="shared" si="136"/>
        <v>3</v>
      </c>
      <c r="S150" s="18">
        <f t="shared" si="136"/>
        <v>3</v>
      </c>
      <c r="T150" s="18">
        <f t="shared" si="136"/>
        <v>3</v>
      </c>
      <c r="U150" s="18">
        <f t="shared" si="136"/>
        <v>3</v>
      </c>
    </row>
    <row r="151" spans="4:21" x14ac:dyDescent="0.25">
      <c r="D151" s="9" t="s">
        <v>26</v>
      </c>
      <c r="E151" s="9" t="s">
        <v>346</v>
      </c>
      <c r="F151" s="9" t="s">
        <v>375</v>
      </c>
      <c r="G151" s="9">
        <v>500</v>
      </c>
      <c r="H151" s="9" t="s">
        <v>242</v>
      </c>
      <c r="I151" s="9" t="s">
        <v>32</v>
      </c>
      <c r="J151" s="9" t="s">
        <v>57</v>
      </c>
      <c r="K151" s="18">
        <v>2.5000000000000001E-2</v>
      </c>
      <c r="L151" s="18">
        <f t="shared" ref="L151:U151" si="137">K151</f>
        <v>2.5000000000000001E-2</v>
      </c>
      <c r="M151" s="18">
        <f t="shared" si="137"/>
        <v>2.5000000000000001E-2</v>
      </c>
      <c r="N151" s="18">
        <f t="shared" si="137"/>
        <v>2.5000000000000001E-2</v>
      </c>
      <c r="O151" s="18">
        <f t="shared" si="137"/>
        <v>2.5000000000000001E-2</v>
      </c>
      <c r="P151" s="18">
        <f t="shared" si="137"/>
        <v>2.5000000000000001E-2</v>
      </c>
      <c r="Q151" s="18">
        <f t="shared" si="137"/>
        <v>2.5000000000000001E-2</v>
      </c>
      <c r="R151" s="18">
        <f t="shared" si="137"/>
        <v>2.5000000000000001E-2</v>
      </c>
      <c r="S151" s="18">
        <f t="shared" si="137"/>
        <v>2.5000000000000001E-2</v>
      </c>
      <c r="T151" s="18">
        <f t="shared" si="137"/>
        <v>2.5000000000000001E-2</v>
      </c>
      <c r="U151" s="18">
        <f t="shared" si="137"/>
        <v>2.5000000000000001E-2</v>
      </c>
    </row>
    <row r="152" spans="4:21" x14ac:dyDescent="0.25">
      <c r="D152" s="9" t="s">
        <v>26</v>
      </c>
      <c r="E152" s="9" t="s">
        <v>346</v>
      </c>
      <c r="F152" s="9" t="s">
        <v>375</v>
      </c>
      <c r="G152" s="9">
        <v>500</v>
      </c>
      <c r="H152" s="9" t="s">
        <v>242</v>
      </c>
      <c r="I152" s="9" t="s">
        <v>31</v>
      </c>
      <c r="J152" s="9" t="s">
        <v>57</v>
      </c>
      <c r="K152" s="18">
        <v>3.5000000000000003E-2</v>
      </c>
      <c r="L152" s="18">
        <f t="shared" ref="L152:U152" si="138">K152</f>
        <v>3.5000000000000003E-2</v>
      </c>
      <c r="M152" s="18">
        <f t="shared" si="138"/>
        <v>3.5000000000000003E-2</v>
      </c>
      <c r="N152" s="18">
        <f t="shared" si="138"/>
        <v>3.5000000000000003E-2</v>
      </c>
      <c r="O152" s="18">
        <f t="shared" si="138"/>
        <v>3.5000000000000003E-2</v>
      </c>
      <c r="P152" s="18">
        <f t="shared" si="138"/>
        <v>3.5000000000000003E-2</v>
      </c>
      <c r="Q152" s="18">
        <f t="shared" si="138"/>
        <v>3.5000000000000003E-2</v>
      </c>
      <c r="R152" s="18">
        <f t="shared" si="138"/>
        <v>3.5000000000000003E-2</v>
      </c>
      <c r="S152" s="18">
        <f t="shared" si="138"/>
        <v>3.5000000000000003E-2</v>
      </c>
      <c r="T152" s="18">
        <f t="shared" si="138"/>
        <v>3.5000000000000003E-2</v>
      </c>
      <c r="U152" s="18">
        <f t="shared" si="138"/>
        <v>3.5000000000000003E-2</v>
      </c>
    </row>
    <row r="153" spans="4:21" x14ac:dyDescent="0.25">
      <c r="D153" s="9" t="s">
        <v>26</v>
      </c>
      <c r="E153" s="9" t="s">
        <v>346</v>
      </c>
      <c r="F153" s="9" t="s">
        <v>375</v>
      </c>
      <c r="G153" s="9">
        <v>500</v>
      </c>
      <c r="H153" s="9" t="s">
        <v>242</v>
      </c>
      <c r="I153" s="9" t="s">
        <v>339</v>
      </c>
      <c r="J153" s="9" t="s">
        <v>132</v>
      </c>
      <c r="K153" s="18">
        <v>2.5</v>
      </c>
      <c r="L153" s="18">
        <f t="shared" ref="L153:U153" si="139">K153</f>
        <v>2.5</v>
      </c>
      <c r="M153" s="18">
        <f t="shared" si="139"/>
        <v>2.5</v>
      </c>
      <c r="N153" s="18">
        <f t="shared" si="139"/>
        <v>2.5</v>
      </c>
      <c r="O153" s="18">
        <f t="shared" si="139"/>
        <v>2.5</v>
      </c>
      <c r="P153" s="18">
        <f t="shared" si="139"/>
        <v>2.5</v>
      </c>
      <c r="Q153" s="18">
        <f t="shared" si="139"/>
        <v>2.5</v>
      </c>
      <c r="R153" s="18">
        <f t="shared" si="139"/>
        <v>2.5</v>
      </c>
      <c r="S153" s="18">
        <f t="shared" si="139"/>
        <v>2.5</v>
      </c>
      <c r="T153" s="18">
        <f t="shared" si="139"/>
        <v>2.5</v>
      </c>
      <c r="U153" s="18">
        <f t="shared" si="139"/>
        <v>2.5</v>
      </c>
    </row>
    <row r="154" spans="4:21" x14ac:dyDescent="0.25">
      <c r="D154" s="9" t="s">
        <v>26</v>
      </c>
      <c r="E154" s="9" t="s">
        <v>346</v>
      </c>
      <c r="F154" s="9" t="s">
        <v>375</v>
      </c>
      <c r="G154" s="9">
        <v>500</v>
      </c>
      <c r="H154" s="9" t="s">
        <v>242</v>
      </c>
      <c r="I154" s="9" t="s">
        <v>340</v>
      </c>
      <c r="J154" s="9" t="s">
        <v>341</v>
      </c>
      <c r="K154" s="18">
        <v>50</v>
      </c>
      <c r="L154" s="18">
        <f t="shared" ref="L154:U154" si="140">K154</f>
        <v>50</v>
      </c>
      <c r="M154" s="18">
        <f t="shared" si="140"/>
        <v>50</v>
      </c>
      <c r="N154" s="18">
        <f t="shared" si="140"/>
        <v>50</v>
      </c>
      <c r="O154" s="18">
        <f t="shared" si="140"/>
        <v>50</v>
      </c>
      <c r="P154" s="18">
        <f t="shared" si="140"/>
        <v>50</v>
      </c>
      <c r="Q154" s="18">
        <f t="shared" si="140"/>
        <v>50</v>
      </c>
      <c r="R154" s="18">
        <f t="shared" si="140"/>
        <v>50</v>
      </c>
      <c r="S154" s="18">
        <f t="shared" si="140"/>
        <v>50</v>
      </c>
      <c r="T154" s="18">
        <f t="shared" si="140"/>
        <v>50</v>
      </c>
      <c r="U154" s="18">
        <f t="shared" si="140"/>
        <v>50</v>
      </c>
    </row>
    <row r="155" spans="4:21" x14ac:dyDescent="0.25">
      <c r="D155" s="9" t="s">
        <v>26</v>
      </c>
      <c r="E155" s="9" t="s">
        <v>346</v>
      </c>
      <c r="F155" s="9" t="s">
        <v>375</v>
      </c>
      <c r="G155" s="9">
        <v>500</v>
      </c>
      <c r="H155" s="9" t="s">
        <v>243</v>
      </c>
      <c r="I155" s="9" t="s">
        <v>343</v>
      </c>
      <c r="J155" s="9" t="s">
        <v>57</v>
      </c>
      <c r="K155" s="18">
        <v>0.24</v>
      </c>
      <c r="L155" s="18">
        <f t="shared" ref="L155:U155" si="141">K155</f>
        <v>0.24</v>
      </c>
      <c r="M155" s="18">
        <f t="shared" si="141"/>
        <v>0.24</v>
      </c>
      <c r="N155" s="18">
        <f t="shared" si="141"/>
        <v>0.24</v>
      </c>
      <c r="O155" s="18">
        <f t="shared" si="141"/>
        <v>0.24</v>
      </c>
      <c r="P155" s="18">
        <f t="shared" si="141"/>
        <v>0.24</v>
      </c>
      <c r="Q155" s="18">
        <f t="shared" si="141"/>
        <v>0.24</v>
      </c>
      <c r="R155" s="18">
        <f t="shared" si="141"/>
        <v>0.24</v>
      </c>
      <c r="S155" s="18">
        <f t="shared" si="141"/>
        <v>0.24</v>
      </c>
      <c r="T155" s="18">
        <f t="shared" si="141"/>
        <v>0.24</v>
      </c>
      <c r="U155" s="18">
        <f t="shared" si="141"/>
        <v>0.24</v>
      </c>
    </row>
    <row r="156" spans="4:21" x14ac:dyDescent="0.25">
      <c r="D156" s="9" t="s">
        <v>26</v>
      </c>
      <c r="E156" s="9" t="s">
        <v>346</v>
      </c>
      <c r="F156" s="9" t="s">
        <v>375</v>
      </c>
      <c r="G156" s="9">
        <v>500</v>
      </c>
      <c r="H156" s="9" t="s">
        <v>243</v>
      </c>
      <c r="I156" s="9" t="s">
        <v>388</v>
      </c>
      <c r="J156" s="9" t="s">
        <v>57</v>
      </c>
      <c r="K156" s="18">
        <v>0.39100000000000001</v>
      </c>
      <c r="L156" s="18">
        <f t="shared" ref="L156:U156" si="142">K156</f>
        <v>0.39100000000000001</v>
      </c>
      <c r="M156" s="18">
        <f t="shared" si="142"/>
        <v>0.39100000000000001</v>
      </c>
      <c r="N156" s="18">
        <f t="shared" si="142"/>
        <v>0.39100000000000001</v>
      </c>
      <c r="O156" s="18">
        <f t="shared" si="142"/>
        <v>0.39100000000000001</v>
      </c>
      <c r="P156" s="18">
        <f t="shared" si="142"/>
        <v>0.39100000000000001</v>
      </c>
      <c r="Q156" s="18">
        <f t="shared" si="142"/>
        <v>0.39100000000000001</v>
      </c>
      <c r="R156" s="18">
        <f t="shared" si="142"/>
        <v>0.39100000000000001</v>
      </c>
      <c r="S156" s="18">
        <f t="shared" si="142"/>
        <v>0.39100000000000001</v>
      </c>
      <c r="T156" s="18">
        <f t="shared" si="142"/>
        <v>0.39100000000000001</v>
      </c>
      <c r="U156" s="18">
        <f t="shared" si="142"/>
        <v>0.39100000000000001</v>
      </c>
    </row>
    <row r="157" spans="4:21" x14ac:dyDescent="0.25">
      <c r="D157" s="9" t="s">
        <v>26</v>
      </c>
      <c r="E157" s="9" t="s">
        <v>346</v>
      </c>
      <c r="F157" s="9" t="s">
        <v>375</v>
      </c>
      <c r="G157" s="9">
        <v>500</v>
      </c>
      <c r="H157" s="9" t="s">
        <v>243</v>
      </c>
      <c r="I157" s="9" t="s">
        <v>29</v>
      </c>
      <c r="J157" s="9" t="s">
        <v>57</v>
      </c>
      <c r="K157" s="18">
        <v>0.217</v>
      </c>
      <c r="L157" s="18">
        <f t="shared" ref="L157:U157" si="143">K157</f>
        <v>0.217</v>
      </c>
      <c r="M157" s="18">
        <f t="shared" si="143"/>
        <v>0.217</v>
      </c>
      <c r="N157" s="18">
        <f t="shared" si="143"/>
        <v>0.217</v>
      </c>
      <c r="O157" s="18">
        <f t="shared" si="143"/>
        <v>0.217</v>
      </c>
      <c r="P157" s="18">
        <f t="shared" si="143"/>
        <v>0.217</v>
      </c>
      <c r="Q157" s="18">
        <f t="shared" si="143"/>
        <v>0.217</v>
      </c>
      <c r="R157" s="18">
        <f t="shared" si="143"/>
        <v>0.217</v>
      </c>
      <c r="S157" s="18">
        <f t="shared" si="143"/>
        <v>0.217</v>
      </c>
      <c r="T157" s="18">
        <f t="shared" si="143"/>
        <v>0.217</v>
      </c>
      <c r="U157" s="18">
        <f t="shared" si="143"/>
        <v>0.217</v>
      </c>
    </row>
    <row r="158" spans="4:21" x14ac:dyDescent="0.25">
      <c r="D158" s="9" t="s">
        <v>26</v>
      </c>
      <c r="E158" s="9" t="s">
        <v>346</v>
      </c>
      <c r="F158" s="9" t="s">
        <v>375</v>
      </c>
      <c r="G158" s="9">
        <v>500</v>
      </c>
      <c r="H158" s="9" t="s">
        <v>243</v>
      </c>
      <c r="I158" s="9" t="s">
        <v>16</v>
      </c>
      <c r="J158" s="9" t="s">
        <v>57</v>
      </c>
      <c r="K158" s="18">
        <v>8.0000000000000002E-3</v>
      </c>
      <c r="L158" s="18">
        <f t="shared" ref="L158:U158" si="144">K158</f>
        <v>8.0000000000000002E-3</v>
      </c>
      <c r="M158" s="18">
        <f t="shared" si="144"/>
        <v>8.0000000000000002E-3</v>
      </c>
      <c r="N158" s="18">
        <f t="shared" si="144"/>
        <v>8.0000000000000002E-3</v>
      </c>
      <c r="O158" s="18">
        <f t="shared" si="144"/>
        <v>8.0000000000000002E-3</v>
      </c>
      <c r="P158" s="18">
        <f t="shared" si="144"/>
        <v>8.0000000000000002E-3</v>
      </c>
      <c r="Q158" s="18">
        <f t="shared" si="144"/>
        <v>8.0000000000000002E-3</v>
      </c>
      <c r="R158" s="18">
        <f t="shared" si="144"/>
        <v>8.0000000000000002E-3</v>
      </c>
      <c r="S158" s="18">
        <f t="shared" si="144"/>
        <v>8.0000000000000002E-3</v>
      </c>
      <c r="T158" s="18">
        <f t="shared" si="144"/>
        <v>8.0000000000000002E-3</v>
      </c>
      <c r="U158" s="18">
        <f t="shared" si="144"/>
        <v>8.0000000000000002E-3</v>
      </c>
    </row>
    <row r="159" spans="4:21" x14ac:dyDescent="0.25">
      <c r="D159" s="9" t="s">
        <v>26</v>
      </c>
      <c r="E159" s="9" t="s">
        <v>346</v>
      </c>
      <c r="F159" s="9" t="s">
        <v>375</v>
      </c>
      <c r="G159" s="9">
        <v>500</v>
      </c>
      <c r="H159" s="9" t="s">
        <v>243</v>
      </c>
      <c r="I159" s="9" t="s">
        <v>13</v>
      </c>
      <c r="J159" s="9" t="s">
        <v>61</v>
      </c>
      <c r="K159" s="18">
        <v>0.434</v>
      </c>
      <c r="L159" s="18">
        <f t="shared" ref="L159:U159" si="145">K159</f>
        <v>0.434</v>
      </c>
      <c r="M159" s="18">
        <f t="shared" si="145"/>
        <v>0.434</v>
      </c>
      <c r="N159" s="18">
        <f t="shared" si="145"/>
        <v>0.434</v>
      </c>
      <c r="O159" s="18">
        <f t="shared" si="145"/>
        <v>0.434</v>
      </c>
      <c r="P159" s="18">
        <f t="shared" si="145"/>
        <v>0.434</v>
      </c>
      <c r="Q159" s="18">
        <f t="shared" si="145"/>
        <v>0.434</v>
      </c>
      <c r="R159" s="18">
        <f t="shared" si="145"/>
        <v>0.434</v>
      </c>
      <c r="S159" s="18">
        <f t="shared" si="145"/>
        <v>0.434</v>
      </c>
      <c r="T159" s="18">
        <f t="shared" si="145"/>
        <v>0.434</v>
      </c>
      <c r="U159" s="18">
        <f t="shared" si="145"/>
        <v>0.434</v>
      </c>
    </row>
    <row r="160" spans="4:21" x14ac:dyDescent="0.25">
      <c r="D160" s="9" t="s">
        <v>26</v>
      </c>
      <c r="E160" s="9" t="s">
        <v>346</v>
      </c>
      <c r="F160" s="9" t="s">
        <v>375</v>
      </c>
      <c r="G160" s="9">
        <v>500</v>
      </c>
      <c r="H160" s="9" t="s">
        <v>243</v>
      </c>
      <c r="I160" s="9" t="s">
        <v>15</v>
      </c>
      <c r="J160" s="9" t="s">
        <v>65</v>
      </c>
      <c r="K160" s="18">
        <v>40</v>
      </c>
      <c r="L160" s="18">
        <f t="shared" ref="L160:U160" si="146">K160</f>
        <v>40</v>
      </c>
      <c r="M160" s="18">
        <f t="shared" si="146"/>
        <v>40</v>
      </c>
      <c r="N160" s="18">
        <f t="shared" si="146"/>
        <v>40</v>
      </c>
      <c r="O160" s="18">
        <f t="shared" si="146"/>
        <v>40</v>
      </c>
      <c r="P160" s="18">
        <f t="shared" si="146"/>
        <v>40</v>
      </c>
      <c r="Q160" s="18">
        <f t="shared" si="146"/>
        <v>40</v>
      </c>
      <c r="R160" s="18">
        <f t="shared" si="146"/>
        <v>40</v>
      </c>
      <c r="S160" s="18">
        <f t="shared" si="146"/>
        <v>40</v>
      </c>
      <c r="T160" s="18">
        <f t="shared" si="146"/>
        <v>40</v>
      </c>
      <c r="U160" s="18">
        <f t="shared" si="146"/>
        <v>40</v>
      </c>
    </row>
    <row r="161" spans="4:21" x14ac:dyDescent="0.25">
      <c r="D161" s="9" t="s">
        <v>26</v>
      </c>
      <c r="E161" s="9" t="s">
        <v>346</v>
      </c>
      <c r="F161" s="9" t="s">
        <v>375</v>
      </c>
      <c r="G161" s="9">
        <v>500</v>
      </c>
      <c r="H161" s="9" t="s">
        <v>243</v>
      </c>
      <c r="I161" s="9" t="s">
        <v>336</v>
      </c>
      <c r="J161" s="9" t="s">
        <v>337</v>
      </c>
      <c r="K161" s="18">
        <v>1</v>
      </c>
      <c r="L161" s="18">
        <f t="shared" ref="L161:U161" si="147">K161</f>
        <v>1</v>
      </c>
      <c r="M161" s="18">
        <f t="shared" si="147"/>
        <v>1</v>
      </c>
      <c r="N161" s="18">
        <f t="shared" si="147"/>
        <v>1</v>
      </c>
      <c r="O161" s="18">
        <f t="shared" si="147"/>
        <v>1</v>
      </c>
      <c r="P161" s="18">
        <f t="shared" si="147"/>
        <v>1</v>
      </c>
      <c r="Q161" s="18">
        <f t="shared" si="147"/>
        <v>1</v>
      </c>
      <c r="R161" s="18">
        <f t="shared" si="147"/>
        <v>1</v>
      </c>
      <c r="S161" s="18">
        <f t="shared" si="147"/>
        <v>1</v>
      </c>
      <c r="T161" s="18">
        <f t="shared" si="147"/>
        <v>1</v>
      </c>
      <c r="U161" s="18">
        <f t="shared" si="147"/>
        <v>1</v>
      </c>
    </row>
    <row r="162" spans="4:21" x14ac:dyDescent="0.25">
      <c r="D162" s="9" t="s">
        <v>26</v>
      </c>
      <c r="E162" s="9" t="s">
        <v>346</v>
      </c>
      <c r="F162" s="9" t="s">
        <v>375</v>
      </c>
      <c r="G162" s="9">
        <v>500</v>
      </c>
      <c r="H162" s="9" t="s">
        <v>243</v>
      </c>
      <c r="I162" s="9" t="s">
        <v>338</v>
      </c>
      <c r="J162" s="9" t="s">
        <v>337</v>
      </c>
      <c r="K162" s="18">
        <v>3</v>
      </c>
      <c r="L162" s="18">
        <f t="shared" ref="L162:U162" si="148">K162</f>
        <v>3</v>
      </c>
      <c r="M162" s="18">
        <f t="shared" si="148"/>
        <v>3</v>
      </c>
      <c r="N162" s="18">
        <f t="shared" si="148"/>
        <v>3</v>
      </c>
      <c r="O162" s="18">
        <f t="shared" si="148"/>
        <v>3</v>
      </c>
      <c r="P162" s="18">
        <f t="shared" si="148"/>
        <v>3</v>
      </c>
      <c r="Q162" s="18">
        <f t="shared" si="148"/>
        <v>3</v>
      </c>
      <c r="R162" s="18">
        <f t="shared" si="148"/>
        <v>3</v>
      </c>
      <c r="S162" s="18">
        <f t="shared" si="148"/>
        <v>3</v>
      </c>
      <c r="T162" s="18">
        <f t="shared" si="148"/>
        <v>3</v>
      </c>
      <c r="U162" s="18">
        <f t="shared" si="148"/>
        <v>3</v>
      </c>
    </row>
    <row r="163" spans="4:21" x14ac:dyDescent="0.25">
      <c r="D163" s="9" t="s">
        <v>26</v>
      </c>
      <c r="E163" s="9" t="s">
        <v>346</v>
      </c>
      <c r="F163" s="9" t="s">
        <v>375</v>
      </c>
      <c r="G163" s="9">
        <v>500</v>
      </c>
      <c r="H163" s="9" t="s">
        <v>243</v>
      </c>
      <c r="I163" s="9" t="s">
        <v>32</v>
      </c>
      <c r="J163" s="9" t="s">
        <v>57</v>
      </c>
      <c r="K163" s="18">
        <v>2.5000000000000001E-2</v>
      </c>
      <c r="L163" s="18">
        <f t="shared" ref="L163:U163" si="149">K163</f>
        <v>2.5000000000000001E-2</v>
      </c>
      <c r="M163" s="18">
        <f t="shared" si="149"/>
        <v>2.5000000000000001E-2</v>
      </c>
      <c r="N163" s="18">
        <f t="shared" si="149"/>
        <v>2.5000000000000001E-2</v>
      </c>
      <c r="O163" s="18">
        <f t="shared" si="149"/>
        <v>2.5000000000000001E-2</v>
      </c>
      <c r="P163" s="18">
        <f t="shared" si="149"/>
        <v>2.5000000000000001E-2</v>
      </c>
      <c r="Q163" s="18">
        <f t="shared" si="149"/>
        <v>2.5000000000000001E-2</v>
      </c>
      <c r="R163" s="18">
        <f t="shared" si="149"/>
        <v>2.5000000000000001E-2</v>
      </c>
      <c r="S163" s="18">
        <f t="shared" si="149"/>
        <v>2.5000000000000001E-2</v>
      </c>
      <c r="T163" s="18">
        <f t="shared" si="149"/>
        <v>2.5000000000000001E-2</v>
      </c>
      <c r="U163" s="18">
        <f t="shared" si="149"/>
        <v>2.5000000000000001E-2</v>
      </c>
    </row>
    <row r="164" spans="4:21" x14ac:dyDescent="0.25">
      <c r="D164" s="9" t="s">
        <v>26</v>
      </c>
      <c r="E164" s="9" t="s">
        <v>346</v>
      </c>
      <c r="F164" s="9" t="s">
        <v>375</v>
      </c>
      <c r="G164" s="9">
        <v>500</v>
      </c>
      <c r="H164" s="9" t="s">
        <v>243</v>
      </c>
      <c r="I164" s="9" t="s">
        <v>31</v>
      </c>
      <c r="J164" s="9" t="s">
        <v>57</v>
      </c>
      <c r="K164" s="18">
        <v>3.5000000000000003E-2</v>
      </c>
      <c r="L164" s="18">
        <f t="shared" ref="L164:U164" si="150">K164</f>
        <v>3.5000000000000003E-2</v>
      </c>
      <c r="M164" s="18">
        <f t="shared" si="150"/>
        <v>3.5000000000000003E-2</v>
      </c>
      <c r="N164" s="18">
        <f t="shared" si="150"/>
        <v>3.5000000000000003E-2</v>
      </c>
      <c r="O164" s="18">
        <f t="shared" si="150"/>
        <v>3.5000000000000003E-2</v>
      </c>
      <c r="P164" s="18">
        <f t="shared" si="150"/>
        <v>3.5000000000000003E-2</v>
      </c>
      <c r="Q164" s="18">
        <f t="shared" si="150"/>
        <v>3.5000000000000003E-2</v>
      </c>
      <c r="R164" s="18">
        <f t="shared" si="150"/>
        <v>3.5000000000000003E-2</v>
      </c>
      <c r="S164" s="18">
        <f t="shared" si="150"/>
        <v>3.5000000000000003E-2</v>
      </c>
      <c r="T164" s="18">
        <f t="shared" si="150"/>
        <v>3.5000000000000003E-2</v>
      </c>
      <c r="U164" s="18">
        <f t="shared" si="150"/>
        <v>3.5000000000000003E-2</v>
      </c>
    </row>
    <row r="165" spans="4:21" x14ac:dyDescent="0.25">
      <c r="D165" s="9" t="s">
        <v>26</v>
      </c>
      <c r="E165" s="9" t="s">
        <v>346</v>
      </c>
      <c r="F165" s="9" t="s">
        <v>375</v>
      </c>
      <c r="G165" s="9">
        <v>500</v>
      </c>
      <c r="H165" s="9" t="s">
        <v>243</v>
      </c>
      <c r="I165" s="9" t="s">
        <v>339</v>
      </c>
      <c r="J165" s="9" t="s">
        <v>132</v>
      </c>
      <c r="K165" s="18">
        <v>2.5</v>
      </c>
      <c r="L165" s="18">
        <f t="shared" ref="L165:U165" si="151">K165</f>
        <v>2.5</v>
      </c>
      <c r="M165" s="18">
        <f t="shared" si="151"/>
        <v>2.5</v>
      </c>
      <c r="N165" s="18">
        <f t="shared" si="151"/>
        <v>2.5</v>
      </c>
      <c r="O165" s="18">
        <f t="shared" si="151"/>
        <v>2.5</v>
      </c>
      <c r="P165" s="18">
        <f t="shared" si="151"/>
        <v>2.5</v>
      </c>
      <c r="Q165" s="18">
        <f t="shared" si="151"/>
        <v>2.5</v>
      </c>
      <c r="R165" s="18">
        <f t="shared" si="151"/>
        <v>2.5</v>
      </c>
      <c r="S165" s="18">
        <f t="shared" si="151"/>
        <v>2.5</v>
      </c>
      <c r="T165" s="18">
        <f t="shared" si="151"/>
        <v>2.5</v>
      </c>
      <c r="U165" s="18">
        <f t="shared" si="151"/>
        <v>2.5</v>
      </c>
    </row>
    <row r="166" spans="4:21" x14ac:dyDescent="0.25">
      <c r="D166" s="9" t="s">
        <v>26</v>
      </c>
      <c r="E166" s="9" t="s">
        <v>346</v>
      </c>
      <c r="F166" s="9" t="s">
        <v>375</v>
      </c>
      <c r="G166" s="9">
        <v>500</v>
      </c>
      <c r="H166" s="9" t="s">
        <v>243</v>
      </c>
      <c r="I166" s="9" t="s">
        <v>340</v>
      </c>
      <c r="J166" s="9" t="s">
        <v>341</v>
      </c>
      <c r="K166" s="18">
        <v>50</v>
      </c>
      <c r="L166" s="18">
        <f t="shared" ref="L166:U166" si="152">K166</f>
        <v>50</v>
      </c>
      <c r="M166" s="18">
        <f t="shared" si="152"/>
        <v>50</v>
      </c>
      <c r="N166" s="18">
        <f t="shared" si="152"/>
        <v>50</v>
      </c>
      <c r="O166" s="18">
        <f t="shared" si="152"/>
        <v>50</v>
      </c>
      <c r="P166" s="18">
        <f t="shared" si="152"/>
        <v>50</v>
      </c>
      <c r="Q166" s="18">
        <f t="shared" si="152"/>
        <v>50</v>
      </c>
      <c r="R166" s="18">
        <f t="shared" si="152"/>
        <v>50</v>
      </c>
      <c r="S166" s="18">
        <f t="shared" si="152"/>
        <v>50</v>
      </c>
      <c r="T166" s="18">
        <f t="shared" si="152"/>
        <v>50</v>
      </c>
      <c r="U166" s="18">
        <f t="shared" si="152"/>
        <v>50</v>
      </c>
    </row>
    <row r="167" spans="4:21" x14ac:dyDescent="0.25">
      <c r="D167" s="9" t="s">
        <v>26</v>
      </c>
      <c r="E167" s="9" t="s">
        <v>346</v>
      </c>
      <c r="F167" s="9" t="s">
        <v>375</v>
      </c>
      <c r="G167" s="9">
        <v>175</v>
      </c>
      <c r="H167" s="9" t="s">
        <v>85</v>
      </c>
      <c r="I167" s="9" t="s">
        <v>342</v>
      </c>
      <c r="J167" s="9" t="s">
        <v>57</v>
      </c>
      <c r="K167" s="18">
        <v>0.45</v>
      </c>
      <c r="L167" s="18">
        <f t="shared" ref="L167:U167" si="153">K167</f>
        <v>0.45</v>
      </c>
      <c r="M167" s="18">
        <f t="shared" si="153"/>
        <v>0.45</v>
      </c>
      <c r="N167" s="18">
        <f t="shared" si="153"/>
        <v>0.45</v>
      </c>
      <c r="O167" s="18">
        <f t="shared" si="153"/>
        <v>0.45</v>
      </c>
      <c r="P167" s="18">
        <f t="shared" si="153"/>
        <v>0.45</v>
      </c>
      <c r="Q167" s="18">
        <f t="shared" si="153"/>
        <v>0.45</v>
      </c>
      <c r="R167" s="18">
        <f t="shared" si="153"/>
        <v>0.45</v>
      </c>
      <c r="S167" s="18">
        <f t="shared" si="153"/>
        <v>0.45</v>
      </c>
      <c r="T167" s="18">
        <f t="shared" si="153"/>
        <v>0.45</v>
      </c>
      <c r="U167" s="18">
        <f t="shared" si="153"/>
        <v>0.45</v>
      </c>
    </row>
    <row r="168" spans="4:21" x14ac:dyDescent="0.25">
      <c r="D168" s="9" t="s">
        <v>26</v>
      </c>
      <c r="E168" s="9" t="s">
        <v>346</v>
      </c>
      <c r="F168" s="9" t="s">
        <v>375</v>
      </c>
      <c r="G168" s="9">
        <v>175</v>
      </c>
      <c r="H168" s="9" t="s">
        <v>85</v>
      </c>
      <c r="I168" s="9" t="s">
        <v>388</v>
      </c>
      <c r="J168" s="9" t="s">
        <v>57</v>
      </c>
      <c r="K168" s="18">
        <v>0.51</v>
      </c>
      <c r="L168" s="18">
        <f t="shared" ref="L168:U168" si="154">K168</f>
        <v>0.51</v>
      </c>
      <c r="M168" s="18">
        <f t="shared" si="154"/>
        <v>0.51</v>
      </c>
      <c r="N168" s="18">
        <f t="shared" si="154"/>
        <v>0.51</v>
      </c>
      <c r="O168" s="18">
        <f t="shared" si="154"/>
        <v>0.51</v>
      </c>
      <c r="P168" s="18">
        <f t="shared" si="154"/>
        <v>0.51</v>
      </c>
      <c r="Q168" s="18">
        <f t="shared" si="154"/>
        <v>0.51</v>
      </c>
      <c r="R168" s="18">
        <f t="shared" si="154"/>
        <v>0.51</v>
      </c>
      <c r="S168" s="18">
        <f t="shared" si="154"/>
        <v>0.51</v>
      </c>
      <c r="T168" s="18">
        <f t="shared" si="154"/>
        <v>0.51</v>
      </c>
      <c r="U168" s="18">
        <f t="shared" si="154"/>
        <v>0.51</v>
      </c>
    </row>
    <row r="169" spans="4:21" x14ac:dyDescent="0.25">
      <c r="D169" s="9" t="s">
        <v>26</v>
      </c>
      <c r="E169" s="9" t="s">
        <v>346</v>
      </c>
      <c r="F169" s="9" t="s">
        <v>375</v>
      </c>
      <c r="G169" s="9">
        <v>175</v>
      </c>
      <c r="H169" s="9" t="s">
        <v>85</v>
      </c>
      <c r="I169" s="9" t="s">
        <v>16</v>
      </c>
      <c r="J169" s="9" t="s">
        <v>57</v>
      </c>
      <c r="K169" s="18">
        <v>4.1430000000000002E-2</v>
      </c>
      <c r="L169" s="18">
        <f t="shared" ref="L169:U169" si="155">K169</f>
        <v>4.1430000000000002E-2</v>
      </c>
      <c r="M169" s="18">
        <f t="shared" si="155"/>
        <v>4.1430000000000002E-2</v>
      </c>
      <c r="N169" s="18">
        <f t="shared" si="155"/>
        <v>4.1430000000000002E-2</v>
      </c>
      <c r="O169" s="18">
        <f t="shared" si="155"/>
        <v>4.1430000000000002E-2</v>
      </c>
      <c r="P169" s="18">
        <f t="shared" si="155"/>
        <v>4.1430000000000002E-2</v>
      </c>
      <c r="Q169" s="18">
        <f t="shared" si="155"/>
        <v>4.1430000000000002E-2</v>
      </c>
      <c r="R169" s="18">
        <f t="shared" si="155"/>
        <v>4.1430000000000002E-2</v>
      </c>
      <c r="S169" s="18">
        <f t="shared" si="155"/>
        <v>4.1430000000000002E-2</v>
      </c>
      <c r="T169" s="18">
        <f t="shared" si="155"/>
        <v>4.1430000000000002E-2</v>
      </c>
      <c r="U169" s="18">
        <f t="shared" si="155"/>
        <v>4.1430000000000002E-2</v>
      </c>
    </row>
    <row r="170" spans="4:21" x14ac:dyDescent="0.25">
      <c r="D170" s="9" t="s">
        <v>26</v>
      </c>
      <c r="E170" s="9" t="s">
        <v>346</v>
      </c>
      <c r="F170" s="9" t="s">
        <v>375</v>
      </c>
      <c r="G170" s="9">
        <v>175</v>
      </c>
      <c r="H170" s="9" t="s">
        <v>85</v>
      </c>
      <c r="I170" s="9" t="s">
        <v>13</v>
      </c>
      <c r="J170" s="9" t="s">
        <v>61</v>
      </c>
      <c r="K170" s="18">
        <v>0.26</v>
      </c>
      <c r="L170" s="18">
        <f t="shared" ref="L170:U170" si="156">K170</f>
        <v>0.26</v>
      </c>
      <c r="M170" s="18">
        <f t="shared" si="156"/>
        <v>0.26</v>
      </c>
      <c r="N170" s="18">
        <f t="shared" si="156"/>
        <v>0.26</v>
      </c>
      <c r="O170" s="18">
        <f t="shared" si="156"/>
        <v>0.26</v>
      </c>
      <c r="P170" s="18">
        <f t="shared" si="156"/>
        <v>0.26</v>
      </c>
      <c r="Q170" s="18">
        <f t="shared" si="156"/>
        <v>0.26</v>
      </c>
      <c r="R170" s="18">
        <f t="shared" si="156"/>
        <v>0.26</v>
      </c>
      <c r="S170" s="18">
        <f t="shared" si="156"/>
        <v>0.26</v>
      </c>
      <c r="T170" s="18">
        <f t="shared" si="156"/>
        <v>0.26</v>
      </c>
      <c r="U170" s="18">
        <f t="shared" si="156"/>
        <v>0.26</v>
      </c>
    </row>
    <row r="171" spans="4:21" x14ac:dyDescent="0.25">
      <c r="D171" s="9" t="s">
        <v>26</v>
      </c>
      <c r="E171" s="9" t="s">
        <v>346</v>
      </c>
      <c r="F171" s="9" t="s">
        <v>375</v>
      </c>
      <c r="G171" s="9">
        <v>175</v>
      </c>
      <c r="H171" s="9" t="s">
        <v>85</v>
      </c>
      <c r="I171" s="9" t="s">
        <v>15</v>
      </c>
      <c r="J171" s="9" t="s">
        <v>65</v>
      </c>
      <c r="K171" s="18">
        <v>94</v>
      </c>
      <c r="L171" s="18">
        <f t="shared" ref="L171:U171" si="157">K171</f>
        <v>94</v>
      </c>
      <c r="M171" s="18">
        <f t="shared" si="157"/>
        <v>94</v>
      </c>
      <c r="N171" s="18">
        <f t="shared" si="157"/>
        <v>94</v>
      </c>
      <c r="O171" s="18">
        <f t="shared" si="157"/>
        <v>94</v>
      </c>
      <c r="P171" s="18">
        <f t="shared" si="157"/>
        <v>94</v>
      </c>
      <c r="Q171" s="18">
        <f t="shared" si="157"/>
        <v>94</v>
      </c>
      <c r="R171" s="18">
        <f t="shared" si="157"/>
        <v>94</v>
      </c>
      <c r="S171" s="18">
        <f t="shared" si="157"/>
        <v>94</v>
      </c>
      <c r="T171" s="18">
        <f t="shared" si="157"/>
        <v>94</v>
      </c>
      <c r="U171" s="18">
        <f t="shared" si="157"/>
        <v>94</v>
      </c>
    </row>
    <row r="172" spans="4:21" x14ac:dyDescent="0.25">
      <c r="D172" s="9" t="s">
        <v>26</v>
      </c>
      <c r="E172" s="9" t="s">
        <v>346</v>
      </c>
      <c r="F172" s="9" t="s">
        <v>375</v>
      </c>
      <c r="G172" s="9">
        <v>175</v>
      </c>
      <c r="H172" s="9" t="s">
        <v>85</v>
      </c>
      <c r="I172" s="9" t="s">
        <v>336</v>
      </c>
      <c r="J172" s="9" t="s">
        <v>337</v>
      </c>
      <c r="K172" s="18">
        <v>0</v>
      </c>
      <c r="L172" s="18">
        <f t="shared" ref="L172:U172" si="158">K172</f>
        <v>0</v>
      </c>
      <c r="M172" s="18">
        <f t="shared" si="158"/>
        <v>0</v>
      </c>
      <c r="N172" s="18">
        <f t="shared" si="158"/>
        <v>0</v>
      </c>
      <c r="O172" s="18">
        <f t="shared" si="158"/>
        <v>0</v>
      </c>
      <c r="P172" s="18">
        <f t="shared" si="158"/>
        <v>0</v>
      </c>
      <c r="Q172" s="18">
        <f t="shared" si="158"/>
        <v>0</v>
      </c>
      <c r="R172" s="18">
        <f t="shared" si="158"/>
        <v>0</v>
      </c>
      <c r="S172" s="18">
        <f t="shared" si="158"/>
        <v>0</v>
      </c>
      <c r="T172" s="18">
        <f t="shared" si="158"/>
        <v>0</v>
      </c>
      <c r="U172" s="18">
        <f t="shared" si="158"/>
        <v>0</v>
      </c>
    </row>
    <row r="173" spans="4:21" x14ac:dyDescent="0.25">
      <c r="D173" s="9" t="s">
        <v>26</v>
      </c>
      <c r="E173" s="9" t="s">
        <v>346</v>
      </c>
      <c r="F173" s="9" t="s">
        <v>375</v>
      </c>
      <c r="G173" s="9">
        <v>175</v>
      </c>
      <c r="H173" s="9" t="s">
        <v>85</v>
      </c>
      <c r="I173" s="9" t="s">
        <v>32</v>
      </c>
      <c r="J173" s="9" t="s">
        <v>57</v>
      </c>
      <c r="K173" s="18">
        <v>0.02</v>
      </c>
      <c r="L173" s="18">
        <f t="shared" ref="L173:U173" si="159">K173</f>
        <v>0.02</v>
      </c>
      <c r="M173" s="18">
        <f t="shared" si="159"/>
        <v>0.02</v>
      </c>
      <c r="N173" s="18">
        <f t="shared" si="159"/>
        <v>0.02</v>
      </c>
      <c r="O173" s="18">
        <f t="shared" si="159"/>
        <v>0.02</v>
      </c>
      <c r="P173" s="18">
        <f t="shared" si="159"/>
        <v>0.02</v>
      </c>
      <c r="Q173" s="18">
        <f t="shared" si="159"/>
        <v>0.02</v>
      </c>
      <c r="R173" s="18">
        <f t="shared" si="159"/>
        <v>0.02</v>
      </c>
      <c r="S173" s="18">
        <f t="shared" si="159"/>
        <v>0.02</v>
      </c>
      <c r="T173" s="18">
        <f t="shared" si="159"/>
        <v>0.02</v>
      </c>
      <c r="U173" s="18">
        <f t="shared" si="159"/>
        <v>0.02</v>
      </c>
    </row>
    <row r="174" spans="4:21" x14ac:dyDescent="0.25">
      <c r="D174" s="9" t="s">
        <v>26</v>
      </c>
      <c r="E174" s="9" t="s">
        <v>346</v>
      </c>
      <c r="F174" s="9" t="s">
        <v>375</v>
      </c>
      <c r="G174" s="9">
        <v>175</v>
      </c>
      <c r="H174" s="9" t="s">
        <v>85</v>
      </c>
      <c r="I174" s="9" t="s">
        <v>339</v>
      </c>
      <c r="J174" s="9" t="s">
        <v>132</v>
      </c>
      <c r="K174" s="18">
        <v>2.5</v>
      </c>
      <c r="L174" s="18">
        <f t="shared" ref="L174:U174" si="160">K174</f>
        <v>2.5</v>
      </c>
      <c r="M174" s="18">
        <f t="shared" si="160"/>
        <v>2.5</v>
      </c>
      <c r="N174" s="18">
        <f t="shared" si="160"/>
        <v>2.5</v>
      </c>
      <c r="O174" s="18">
        <f t="shared" si="160"/>
        <v>2.5</v>
      </c>
      <c r="P174" s="18">
        <f t="shared" si="160"/>
        <v>2.5</v>
      </c>
      <c r="Q174" s="18">
        <f t="shared" si="160"/>
        <v>2.5</v>
      </c>
      <c r="R174" s="18">
        <f t="shared" si="160"/>
        <v>2.5</v>
      </c>
      <c r="S174" s="18">
        <f t="shared" si="160"/>
        <v>2.5</v>
      </c>
      <c r="T174" s="18">
        <f t="shared" si="160"/>
        <v>2.5</v>
      </c>
      <c r="U174" s="18">
        <f t="shared" si="160"/>
        <v>2.5</v>
      </c>
    </row>
    <row r="175" spans="4:21" x14ac:dyDescent="0.25">
      <c r="D175" s="9" t="s">
        <v>26</v>
      </c>
      <c r="E175" s="9" t="s">
        <v>346</v>
      </c>
      <c r="F175" s="9" t="s">
        <v>375</v>
      </c>
      <c r="G175" s="9">
        <v>175</v>
      </c>
      <c r="H175" s="9" t="s">
        <v>85</v>
      </c>
      <c r="I175" s="9" t="s">
        <v>340</v>
      </c>
      <c r="J175" s="9" t="s">
        <v>341</v>
      </c>
      <c r="K175" s="18">
        <v>20</v>
      </c>
      <c r="L175" s="18">
        <f t="shared" ref="L175:U175" si="161">K175</f>
        <v>20</v>
      </c>
      <c r="M175" s="18">
        <f t="shared" si="161"/>
        <v>20</v>
      </c>
      <c r="N175" s="18">
        <f t="shared" si="161"/>
        <v>20</v>
      </c>
      <c r="O175" s="18">
        <f t="shared" si="161"/>
        <v>20</v>
      </c>
      <c r="P175" s="18">
        <f t="shared" si="161"/>
        <v>20</v>
      </c>
      <c r="Q175" s="18">
        <f t="shared" si="161"/>
        <v>20</v>
      </c>
      <c r="R175" s="18">
        <f t="shared" si="161"/>
        <v>20</v>
      </c>
      <c r="S175" s="18">
        <f t="shared" si="161"/>
        <v>20</v>
      </c>
      <c r="T175" s="18">
        <f t="shared" si="161"/>
        <v>20</v>
      </c>
      <c r="U175" s="18">
        <f t="shared" si="161"/>
        <v>20</v>
      </c>
    </row>
    <row r="176" spans="4:21" x14ac:dyDescent="0.25">
      <c r="D176" s="9" t="s">
        <v>26</v>
      </c>
      <c r="E176" s="9" t="s">
        <v>346</v>
      </c>
      <c r="F176" s="9" t="s">
        <v>375</v>
      </c>
      <c r="G176" s="9">
        <v>175</v>
      </c>
      <c r="H176" s="9" t="s">
        <v>244</v>
      </c>
      <c r="I176" s="9" t="s">
        <v>342</v>
      </c>
      <c r="J176" s="9" t="s">
        <v>57</v>
      </c>
      <c r="K176" s="18">
        <v>0.71</v>
      </c>
      <c r="L176" s="18">
        <f t="shared" ref="L176:U176" si="162">K176</f>
        <v>0.71</v>
      </c>
      <c r="M176" s="18">
        <f t="shared" si="162"/>
        <v>0.71</v>
      </c>
      <c r="N176" s="18">
        <f t="shared" si="162"/>
        <v>0.71</v>
      </c>
      <c r="O176" s="18">
        <f t="shared" si="162"/>
        <v>0.71</v>
      </c>
      <c r="P176" s="18">
        <f t="shared" si="162"/>
        <v>0.71</v>
      </c>
      <c r="Q176" s="18">
        <f t="shared" si="162"/>
        <v>0.71</v>
      </c>
      <c r="R176" s="18">
        <f t="shared" si="162"/>
        <v>0.71</v>
      </c>
      <c r="S176" s="18">
        <f t="shared" si="162"/>
        <v>0.71</v>
      </c>
      <c r="T176" s="18">
        <f t="shared" si="162"/>
        <v>0.71</v>
      </c>
      <c r="U176" s="18">
        <f t="shared" si="162"/>
        <v>0.71</v>
      </c>
    </row>
    <row r="177" spans="4:21" x14ac:dyDescent="0.25">
      <c r="D177" s="9" t="s">
        <v>26</v>
      </c>
      <c r="E177" s="9" t="s">
        <v>346</v>
      </c>
      <c r="F177" s="9" t="s">
        <v>375</v>
      </c>
      <c r="G177" s="9">
        <v>175</v>
      </c>
      <c r="H177" s="9" t="s">
        <v>244</v>
      </c>
      <c r="I177" s="9" t="s">
        <v>388</v>
      </c>
      <c r="J177" s="9" t="s">
        <v>57</v>
      </c>
      <c r="K177" s="18">
        <v>0.44</v>
      </c>
      <c r="L177" s="18">
        <f t="shared" ref="L177:U177" si="163">K177</f>
        <v>0.44</v>
      </c>
      <c r="M177" s="18">
        <f t="shared" si="163"/>
        <v>0.44</v>
      </c>
      <c r="N177" s="18">
        <f t="shared" si="163"/>
        <v>0.44</v>
      </c>
      <c r="O177" s="18">
        <f t="shared" si="163"/>
        <v>0.44</v>
      </c>
      <c r="P177" s="18">
        <f t="shared" si="163"/>
        <v>0.44</v>
      </c>
      <c r="Q177" s="18">
        <f t="shared" si="163"/>
        <v>0.44</v>
      </c>
      <c r="R177" s="18">
        <f t="shared" si="163"/>
        <v>0.44</v>
      </c>
      <c r="S177" s="18">
        <f t="shared" si="163"/>
        <v>0.44</v>
      </c>
      <c r="T177" s="18">
        <f t="shared" si="163"/>
        <v>0.44</v>
      </c>
      <c r="U177" s="18">
        <f t="shared" si="163"/>
        <v>0.44</v>
      </c>
    </row>
    <row r="178" spans="4:21" x14ac:dyDescent="0.25">
      <c r="D178" s="9" t="s">
        <v>26</v>
      </c>
      <c r="E178" s="9" t="s">
        <v>346</v>
      </c>
      <c r="F178" s="9" t="s">
        <v>375</v>
      </c>
      <c r="G178" s="9">
        <v>175</v>
      </c>
      <c r="H178" s="9" t="s">
        <v>244</v>
      </c>
      <c r="I178" s="9" t="s">
        <v>16</v>
      </c>
      <c r="J178" s="9" t="s">
        <v>57</v>
      </c>
      <c r="K178" s="18">
        <v>7.0000000000000007E-2</v>
      </c>
      <c r="L178" s="18">
        <f t="shared" ref="L178:U178" si="164">K178</f>
        <v>7.0000000000000007E-2</v>
      </c>
      <c r="M178" s="18">
        <f t="shared" si="164"/>
        <v>7.0000000000000007E-2</v>
      </c>
      <c r="N178" s="18">
        <f t="shared" si="164"/>
        <v>7.0000000000000007E-2</v>
      </c>
      <c r="O178" s="18">
        <f t="shared" si="164"/>
        <v>7.0000000000000007E-2</v>
      </c>
      <c r="P178" s="18">
        <f t="shared" si="164"/>
        <v>7.0000000000000007E-2</v>
      </c>
      <c r="Q178" s="18">
        <f t="shared" si="164"/>
        <v>7.0000000000000007E-2</v>
      </c>
      <c r="R178" s="18">
        <f t="shared" si="164"/>
        <v>7.0000000000000007E-2</v>
      </c>
      <c r="S178" s="18">
        <f t="shared" si="164"/>
        <v>7.0000000000000007E-2</v>
      </c>
      <c r="T178" s="18">
        <f t="shared" si="164"/>
        <v>7.0000000000000007E-2</v>
      </c>
      <c r="U178" s="18">
        <f t="shared" si="164"/>
        <v>7.0000000000000007E-2</v>
      </c>
    </row>
    <row r="179" spans="4:21" x14ac:dyDescent="0.25">
      <c r="D179" s="9" t="s">
        <v>26</v>
      </c>
      <c r="E179" s="9" t="s">
        <v>346</v>
      </c>
      <c r="F179" s="9" t="s">
        <v>375</v>
      </c>
      <c r="G179" s="9">
        <v>175</v>
      </c>
      <c r="H179" s="9" t="s">
        <v>244</v>
      </c>
      <c r="I179" s="9" t="s">
        <v>13</v>
      </c>
      <c r="J179" s="9" t="s">
        <v>61</v>
      </c>
      <c r="K179" s="18">
        <v>0.44</v>
      </c>
      <c r="L179" s="18">
        <f t="shared" ref="L179:U179" si="165">K179</f>
        <v>0.44</v>
      </c>
      <c r="M179" s="18">
        <f t="shared" si="165"/>
        <v>0.44</v>
      </c>
      <c r="N179" s="18">
        <f t="shared" si="165"/>
        <v>0.44</v>
      </c>
      <c r="O179" s="18">
        <f t="shared" si="165"/>
        <v>0.44</v>
      </c>
      <c r="P179" s="18">
        <f t="shared" si="165"/>
        <v>0.44</v>
      </c>
      <c r="Q179" s="18">
        <f t="shared" si="165"/>
        <v>0.44</v>
      </c>
      <c r="R179" s="18">
        <f t="shared" si="165"/>
        <v>0.44</v>
      </c>
      <c r="S179" s="18">
        <f t="shared" si="165"/>
        <v>0.44</v>
      </c>
      <c r="T179" s="18">
        <f t="shared" si="165"/>
        <v>0.44</v>
      </c>
      <c r="U179" s="18">
        <f t="shared" si="165"/>
        <v>0.44</v>
      </c>
    </row>
    <row r="180" spans="4:21" x14ac:dyDescent="0.25">
      <c r="D180" s="9" t="s">
        <v>26</v>
      </c>
      <c r="E180" s="9" t="s">
        <v>346</v>
      </c>
      <c r="F180" s="9" t="s">
        <v>375</v>
      </c>
      <c r="G180" s="9">
        <v>175</v>
      </c>
      <c r="H180" s="9" t="s">
        <v>244</v>
      </c>
      <c r="I180" s="9" t="s">
        <v>15</v>
      </c>
      <c r="J180" s="9" t="s">
        <v>65</v>
      </c>
      <c r="K180" s="18">
        <v>94</v>
      </c>
      <c r="L180" s="18">
        <f t="shared" ref="L180:U180" si="166">K180</f>
        <v>94</v>
      </c>
      <c r="M180" s="18">
        <f t="shared" si="166"/>
        <v>94</v>
      </c>
      <c r="N180" s="18">
        <f t="shared" si="166"/>
        <v>94</v>
      </c>
      <c r="O180" s="18">
        <f t="shared" si="166"/>
        <v>94</v>
      </c>
      <c r="P180" s="18">
        <f t="shared" si="166"/>
        <v>94</v>
      </c>
      <c r="Q180" s="18">
        <f t="shared" si="166"/>
        <v>94</v>
      </c>
      <c r="R180" s="18">
        <f t="shared" si="166"/>
        <v>94</v>
      </c>
      <c r="S180" s="18">
        <f t="shared" si="166"/>
        <v>94</v>
      </c>
      <c r="T180" s="18">
        <f t="shared" si="166"/>
        <v>94</v>
      </c>
      <c r="U180" s="18">
        <f t="shared" si="166"/>
        <v>94</v>
      </c>
    </row>
    <row r="181" spans="4:21" x14ac:dyDescent="0.25">
      <c r="D181" s="9" t="s">
        <v>26</v>
      </c>
      <c r="E181" s="9" t="s">
        <v>346</v>
      </c>
      <c r="F181" s="9" t="s">
        <v>375</v>
      </c>
      <c r="G181" s="9">
        <v>175</v>
      </c>
      <c r="H181" s="9" t="s">
        <v>244</v>
      </c>
      <c r="I181" s="9" t="s">
        <v>336</v>
      </c>
      <c r="J181" s="9" t="s">
        <v>337</v>
      </c>
      <c r="K181" s="18">
        <v>0</v>
      </c>
      <c r="L181" s="18">
        <f t="shared" ref="L181:U181" si="167">K181</f>
        <v>0</v>
      </c>
      <c r="M181" s="18">
        <f t="shared" si="167"/>
        <v>0</v>
      </c>
      <c r="N181" s="18">
        <f t="shared" si="167"/>
        <v>0</v>
      </c>
      <c r="O181" s="18">
        <f t="shared" si="167"/>
        <v>0</v>
      </c>
      <c r="P181" s="18">
        <f t="shared" si="167"/>
        <v>0</v>
      </c>
      <c r="Q181" s="18">
        <f t="shared" si="167"/>
        <v>0</v>
      </c>
      <c r="R181" s="18">
        <f t="shared" si="167"/>
        <v>0</v>
      </c>
      <c r="S181" s="18">
        <f t="shared" si="167"/>
        <v>0</v>
      </c>
      <c r="T181" s="18">
        <f t="shared" si="167"/>
        <v>0</v>
      </c>
      <c r="U181" s="18">
        <f t="shared" si="167"/>
        <v>0</v>
      </c>
    </row>
    <row r="182" spans="4:21" x14ac:dyDescent="0.25">
      <c r="D182" s="9" t="s">
        <v>26</v>
      </c>
      <c r="E182" s="9" t="s">
        <v>346</v>
      </c>
      <c r="F182" s="9" t="s">
        <v>375</v>
      </c>
      <c r="G182" s="9">
        <v>175</v>
      </c>
      <c r="H182" s="9" t="s">
        <v>244</v>
      </c>
      <c r="I182" s="9" t="s">
        <v>32</v>
      </c>
      <c r="J182" s="9" t="s">
        <v>57</v>
      </c>
      <c r="K182" s="18">
        <v>0.03</v>
      </c>
      <c r="L182" s="18">
        <f t="shared" ref="L182:U182" si="168">K182</f>
        <v>0.03</v>
      </c>
      <c r="M182" s="18">
        <f t="shared" si="168"/>
        <v>0.03</v>
      </c>
      <c r="N182" s="18">
        <f t="shared" si="168"/>
        <v>0.03</v>
      </c>
      <c r="O182" s="18">
        <f t="shared" si="168"/>
        <v>0.03</v>
      </c>
      <c r="P182" s="18">
        <f t="shared" si="168"/>
        <v>0.03</v>
      </c>
      <c r="Q182" s="18">
        <f t="shared" si="168"/>
        <v>0.03</v>
      </c>
      <c r="R182" s="18">
        <f t="shared" si="168"/>
        <v>0.03</v>
      </c>
      <c r="S182" s="18">
        <f t="shared" si="168"/>
        <v>0.03</v>
      </c>
      <c r="T182" s="18">
        <f t="shared" si="168"/>
        <v>0.03</v>
      </c>
      <c r="U182" s="18">
        <f t="shared" si="168"/>
        <v>0.03</v>
      </c>
    </row>
    <row r="183" spans="4:21" x14ac:dyDescent="0.25">
      <c r="D183" s="9" t="s">
        <v>26</v>
      </c>
      <c r="E183" s="9" t="s">
        <v>346</v>
      </c>
      <c r="F183" s="9" t="s">
        <v>375</v>
      </c>
      <c r="G183" s="9">
        <v>175</v>
      </c>
      <c r="H183" s="9" t="s">
        <v>244</v>
      </c>
      <c r="I183" s="9" t="s">
        <v>339</v>
      </c>
      <c r="J183" s="9" t="s">
        <v>132</v>
      </c>
      <c r="K183" s="18">
        <v>2.5</v>
      </c>
      <c r="L183" s="18">
        <f t="shared" ref="L183:U183" si="169">K183</f>
        <v>2.5</v>
      </c>
      <c r="M183" s="18">
        <f t="shared" si="169"/>
        <v>2.5</v>
      </c>
      <c r="N183" s="18">
        <f t="shared" si="169"/>
        <v>2.5</v>
      </c>
      <c r="O183" s="18">
        <f t="shared" si="169"/>
        <v>2.5</v>
      </c>
      <c r="P183" s="18">
        <f t="shared" si="169"/>
        <v>2.5</v>
      </c>
      <c r="Q183" s="18">
        <f t="shared" si="169"/>
        <v>2.5</v>
      </c>
      <c r="R183" s="18">
        <f t="shared" si="169"/>
        <v>2.5</v>
      </c>
      <c r="S183" s="18">
        <f t="shared" si="169"/>
        <v>2.5</v>
      </c>
      <c r="T183" s="18">
        <f t="shared" si="169"/>
        <v>2.5</v>
      </c>
      <c r="U183" s="18">
        <f t="shared" si="169"/>
        <v>2.5</v>
      </c>
    </row>
    <row r="184" spans="4:21" x14ac:dyDescent="0.25">
      <c r="D184" s="9" t="s">
        <v>26</v>
      </c>
      <c r="E184" s="9" t="s">
        <v>346</v>
      </c>
      <c r="F184" s="9" t="s">
        <v>375</v>
      </c>
      <c r="G184" s="9">
        <v>175</v>
      </c>
      <c r="H184" s="9" t="s">
        <v>244</v>
      </c>
      <c r="I184" s="9" t="s">
        <v>340</v>
      </c>
      <c r="J184" s="9" t="s">
        <v>341</v>
      </c>
      <c r="K184" s="18">
        <v>20</v>
      </c>
      <c r="L184" s="18">
        <f t="shared" ref="L184:U184" si="170">K184</f>
        <v>20</v>
      </c>
      <c r="M184" s="18">
        <f t="shared" si="170"/>
        <v>20</v>
      </c>
      <c r="N184" s="18">
        <f t="shared" si="170"/>
        <v>20</v>
      </c>
      <c r="O184" s="18">
        <f t="shared" si="170"/>
        <v>20</v>
      </c>
      <c r="P184" s="18">
        <f t="shared" si="170"/>
        <v>20</v>
      </c>
      <c r="Q184" s="18">
        <f t="shared" si="170"/>
        <v>20</v>
      </c>
      <c r="R184" s="18">
        <f t="shared" si="170"/>
        <v>20</v>
      </c>
      <c r="S184" s="18">
        <f t="shared" si="170"/>
        <v>20</v>
      </c>
      <c r="T184" s="18">
        <f t="shared" si="170"/>
        <v>20</v>
      </c>
      <c r="U184" s="18">
        <f t="shared" si="170"/>
        <v>20</v>
      </c>
    </row>
    <row r="185" spans="4:21" x14ac:dyDescent="0.25">
      <c r="D185" s="9"/>
      <c r="E185" s="9"/>
      <c r="F185" s="9"/>
      <c r="G185" s="9"/>
      <c r="H185" s="9"/>
      <c r="I185" s="9"/>
      <c r="J185" s="9"/>
      <c r="K185" s="18"/>
      <c r="L185" s="18" t="str">
        <f t="shared" ref="L185:L213" si="171">IF(K185="","",K185)</f>
        <v/>
      </c>
      <c r="M185" s="18" t="str">
        <f t="shared" ref="M185:M213" si="172">IF(L185="","",L185)</f>
        <v/>
      </c>
      <c r="N185" s="18" t="str">
        <f t="shared" ref="N185:N213" si="173">IF(M185="","",M185)</f>
        <v/>
      </c>
      <c r="O185" s="18" t="str">
        <f t="shared" ref="O185:O213" si="174">IF(N185="","",N185)</f>
        <v/>
      </c>
      <c r="P185" s="18" t="str">
        <f t="shared" ref="P185:P213" si="175">IF(O185="","",O185)</f>
        <v/>
      </c>
      <c r="Q185" s="18" t="str">
        <f t="shared" ref="Q185:Q213" si="176">IF(P185="","",P185)</f>
        <v/>
      </c>
      <c r="R185" s="18" t="str">
        <f t="shared" ref="R185:R213" si="177">IF(Q185="","",Q185)</f>
        <v/>
      </c>
      <c r="S185" s="18" t="str">
        <f t="shared" ref="S185:S213" si="178">IF(R185="","",R185)</f>
        <v/>
      </c>
      <c r="T185" s="18" t="str">
        <f t="shared" ref="T185:T213" si="179">IF(S185="","",S185)</f>
        <v/>
      </c>
      <c r="U185" s="18" t="str">
        <f t="shared" ref="U185:U213" si="180">IF(T185="","",T185)</f>
        <v/>
      </c>
    </row>
    <row r="186" spans="4:21" x14ac:dyDescent="0.25">
      <c r="D186" s="9"/>
      <c r="E186" s="9"/>
      <c r="F186" s="9"/>
      <c r="G186" s="9"/>
      <c r="H186" s="9"/>
      <c r="I186" s="9"/>
      <c r="J186" s="9"/>
      <c r="K186" s="18"/>
      <c r="L186" s="18" t="str">
        <f t="shared" si="171"/>
        <v/>
      </c>
      <c r="M186" s="18" t="str">
        <f t="shared" si="172"/>
        <v/>
      </c>
      <c r="N186" s="18" t="str">
        <f t="shared" si="173"/>
        <v/>
      </c>
      <c r="O186" s="18" t="str">
        <f t="shared" si="174"/>
        <v/>
      </c>
      <c r="P186" s="18" t="str">
        <f t="shared" si="175"/>
        <v/>
      </c>
      <c r="Q186" s="18" t="str">
        <f t="shared" si="176"/>
        <v/>
      </c>
      <c r="R186" s="18" t="str">
        <f t="shared" si="177"/>
        <v/>
      </c>
      <c r="S186" s="18" t="str">
        <f t="shared" si="178"/>
        <v/>
      </c>
      <c r="T186" s="18" t="str">
        <f t="shared" si="179"/>
        <v/>
      </c>
      <c r="U186" s="18" t="str">
        <f t="shared" si="180"/>
        <v/>
      </c>
    </row>
    <row r="187" spans="4:21" x14ac:dyDescent="0.25">
      <c r="D187" s="9"/>
      <c r="E187" s="9"/>
      <c r="F187" s="9"/>
      <c r="G187" s="9"/>
      <c r="H187" s="9"/>
      <c r="I187" s="9"/>
      <c r="J187" s="9"/>
      <c r="K187" s="18"/>
      <c r="L187" s="18" t="str">
        <f t="shared" si="171"/>
        <v/>
      </c>
      <c r="M187" s="18" t="str">
        <f t="shared" si="172"/>
        <v/>
      </c>
      <c r="N187" s="18" t="str">
        <f t="shared" si="173"/>
        <v/>
      </c>
      <c r="O187" s="18" t="str">
        <f t="shared" si="174"/>
        <v/>
      </c>
      <c r="P187" s="18" t="str">
        <f t="shared" si="175"/>
        <v/>
      </c>
      <c r="Q187" s="18" t="str">
        <f t="shared" si="176"/>
        <v/>
      </c>
      <c r="R187" s="18" t="str">
        <f t="shared" si="177"/>
        <v/>
      </c>
      <c r="S187" s="18" t="str">
        <f t="shared" si="178"/>
        <v/>
      </c>
      <c r="T187" s="18" t="str">
        <f t="shared" si="179"/>
        <v/>
      </c>
      <c r="U187" s="18" t="str">
        <f t="shared" si="180"/>
        <v/>
      </c>
    </row>
    <row r="188" spans="4:21" x14ac:dyDescent="0.25">
      <c r="D188" s="9"/>
      <c r="E188" s="9"/>
      <c r="F188" s="9"/>
      <c r="G188" s="9"/>
      <c r="H188" s="9"/>
      <c r="I188" s="9"/>
      <c r="J188" s="9"/>
      <c r="K188" s="18"/>
      <c r="L188" s="18" t="str">
        <f t="shared" si="171"/>
        <v/>
      </c>
      <c r="M188" s="18" t="str">
        <f t="shared" si="172"/>
        <v/>
      </c>
      <c r="N188" s="18" t="str">
        <f t="shared" si="173"/>
        <v/>
      </c>
      <c r="O188" s="18" t="str">
        <f t="shared" si="174"/>
        <v/>
      </c>
      <c r="P188" s="18" t="str">
        <f t="shared" si="175"/>
        <v/>
      </c>
      <c r="Q188" s="18" t="str">
        <f t="shared" si="176"/>
        <v/>
      </c>
      <c r="R188" s="18" t="str">
        <f t="shared" si="177"/>
        <v/>
      </c>
      <c r="S188" s="18" t="str">
        <f t="shared" si="178"/>
        <v/>
      </c>
      <c r="T188" s="18" t="str">
        <f t="shared" si="179"/>
        <v/>
      </c>
      <c r="U188" s="18" t="str">
        <f t="shared" si="180"/>
        <v/>
      </c>
    </row>
    <row r="189" spans="4:21" x14ac:dyDescent="0.25">
      <c r="D189" s="9"/>
      <c r="E189" s="9"/>
      <c r="F189" s="9"/>
      <c r="G189" s="9"/>
      <c r="H189" s="9"/>
      <c r="I189" s="9"/>
      <c r="J189" s="9"/>
      <c r="K189" s="18"/>
      <c r="L189" s="18" t="str">
        <f t="shared" si="171"/>
        <v/>
      </c>
      <c r="M189" s="18" t="str">
        <f t="shared" si="172"/>
        <v/>
      </c>
      <c r="N189" s="18" t="str">
        <f t="shared" si="173"/>
        <v/>
      </c>
      <c r="O189" s="18" t="str">
        <f t="shared" si="174"/>
        <v/>
      </c>
      <c r="P189" s="18" t="str">
        <f t="shared" si="175"/>
        <v/>
      </c>
      <c r="Q189" s="18" t="str">
        <f t="shared" si="176"/>
        <v/>
      </c>
      <c r="R189" s="18" t="str">
        <f t="shared" si="177"/>
        <v/>
      </c>
      <c r="S189" s="18" t="str">
        <f t="shared" si="178"/>
        <v/>
      </c>
      <c r="T189" s="18" t="str">
        <f t="shared" si="179"/>
        <v/>
      </c>
      <c r="U189" s="18" t="str">
        <f t="shared" si="180"/>
        <v/>
      </c>
    </row>
    <row r="190" spans="4:21" x14ac:dyDescent="0.25">
      <c r="D190" s="9"/>
      <c r="E190" s="9"/>
      <c r="F190" s="9"/>
      <c r="G190" s="9"/>
      <c r="H190" s="9"/>
      <c r="I190" s="9"/>
      <c r="J190" s="9"/>
      <c r="K190" s="18"/>
      <c r="L190" s="18" t="str">
        <f t="shared" si="171"/>
        <v/>
      </c>
      <c r="M190" s="18" t="str">
        <f t="shared" si="172"/>
        <v/>
      </c>
      <c r="N190" s="18" t="str">
        <f t="shared" si="173"/>
        <v/>
      </c>
      <c r="O190" s="18" t="str">
        <f t="shared" si="174"/>
        <v/>
      </c>
      <c r="P190" s="18" t="str">
        <f t="shared" si="175"/>
        <v/>
      </c>
      <c r="Q190" s="18" t="str">
        <f t="shared" si="176"/>
        <v/>
      </c>
      <c r="R190" s="18" t="str">
        <f t="shared" si="177"/>
        <v/>
      </c>
      <c r="S190" s="18" t="str">
        <f t="shared" si="178"/>
        <v/>
      </c>
      <c r="T190" s="18" t="str">
        <f t="shared" si="179"/>
        <v/>
      </c>
      <c r="U190" s="18" t="str">
        <f t="shared" si="180"/>
        <v/>
      </c>
    </row>
    <row r="191" spans="4:21" x14ac:dyDescent="0.25">
      <c r="D191" s="9"/>
      <c r="E191" s="9"/>
      <c r="F191" s="9"/>
      <c r="G191" s="9"/>
      <c r="H191" s="9"/>
      <c r="I191" s="9"/>
      <c r="J191" s="9"/>
      <c r="K191" s="18"/>
      <c r="L191" s="18" t="str">
        <f t="shared" si="171"/>
        <v/>
      </c>
      <c r="M191" s="18" t="str">
        <f t="shared" si="172"/>
        <v/>
      </c>
      <c r="N191" s="18" t="str">
        <f t="shared" si="173"/>
        <v/>
      </c>
      <c r="O191" s="18" t="str">
        <f t="shared" si="174"/>
        <v/>
      </c>
      <c r="P191" s="18" t="str">
        <f t="shared" si="175"/>
        <v/>
      </c>
      <c r="Q191" s="18" t="str">
        <f t="shared" si="176"/>
        <v/>
      </c>
      <c r="R191" s="18" t="str">
        <f t="shared" si="177"/>
        <v/>
      </c>
      <c r="S191" s="18" t="str">
        <f t="shared" si="178"/>
        <v/>
      </c>
      <c r="T191" s="18" t="str">
        <f t="shared" si="179"/>
        <v/>
      </c>
      <c r="U191" s="18" t="str">
        <f t="shared" si="180"/>
        <v/>
      </c>
    </row>
    <row r="192" spans="4:21" x14ac:dyDescent="0.25">
      <c r="D192" s="9"/>
      <c r="E192" s="9"/>
      <c r="F192" s="9"/>
      <c r="G192" s="9"/>
      <c r="H192" s="9"/>
      <c r="I192" s="9"/>
      <c r="J192" s="9"/>
      <c r="K192" s="18"/>
      <c r="L192" s="18" t="str">
        <f t="shared" si="171"/>
        <v/>
      </c>
      <c r="M192" s="18" t="str">
        <f t="shared" si="172"/>
        <v/>
      </c>
      <c r="N192" s="18" t="str">
        <f t="shared" si="173"/>
        <v/>
      </c>
      <c r="O192" s="18" t="str">
        <f t="shared" si="174"/>
        <v/>
      </c>
      <c r="P192" s="18" t="str">
        <f t="shared" si="175"/>
        <v/>
      </c>
      <c r="Q192" s="18" t="str">
        <f t="shared" si="176"/>
        <v/>
      </c>
      <c r="R192" s="18" t="str">
        <f t="shared" si="177"/>
        <v/>
      </c>
      <c r="S192" s="18" t="str">
        <f t="shared" si="178"/>
        <v/>
      </c>
      <c r="T192" s="18" t="str">
        <f t="shared" si="179"/>
        <v/>
      </c>
      <c r="U192" s="18" t="str">
        <f t="shared" si="180"/>
        <v/>
      </c>
    </row>
    <row r="193" spans="4:21" x14ac:dyDescent="0.25">
      <c r="D193" s="9"/>
      <c r="E193" s="9"/>
      <c r="F193" s="9"/>
      <c r="G193" s="9"/>
      <c r="H193" s="9"/>
      <c r="I193" s="9"/>
      <c r="J193" s="9"/>
      <c r="K193" s="18"/>
      <c r="L193" s="18" t="str">
        <f t="shared" si="171"/>
        <v/>
      </c>
      <c r="M193" s="18" t="str">
        <f t="shared" si="172"/>
        <v/>
      </c>
      <c r="N193" s="18" t="str">
        <f t="shared" si="173"/>
        <v/>
      </c>
      <c r="O193" s="18" t="str">
        <f t="shared" si="174"/>
        <v/>
      </c>
      <c r="P193" s="18" t="str">
        <f t="shared" si="175"/>
        <v/>
      </c>
      <c r="Q193" s="18" t="str">
        <f t="shared" si="176"/>
        <v/>
      </c>
      <c r="R193" s="18" t="str">
        <f t="shared" si="177"/>
        <v/>
      </c>
      <c r="S193" s="18" t="str">
        <f t="shared" si="178"/>
        <v/>
      </c>
      <c r="T193" s="18" t="str">
        <f t="shared" si="179"/>
        <v/>
      </c>
      <c r="U193" s="18" t="str">
        <f t="shared" si="180"/>
        <v/>
      </c>
    </row>
    <row r="194" spans="4:21" x14ac:dyDescent="0.25">
      <c r="D194" s="9"/>
      <c r="E194" s="9"/>
      <c r="F194" s="9"/>
      <c r="G194" s="9"/>
      <c r="H194" s="9"/>
      <c r="I194" s="9"/>
      <c r="J194" s="9"/>
      <c r="K194" s="18"/>
      <c r="L194" s="18" t="str">
        <f t="shared" si="171"/>
        <v/>
      </c>
      <c r="M194" s="18" t="str">
        <f t="shared" si="172"/>
        <v/>
      </c>
      <c r="N194" s="18" t="str">
        <f t="shared" si="173"/>
        <v/>
      </c>
      <c r="O194" s="18" t="str">
        <f t="shared" si="174"/>
        <v/>
      </c>
      <c r="P194" s="18" t="str">
        <f t="shared" si="175"/>
        <v/>
      </c>
      <c r="Q194" s="18" t="str">
        <f t="shared" si="176"/>
        <v/>
      </c>
      <c r="R194" s="18" t="str">
        <f t="shared" si="177"/>
        <v/>
      </c>
      <c r="S194" s="18" t="str">
        <f t="shared" si="178"/>
        <v/>
      </c>
      <c r="T194" s="18" t="str">
        <f t="shared" si="179"/>
        <v/>
      </c>
      <c r="U194" s="18" t="str">
        <f t="shared" si="180"/>
        <v/>
      </c>
    </row>
    <row r="195" spans="4:21" x14ac:dyDescent="0.25">
      <c r="D195" s="9"/>
      <c r="E195" s="9"/>
      <c r="F195" s="9"/>
      <c r="G195" s="9"/>
      <c r="H195" s="9"/>
      <c r="I195" s="9"/>
      <c r="J195" s="9"/>
      <c r="K195" s="18"/>
      <c r="L195" s="18" t="str">
        <f t="shared" si="171"/>
        <v/>
      </c>
      <c r="M195" s="18" t="str">
        <f t="shared" si="172"/>
        <v/>
      </c>
      <c r="N195" s="18" t="str">
        <f t="shared" si="173"/>
        <v/>
      </c>
      <c r="O195" s="18" t="str">
        <f t="shared" si="174"/>
        <v/>
      </c>
      <c r="P195" s="18" t="str">
        <f t="shared" si="175"/>
        <v/>
      </c>
      <c r="Q195" s="18" t="str">
        <f t="shared" si="176"/>
        <v/>
      </c>
      <c r="R195" s="18" t="str">
        <f t="shared" si="177"/>
        <v/>
      </c>
      <c r="S195" s="18" t="str">
        <f t="shared" si="178"/>
        <v/>
      </c>
      <c r="T195" s="18" t="str">
        <f t="shared" si="179"/>
        <v/>
      </c>
      <c r="U195" s="18" t="str">
        <f t="shared" si="180"/>
        <v/>
      </c>
    </row>
    <row r="196" spans="4:21" x14ac:dyDescent="0.25">
      <c r="D196" s="9"/>
      <c r="E196" s="9"/>
      <c r="F196" s="9"/>
      <c r="G196" s="9"/>
      <c r="H196" s="9"/>
      <c r="I196" s="9"/>
      <c r="J196" s="9"/>
      <c r="K196" s="18"/>
      <c r="L196" s="18" t="str">
        <f t="shared" si="171"/>
        <v/>
      </c>
      <c r="M196" s="18" t="str">
        <f t="shared" si="172"/>
        <v/>
      </c>
      <c r="N196" s="18" t="str">
        <f t="shared" si="173"/>
        <v/>
      </c>
      <c r="O196" s="18" t="str">
        <f t="shared" si="174"/>
        <v/>
      </c>
      <c r="P196" s="18" t="str">
        <f t="shared" si="175"/>
        <v/>
      </c>
      <c r="Q196" s="18" t="str">
        <f t="shared" si="176"/>
        <v/>
      </c>
      <c r="R196" s="18" t="str">
        <f t="shared" si="177"/>
        <v/>
      </c>
      <c r="S196" s="18" t="str">
        <f t="shared" si="178"/>
        <v/>
      </c>
      <c r="T196" s="18" t="str">
        <f t="shared" si="179"/>
        <v/>
      </c>
      <c r="U196" s="18" t="str">
        <f t="shared" si="180"/>
        <v/>
      </c>
    </row>
    <row r="197" spans="4:21" x14ac:dyDescent="0.25">
      <c r="D197" s="9"/>
      <c r="E197" s="9"/>
      <c r="F197" s="9"/>
      <c r="G197" s="9"/>
      <c r="H197" s="9"/>
      <c r="I197" s="9"/>
      <c r="J197" s="9"/>
      <c r="K197" s="18"/>
      <c r="L197" s="18" t="str">
        <f t="shared" si="171"/>
        <v/>
      </c>
      <c r="M197" s="18" t="str">
        <f t="shared" si="172"/>
        <v/>
      </c>
      <c r="N197" s="18" t="str">
        <f t="shared" si="173"/>
        <v/>
      </c>
      <c r="O197" s="18" t="str">
        <f t="shared" si="174"/>
        <v/>
      </c>
      <c r="P197" s="18" t="str">
        <f t="shared" si="175"/>
        <v/>
      </c>
      <c r="Q197" s="18" t="str">
        <f t="shared" si="176"/>
        <v/>
      </c>
      <c r="R197" s="18" t="str">
        <f t="shared" si="177"/>
        <v/>
      </c>
      <c r="S197" s="18" t="str">
        <f t="shared" si="178"/>
        <v/>
      </c>
      <c r="T197" s="18" t="str">
        <f t="shared" si="179"/>
        <v/>
      </c>
      <c r="U197" s="18" t="str">
        <f t="shared" si="180"/>
        <v/>
      </c>
    </row>
    <row r="198" spans="4:21" x14ac:dyDescent="0.25">
      <c r="D198" s="9"/>
      <c r="E198" s="9"/>
      <c r="F198" s="9"/>
      <c r="G198" s="9"/>
      <c r="H198" s="9"/>
      <c r="I198" s="9"/>
      <c r="J198" s="9"/>
      <c r="K198" s="18"/>
      <c r="L198" s="18" t="str">
        <f t="shared" si="171"/>
        <v/>
      </c>
      <c r="M198" s="18" t="str">
        <f t="shared" si="172"/>
        <v/>
      </c>
      <c r="N198" s="18" t="str">
        <f t="shared" si="173"/>
        <v/>
      </c>
      <c r="O198" s="18" t="str">
        <f t="shared" si="174"/>
        <v/>
      </c>
      <c r="P198" s="18" t="str">
        <f t="shared" si="175"/>
        <v/>
      </c>
      <c r="Q198" s="18" t="str">
        <f t="shared" si="176"/>
        <v/>
      </c>
      <c r="R198" s="18" t="str">
        <f t="shared" si="177"/>
        <v/>
      </c>
      <c r="S198" s="18" t="str">
        <f t="shared" si="178"/>
        <v/>
      </c>
      <c r="T198" s="18" t="str">
        <f t="shared" si="179"/>
        <v/>
      </c>
      <c r="U198" s="18" t="str">
        <f t="shared" si="180"/>
        <v/>
      </c>
    </row>
    <row r="199" spans="4:21" x14ac:dyDescent="0.25">
      <c r="D199" s="9"/>
      <c r="E199" s="9"/>
      <c r="F199" s="9"/>
      <c r="G199" s="9"/>
      <c r="H199" s="9"/>
      <c r="I199" s="9"/>
      <c r="J199" s="9"/>
      <c r="K199" s="18"/>
      <c r="L199" s="18" t="str">
        <f t="shared" si="171"/>
        <v/>
      </c>
      <c r="M199" s="18" t="str">
        <f t="shared" si="172"/>
        <v/>
      </c>
      <c r="N199" s="18" t="str">
        <f t="shared" si="173"/>
        <v/>
      </c>
      <c r="O199" s="18" t="str">
        <f t="shared" si="174"/>
        <v/>
      </c>
      <c r="P199" s="18" t="str">
        <f t="shared" si="175"/>
        <v/>
      </c>
      <c r="Q199" s="18" t="str">
        <f t="shared" si="176"/>
        <v/>
      </c>
      <c r="R199" s="18" t="str">
        <f t="shared" si="177"/>
        <v/>
      </c>
      <c r="S199" s="18" t="str">
        <f t="shared" si="178"/>
        <v/>
      </c>
      <c r="T199" s="18" t="str">
        <f t="shared" si="179"/>
        <v/>
      </c>
      <c r="U199" s="18" t="str">
        <f t="shared" si="180"/>
        <v/>
      </c>
    </row>
    <row r="200" spans="4:21" x14ac:dyDescent="0.25">
      <c r="D200" s="9"/>
      <c r="E200" s="9"/>
      <c r="F200" s="9"/>
      <c r="G200" s="9"/>
      <c r="H200" s="9"/>
      <c r="I200" s="9"/>
      <c r="J200" s="9"/>
      <c r="K200" s="18"/>
      <c r="L200" s="18" t="str">
        <f t="shared" si="171"/>
        <v/>
      </c>
      <c r="M200" s="18" t="str">
        <f t="shared" si="172"/>
        <v/>
      </c>
      <c r="N200" s="18" t="str">
        <f t="shared" si="173"/>
        <v/>
      </c>
      <c r="O200" s="18" t="str">
        <f t="shared" si="174"/>
        <v/>
      </c>
      <c r="P200" s="18" t="str">
        <f t="shared" si="175"/>
        <v/>
      </c>
      <c r="Q200" s="18" t="str">
        <f t="shared" si="176"/>
        <v/>
      </c>
      <c r="R200" s="18" t="str">
        <f t="shared" si="177"/>
        <v/>
      </c>
      <c r="S200" s="18" t="str">
        <f t="shared" si="178"/>
        <v/>
      </c>
      <c r="T200" s="18" t="str">
        <f t="shared" si="179"/>
        <v/>
      </c>
      <c r="U200" s="18" t="str">
        <f t="shared" si="180"/>
        <v/>
      </c>
    </row>
    <row r="201" spans="4:21" x14ac:dyDescent="0.25">
      <c r="D201" s="9"/>
      <c r="E201" s="9"/>
      <c r="F201" s="9"/>
      <c r="G201" s="9"/>
      <c r="H201" s="9"/>
      <c r="I201" s="9"/>
      <c r="J201" s="9"/>
      <c r="K201" s="18"/>
      <c r="L201" s="18" t="str">
        <f t="shared" si="171"/>
        <v/>
      </c>
      <c r="M201" s="18" t="str">
        <f t="shared" si="172"/>
        <v/>
      </c>
      <c r="N201" s="18" t="str">
        <f t="shared" si="173"/>
        <v/>
      </c>
      <c r="O201" s="18" t="str">
        <f t="shared" si="174"/>
        <v/>
      </c>
      <c r="P201" s="18" t="str">
        <f t="shared" si="175"/>
        <v/>
      </c>
      <c r="Q201" s="18" t="str">
        <f t="shared" si="176"/>
        <v/>
      </c>
      <c r="R201" s="18" t="str">
        <f t="shared" si="177"/>
        <v/>
      </c>
      <c r="S201" s="18" t="str">
        <f t="shared" si="178"/>
        <v/>
      </c>
      <c r="T201" s="18" t="str">
        <f t="shared" si="179"/>
        <v/>
      </c>
      <c r="U201" s="18" t="str">
        <f t="shared" si="180"/>
        <v/>
      </c>
    </row>
    <row r="202" spans="4:21" x14ac:dyDescent="0.25">
      <c r="D202" s="9"/>
      <c r="E202" s="9"/>
      <c r="F202" s="9"/>
      <c r="G202" s="9"/>
      <c r="H202" s="9"/>
      <c r="I202" s="9"/>
      <c r="J202" s="9"/>
      <c r="K202" s="18"/>
      <c r="L202" s="18" t="str">
        <f t="shared" si="171"/>
        <v/>
      </c>
      <c r="M202" s="18" t="str">
        <f t="shared" si="172"/>
        <v/>
      </c>
      <c r="N202" s="18" t="str">
        <f t="shared" si="173"/>
        <v/>
      </c>
      <c r="O202" s="18" t="str">
        <f t="shared" si="174"/>
        <v/>
      </c>
      <c r="P202" s="18" t="str">
        <f t="shared" si="175"/>
        <v/>
      </c>
      <c r="Q202" s="18" t="str">
        <f t="shared" si="176"/>
        <v/>
      </c>
      <c r="R202" s="18" t="str">
        <f t="shared" si="177"/>
        <v/>
      </c>
      <c r="S202" s="18" t="str">
        <f t="shared" si="178"/>
        <v/>
      </c>
      <c r="T202" s="18" t="str">
        <f t="shared" si="179"/>
        <v/>
      </c>
      <c r="U202" s="18" t="str">
        <f t="shared" si="180"/>
        <v/>
      </c>
    </row>
    <row r="203" spans="4:21" x14ac:dyDescent="0.25">
      <c r="D203" s="9"/>
      <c r="E203" s="9"/>
      <c r="F203" s="9"/>
      <c r="G203" s="9"/>
      <c r="H203" s="9"/>
      <c r="I203" s="9"/>
      <c r="J203" s="9"/>
      <c r="K203" s="18"/>
      <c r="L203" s="18" t="str">
        <f t="shared" si="171"/>
        <v/>
      </c>
      <c r="M203" s="18" t="str">
        <f t="shared" si="172"/>
        <v/>
      </c>
      <c r="N203" s="18" t="str">
        <f t="shared" si="173"/>
        <v/>
      </c>
      <c r="O203" s="18" t="str">
        <f t="shared" si="174"/>
        <v/>
      </c>
      <c r="P203" s="18" t="str">
        <f t="shared" si="175"/>
        <v/>
      </c>
      <c r="Q203" s="18" t="str">
        <f t="shared" si="176"/>
        <v/>
      </c>
      <c r="R203" s="18" t="str">
        <f t="shared" si="177"/>
        <v/>
      </c>
      <c r="S203" s="18" t="str">
        <f t="shared" si="178"/>
        <v/>
      </c>
      <c r="T203" s="18" t="str">
        <f t="shared" si="179"/>
        <v/>
      </c>
      <c r="U203" s="18" t="str">
        <f t="shared" si="180"/>
        <v/>
      </c>
    </row>
    <row r="204" spans="4:21" x14ac:dyDescent="0.25">
      <c r="D204" s="9"/>
      <c r="E204" s="9"/>
      <c r="F204" s="9"/>
      <c r="G204" s="9"/>
      <c r="H204" s="9"/>
      <c r="I204" s="9"/>
      <c r="J204" s="9"/>
      <c r="K204" s="18"/>
      <c r="L204" s="18" t="str">
        <f t="shared" si="171"/>
        <v/>
      </c>
      <c r="M204" s="18" t="str">
        <f t="shared" si="172"/>
        <v/>
      </c>
      <c r="N204" s="18" t="str">
        <f t="shared" si="173"/>
        <v/>
      </c>
      <c r="O204" s="18" t="str">
        <f t="shared" si="174"/>
        <v/>
      </c>
      <c r="P204" s="18" t="str">
        <f t="shared" si="175"/>
        <v/>
      </c>
      <c r="Q204" s="18" t="str">
        <f t="shared" si="176"/>
        <v/>
      </c>
      <c r="R204" s="18" t="str">
        <f t="shared" si="177"/>
        <v/>
      </c>
      <c r="S204" s="18" t="str">
        <f t="shared" si="178"/>
        <v/>
      </c>
      <c r="T204" s="18" t="str">
        <f t="shared" si="179"/>
        <v/>
      </c>
      <c r="U204" s="18" t="str">
        <f t="shared" si="180"/>
        <v/>
      </c>
    </row>
    <row r="205" spans="4:21" x14ac:dyDescent="0.25">
      <c r="D205" s="9"/>
      <c r="E205" s="9"/>
      <c r="F205" s="9"/>
      <c r="G205" s="9"/>
      <c r="H205" s="9"/>
      <c r="I205" s="9"/>
      <c r="J205" s="9"/>
      <c r="K205" s="18"/>
      <c r="L205" s="18" t="str">
        <f t="shared" si="171"/>
        <v/>
      </c>
      <c r="M205" s="18" t="str">
        <f t="shared" si="172"/>
        <v/>
      </c>
      <c r="N205" s="18" t="str">
        <f t="shared" si="173"/>
        <v/>
      </c>
      <c r="O205" s="18" t="str">
        <f t="shared" si="174"/>
        <v/>
      </c>
      <c r="P205" s="18" t="str">
        <f t="shared" si="175"/>
        <v/>
      </c>
      <c r="Q205" s="18" t="str">
        <f t="shared" si="176"/>
        <v/>
      </c>
      <c r="R205" s="18" t="str">
        <f t="shared" si="177"/>
        <v/>
      </c>
      <c r="S205" s="18" t="str">
        <f t="shared" si="178"/>
        <v/>
      </c>
      <c r="T205" s="18" t="str">
        <f t="shared" si="179"/>
        <v/>
      </c>
      <c r="U205" s="18" t="str">
        <f t="shared" si="180"/>
        <v/>
      </c>
    </row>
    <row r="206" spans="4:21" x14ac:dyDescent="0.25">
      <c r="D206" s="9"/>
      <c r="E206" s="9"/>
      <c r="F206" s="9"/>
      <c r="G206" s="9"/>
      <c r="H206" s="9"/>
      <c r="I206" s="9"/>
      <c r="J206" s="9"/>
      <c r="K206" s="18"/>
      <c r="L206" s="18" t="str">
        <f t="shared" si="171"/>
        <v/>
      </c>
      <c r="M206" s="18" t="str">
        <f t="shared" si="172"/>
        <v/>
      </c>
      <c r="N206" s="18" t="str">
        <f t="shared" si="173"/>
        <v/>
      </c>
      <c r="O206" s="18" t="str">
        <f t="shared" si="174"/>
        <v/>
      </c>
      <c r="P206" s="18" t="str">
        <f t="shared" si="175"/>
        <v/>
      </c>
      <c r="Q206" s="18" t="str">
        <f t="shared" si="176"/>
        <v/>
      </c>
      <c r="R206" s="18" t="str">
        <f t="shared" si="177"/>
        <v/>
      </c>
      <c r="S206" s="18" t="str">
        <f t="shared" si="178"/>
        <v/>
      </c>
      <c r="T206" s="18" t="str">
        <f t="shared" si="179"/>
        <v/>
      </c>
      <c r="U206" s="18" t="str">
        <f t="shared" si="180"/>
        <v/>
      </c>
    </row>
    <row r="207" spans="4:21" x14ac:dyDescent="0.25">
      <c r="D207" s="9"/>
      <c r="E207" s="9"/>
      <c r="F207" s="9"/>
      <c r="G207" s="9"/>
      <c r="H207" s="9"/>
      <c r="I207" s="9"/>
      <c r="J207" s="9"/>
      <c r="K207" s="18"/>
      <c r="L207" s="18" t="str">
        <f t="shared" si="171"/>
        <v/>
      </c>
      <c r="M207" s="18" t="str">
        <f t="shared" si="172"/>
        <v/>
      </c>
      <c r="N207" s="18" t="str">
        <f t="shared" si="173"/>
        <v/>
      </c>
      <c r="O207" s="18" t="str">
        <f t="shared" si="174"/>
        <v/>
      </c>
      <c r="P207" s="18" t="str">
        <f t="shared" si="175"/>
        <v/>
      </c>
      <c r="Q207" s="18" t="str">
        <f t="shared" si="176"/>
        <v/>
      </c>
      <c r="R207" s="18" t="str">
        <f t="shared" si="177"/>
        <v/>
      </c>
      <c r="S207" s="18" t="str">
        <f t="shared" si="178"/>
        <v/>
      </c>
      <c r="T207" s="18" t="str">
        <f t="shared" si="179"/>
        <v/>
      </c>
      <c r="U207" s="18" t="str">
        <f t="shared" si="180"/>
        <v/>
      </c>
    </row>
    <row r="208" spans="4:21" x14ac:dyDescent="0.25">
      <c r="D208" s="9"/>
      <c r="E208" s="9"/>
      <c r="F208" s="9"/>
      <c r="G208" s="9"/>
      <c r="H208" s="9"/>
      <c r="I208" s="9"/>
      <c r="J208" s="9"/>
      <c r="K208" s="18"/>
      <c r="L208" s="18" t="str">
        <f t="shared" si="171"/>
        <v/>
      </c>
      <c r="M208" s="18" t="str">
        <f t="shared" si="172"/>
        <v/>
      </c>
      <c r="N208" s="18" t="str">
        <f t="shared" si="173"/>
        <v/>
      </c>
      <c r="O208" s="18" t="str">
        <f t="shared" si="174"/>
        <v/>
      </c>
      <c r="P208" s="18" t="str">
        <f t="shared" si="175"/>
        <v/>
      </c>
      <c r="Q208" s="18" t="str">
        <f t="shared" si="176"/>
        <v/>
      </c>
      <c r="R208" s="18" t="str">
        <f t="shared" si="177"/>
        <v/>
      </c>
      <c r="S208" s="18" t="str">
        <f t="shared" si="178"/>
        <v/>
      </c>
      <c r="T208" s="18" t="str">
        <f t="shared" si="179"/>
        <v/>
      </c>
      <c r="U208" s="18" t="str">
        <f t="shared" si="180"/>
        <v/>
      </c>
    </row>
    <row r="209" spans="4:21" x14ac:dyDescent="0.25">
      <c r="D209" s="9"/>
      <c r="E209" s="9"/>
      <c r="F209" s="9"/>
      <c r="G209" s="9"/>
      <c r="H209" s="9"/>
      <c r="I209" s="9"/>
      <c r="J209" s="9"/>
      <c r="K209" s="18"/>
      <c r="L209" s="18" t="str">
        <f t="shared" si="171"/>
        <v/>
      </c>
      <c r="M209" s="18" t="str">
        <f t="shared" si="172"/>
        <v/>
      </c>
      <c r="N209" s="18" t="str">
        <f t="shared" si="173"/>
        <v/>
      </c>
      <c r="O209" s="18" t="str">
        <f t="shared" si="174"/>
        <v/>
      </c>
      <c r="P209" s="18" t="str">
        <f t="shared" si="175"/>
        <v/>
      </c>
      <c r="Q209" s="18" t="str">
        <f t="shared" si="176"/>
        <v/>
      </c>
      <c r="R209" s="18" t="str">
        <f t="shared" si="177"/>
        <v/>
      </c>
      <c r="S209" s="18" t="str">
        <f t="shared" si="178"/>
        <v/>
      </c>
      <c r="T209" s="18" t="str">
        <f t="shared" si="179"/>
        <v/>
      </c>
      <c r="U209" s="18" t="str">
        <f t="shared" si="180"/>
        <v/>
      </c>
    </row>
    <row r="210" spans="4:21" x14ac:dyDescent="0.25">
      <c r="D210" s="9"/>
      <c r="E210" s="9"/>
      <c r="F210" s="9"/>
      <c r="G210" s="9"/>
      <c r="H210" s="9"/>
      <c r="I210" s="9"/>
      <c r="J210" s="9"/>
      <c r="K210" s="18"/>
      <c r="L210" s="18" t="str">
        <f t="shared" si="171"/>
        <v/>
      </c>
      <c r="M210" s="18" t="str">
        <f t="shared" si="172"/>
        <v/>
      </c>
      <c r="N210" s="18" t="str">
        <f t="shared" si="173"/>
        <v/>
      </c>
      <c r="O210" s="18" t="str">
        <f t="shared" si="174"/>
        <v/>
      </c>
      <c r="P210" s="18" t="str">
        <f t="shared" si="175"/>
        <v/>
      </c>
      <c r="Q210" s="18" t="str">
        <f t="shared" si="176"/>
        <v/>
      </c>
      <c r="R210" s="18" t="str">
        <f t="shared" si="177"/>
        <v/>
      </c>
      <c r="S210" s="18" t="str">
        <f t="shared" si="178"/>
        <v/>
      </c>
      <c r="T210" s="18" t="str">
        <f t="shared" si="179"/>
        <v/>
      </c>
      <c r="U210" s="18" t="str">
        <f t="shared" si="180"/>
        <v/>
      </c>
    </row>
    <row r="211" spans="4:21" x14ac:dyDescent="0.25">
      <c r="D211" s="9"/>
      <c r="E211" s="9"/>
      <c r="F211" s="9"/>
      <c r="G211" s="9"/>
      <c r="H211" s="9"/>
      <c r="I211" s="9"/>
      <c r="J211" s="9"/>
      <c r="K211" s="18"/>
      <c r="L211" s="18" t="str">
        <f t="shared" si="171"/>
        <v/>
      </c>
      <c r="M211" s="18" t="str">
        <f t="shared" si="172"/>
        <v/>
      </c>
      <c r="N211" s="18" t="str">
        <f t="shared" si="173"/>
        <v/>
      </c>
      <c r="O211" s="18" t="str">
        <f t="shared" si="174"/>
        <v/>
      </c>
      <c r="P211" s="18" t="str">
        <f t="shared" si="175"/>
        <v/>
      </c>
      <c r="Q211" s="18" t="str">
        <f t="shared" si="176"/>
        <v/>
      </c>
      <c r="R211" s="18" t="str">
        <f t="shared" si="177"/>
        <v/>
      </c>
      <c r="S211" s="18" t="str">
        <f t="shared" si="178"/>
        <v/>
      </c>
      <c r="T211" s="18" t="str">
        <f t="shared" si="179"/>
        <v/>
      </c>
      <c r="U211" s="18" t="str">
        <f t="shared" si="180"/>
        <v/>
      </c>
    </row>
    <row r="212" spans="4:21" x14ac:dyDescent="0.25">
      <c r="D212" s="9"/>
      <c r="E212" s="9"/>
      <c r="F212" s="9"/>
      <c r="G212" s="9"/>
      <c r="H212" s="9"/>
      <c r="I212" s="9"/>
      <c r="J212" s="9"/>
      <c r="K212" s="18"/>
      <c r="L212" s="18" t="str">
        <f t="shared" si="171"/>
        <v/>
      </c>
      <c r="M212" s="18" t="str">
        <f t="shared" si="172"/>
        <v/>
      </c>
      <c r="N212" s="18" t="str">
        <f t="shared" si="173"/>
        <v/>
      </c>
      <c r="O212" s="18" t="str">
        <f t="shared" si="174"/>
        <v/>
      </c>
      <c r="P212" s="18" t="str">
        <f t="shared" si="175"/>
        <v/>
      </c>
      <c r="Q212" s="18" t="str">
        <f t="shared" si="176"/>
        <v/>
      </c>
      <c r="R212" s="18" t="str">
        <f t="shared" si="177"/>
        <v/>
      </c>
      <c r="S212" s="18" t="str">
        <f t="shared" si="178"/>
        <v/>
      </c>
      <c r="T212" s="18" t="str">
        <f t="shared" si="179"/>
        <v/>
      </c>
      <c r="U212" s="18" t="str">
        <f t="shared" si="180"/>
        <v/>
      </c>
    </row>
    <row r="213" spans="4:21" ht="15.75" thickBot="1" x14ac:dyDescent="0.3">
      <c r="D213" s="10"/>
      <c r="E213" s="10"/>
      <c r="F213" s="10"/>
      <c r="G213" s="10"/>
      <c r="H213" s="10"/>
      <c r="I213" s="10"/>
      <c r="J213" s="10"/>
      <c r="K213" s="43"/>
      <c r="L213" s="43" t="str">
        <f t="shared" si="171"/>
        <v/>
      </c>
      <c r="M213" s="43" t="str">
        <f t="shared" si="172"/>
        <v/>
      </c>
      <c r="N213" s="43" t="str">
        <f t="shared" si="173"/>
        <v/>
      </c>
      <c r="O213" s="43" t="str">
        <f t="shared" si="174"/>
        <v/>
      </c>
      <c r="P213" s="43" t="str">
        <f t="shared" si="175"/>
        <v/>
      </c>
      <c r="Q213" s="43" t="str">
        <f t="shared" si="176"/>
        <v/>
      </c>
      <c r="R213" s="43" t="str">
        <f t="shared" si="177"/>
        <v/>
      </c>
      <c r="S213" s="43" t="str">
        <f t="shared" si="178"/>
        <v/>
      </c>
      <c r="T213" s="43" t="str">
        <f t="shared" si="179"/>
        <v/>
      </c>
      <c r="U213" s="43" t="str">
        <f t="shared" si="180"/>
        <v/>
      </c>
    </row>
    <row r="214" spans="4:21" x14ac:dyDescent="0.25">
      <c r="D214" s="5" t="e">
        <v>#N/A</v>
      </c>
      <c r="E214" s="5" t="e">
        <v>#N/A</v>
      </c>
      <c r="F214" s="5" t="e">
        <v>#N/A</v>
      </c>
      <c r="G214" s="5" t="e">
        <v>#N/A</v>
      </c>
      <c r="H214" s="5" t="e">
        <v>#N/A</v>
      </c>
      <c r="I214" s="5" t="e">
        <v>#N/A</v>
      </c>
      <c r="J214" s="5" t="e">
        <v>#N/A</v>
      </c>
      <c r="K214" s="5" t="e">
        <v>#N/A</v>
      </c>
      <c r="L214" s="5" t="e">
        <v>#N/A</v>
      </c>
      <c r="M214" s="5" t="e">
        <v>#N/A</v>
      </c>
      <c r="N214" s="5" t="e">
        <v>#N/A</v>
      </c>
      <c r="O214" s="5" t="e">
        <v>#N/A</v>
      </c>
      <c r="P214" s="5" t="e">
        <v>#N/A</v>
      </c>
      <c r="Q214" s="5" t="e">
        <v>#N/A</v>
      </c>
      <c r="R214" s="5" t="e">
        <v>#N/A</v>
      </c>
      <c r="S214" s="5" t="e">
        <v>#N/A</v>
      </c>
      <c r="T214" s="5" t="e">
        <v>#N/A</v>
      </c>
      <c r="U214" s="5" t="e">
        <v>#N/A</v>
      </c>
    </row>
  </sheetData>
  <autoFilter ref="D4:U214"/>
  <dataValidations count="7">
    <dataValidation type="list" allowBlank="1" showInputMessage="1" showErrorMessage="1" sqref="J5:J50 X109:X115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D104:D105 E5:E213">
      <formula1>"Morocco,Market"</formula1>
    </dataValidation>
    <dataValidation type="list" allowBlank="1" showInputMessage="1" showErrorMessage="1" sqref="F5:F213">
      <formula1>GranulProcess</formula1>
    </dataValidation>
    <dataValidation type="list" allowBlank="1" showInputMessage="1" showErrorMessage="1" sqref="G5:G213">
      <formula1>GranulCapacities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7.42578125" style="5" bestFit="1" customWidth="1"/>
    <col min="7" max="7" width="25.85546875" style="5" customWidth="1"/>
    <col min="8" max="11" width="15.85546875" style="5" customWidth="1"/>
    <col min="12" max="21" width="8.85546875" style="5" customWidth="1"/>
    <col min="22" max="16384" width="11.5703125" style="5"/>
  </cols>
  <sheetData>
    <row r="1" spans="2:21" s="76" customFormat="1" ht="24.95" customHeight="1" x14ac:dyDescent="0.25">
      <c r="B1" s="75" t="s">
        <v>248</v>
      </c>
    </row>
    <row r="3" spans="2:21" ht="15.75" thickBot="1" x14ac:dyDescent="0.3">
      <c r="D3" s="38" t="str">
        <f>JESA_UploadTable(B1,D4:U18,db)</f>
        <v>Granulation capex @16:45:53</v>
      </c>
      <c r="E3" s="38"/>
      <c r="F3" s="38"/>
    </row>
    <row r="4" spans="2:21" ht="30" customHeight="1" thickBot="1" x14ac:dyDescent="0.3">
      <c r="D4" s="77" t="s">
        <v>8</v>
      </c>
      <c r="E4" s="77" t="s">
        <v>345</v>
      </c>
      <c r="F4" s="77" t="s">
        <v>24</v>
      </c>
      <c r="G4" s="77" t="s">
        <v>25</v>
      </c>
      <c r="H4" s="77" t="s">
        <v>266</v>
      </c>
      <c r="I4" s="77" t="s">
        <v>12</v>
      </c>
      <c r="J4" s="77" t="s">
        <v>17</v>
      </c>
      <c r="K4" s="77" t="s">
        <v>145</v>
      </c>
      <c r="L4" s="83" t="s">
        <v>71</v>
      </c>
      <c r="M4" s="83" t="s">
        <v>72</v>
      </c>
      <c r="N4" s="83" t="s">
        <v>73</v>
      </c>
      <c r="O4" s="83" t="s">
        <v>74</v>
      </c>
      <c r="P4" s="83" t="s">
        <v>75</v>
      </c>
      <c r="Q4" s="83" t="s">
        <v>358</v>
      </c>
      <c r="R4" s="83" t="s">
        <v>76</v>
      </c>
      <c r="S4" s="83" t="s">
        <v>77</v>
      </c>
      <c r="T4" s="83" t="s">
        <v>78</v>
      </c>
      <c r="U4" s="83" t="s">
        <v>79</v>
      </c>
    </row>
    <row r="5" spans="2:21" ht="15.75" thickBot="1" x14ac:dyDescent="0.3">
      <c r="D5" s="9" t="s">
        <v>26</v>
      </c>
      <c r="E5" s="9" t="s">
        <v>346</v>
      </c>
      <c r="F5" s="42" t="s">
        <v>359</v>
      </c>
      <c r="G5" s="9" t="s">
        <v>375</v>
      </c>
      <c r="H5" s="15">
        <v>1000</v>
      </c>
      <c r="I5" s="9" t="s">
        <v>22</v>
      </c>
      <c r="J5" s="42" t="s">
        <v>371</v>
      </c>
      <c r="K5" s="39">
        <v>147000000</v>
      </c>
      <c r="L5" s="27"/>
      <c r="M5" s="27"/>
      <c r="N5" s="26">
        <v>0.2</v>
      </c>
      <c r="O5" s="26">
        <v>0.4</v>
      </c>
      <c r="P5" s="26">
        <v>0.3</v>
      </c>
      <c r="Q5" s="26">
        <v>0.1</v>
      </c>
      <c r="R5" s="26"/>
      <c r="S5" s="26"/>
      <c r="T5" s="26"/>
      <c r="U5" s="26"/>
    </row>
    <row r="6" spans="2:21" ht="15.75" thickBot="1" x14ac:dyDescent="0.3">
      <c r="D6" s="9" t="s">
        <v>26</v>
      </c>
      <c r="E6" s="9" t="s">
        <v>346</v>
      </c>
      <c r="F6" s="42" t="s">
        <v>359</v>
      </c>
      <c r="G6" s="9" t="s">
        <v>375</v>
      </c>
      <c r="H6" s="15">
        <v>500</v>
      </c>
      <c r="I6" s="9" t="s">
        <v>22</v>
      </c>
      <c r="J6" s="42" t="s">
        <v>371</v>
      </c>
      <c r="K6" s="39">
        <v>90000000</v>
      </c>
      <c r="L6" s="27"/>
      <c r="M6" s="27"/>
      <c r="N6" s="26">
        <v>0.2</v>
      </c>
      <c r="O6" s="26">
        <v>0.4</v>
      </c>
      <c r="P6" s="26">
        <v>0.3</v>
      </c>
      <c r="Q6" s="26">
        <v>0.1</v>
      </c>
      <c r="R6" s="26"/>
      <c r="S6" s="27"/>
      <c r="T6" s="27"/>
      <c r="U6" s="27"/>
    </row>
    <row r="7" spans="2:21" ht="15.75" thickBot="1" x14ac:dyDescent="0.3">
      <c r="D7" s="9" t="s">
        <v>26</v>
      </c>
      <c r="E7" s="9" t="s">
        <v>346</v>
      </c>
      <c r="F7" s="9" t="s">
        <v>374</v>
      </c>
      <c r="G7" s="9" t="s">
        <v>375</v>
      </c>
      <c r="H7" s="15">
        <v>175</v>
      </c>
      <c r="I7" s="9" t="s">
        <v>22</v>
      </c>
      <c r="J7" s="42" t="s">
        <v>371</v>
      </c>
      <c r="K7" s="39">
        <v>58000000</v>
      </c>
      <c r="L7" s="27"/>
      <c r="M7" s="27"/>
      <c r="N7" s="26">
        <v>0.2</v>
      </c>
      <c r="O7" s="26">
        <v>0.4</v>
      </c>
      <c r="P7" s="26">
        <v>0.3</v>
      </c>
      <c r="Q7" s="26">
        <v>0.1</v>
      </c>
      <c r="R7" s="26"/>
      <c r="S7" s="27"/>
      <c r="T7" s="27"/>
      <c r="U7" s="27"/>
    </row>
    <row r="8" spans="2:21" ht="15.75" thickBot="1" x14ac:dyDescent="0.3">
      <c r="D8" s="9" t="s">
        <v>26</v>
      </c>
      <c r="E8" s="9" t="s">
        <v>346</v>
      </c>
      <c r="F8" s="9" t="s">
        <v>374</v>
      </c>
      <c r="G8" s="9" t="s">
        <v>375</v>
      </c>
      <c r="H8" s="15">
        <v>175</v>
      </c>
      <c r="I8" s="9" t="s">
        <v>22</v>
      </c>
      <c r="J8" s="42" t="s">
        <v>371</v>
      </c>
      <c r="K8" s="39">
        <v>58176539.621052623</v>
      </c>
      <c r="L8" s="27"/>
      <c r="M8" s="27"/>
      <c r="N8" s="26">
        <v>0.2</v>
      </c>
      <c r="O8" s="26">
        <v>0.4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25">
      <c r="D9" s="9"/>
      <c r="E9" s="9"/>
      <c r="F9" s="9"/>
      <c r="G9" s="9"/>
      <c r="H9" s="15"/>
      <c r="I9" s="9"/>
      <c r="J9" s="42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25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25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25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25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25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25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25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25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25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25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25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25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25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25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2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2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2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2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2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2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2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2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2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2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2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2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2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2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2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2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2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2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2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2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2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2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2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2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.75" thickBot="1" x14ac:dyDescent="0.3">
      <c r="D48" s="10"/>
      <c r="E48" s="10"/>
      <c r="F48" s="10"/>
      <c r="G48" s="10"/>
      <c r="H48" s="16"/>
      <c r="I48" s="10"/>
      <c r="J48" s="10"/>
      <c r="K48" s="10"/>
      <c r="L48" s="41"/>
      <c r="M48" s="41"/>
      <c r="N48" s="41"/>
      <c r="O48" s="41"/>
      <c r="P48" s="41"/>
      <c r="Q48" s="41"/>
      <c r="R48" s="41"/>
      <c r="S48" s="41"/>
      <c r="T48" s="41"/>
      <c r="U48" s="41"/>
    </row>
    <row r="49" spans="4:21" x14ac:dyDescent="0.25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topLeftCell="A12" workbookViewId="0">
      <selection activeCell="F10" sqref="F10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85" customFormat="1" ht="24.95" customHeight="1" x14ac:dyDescent="0.25">
      <c r="B1" s="84" t="s">
        <v>249</v>
      </c>
    </row>
    <row r="3" spans="2:10" ht="15.75" thickBot="1" x14ac:dyDescent="0.3">
      <c r="D3" s="1" t="str">
        <f>JESA_UploadTable(D4,D4:D40,db)</f>
        <v>Logistics/Process @16:45:53</v>
      </c>
      <c r="F3" s="1" t="str">
        <f>JESA_UploadTable(F4,F4:F40,db)</f>
        <v>Logistics/Product @16:45:53</v>
      </c>
      <c r="H3" s="1" t="str">
        <f>JESA_UploadTable(H4,H4:H40,db)</f>
        <v>Logistics/CAPEX @16:45:54</v>
      </c>
      <c r="J3" s="1" t="str">
        <f>JESA_UploadTable(J4,J4:J40,db)</f>
        <v>Logistics/Name @16:45:55</v>
      </c>
    </row>
    <row r="4" spans="2:10" ht="30" customHeight="1" thickBot="1" x14ac:dyDescent="0.3">
      <c r="D4" s="86" t="s">
        <v>250</v>
      </c>
      <c r="F4" s="86" t="s">
        <v>251</v>
      </c>
      <c r="H4" s="86" t="s">
        <v>252</v>
      </c>
      <c r="J4" s="86" t="s">
        <v>253</v>
      </c>
    </row>
    <row r="5" spans="2:10" x14ac:dyDescent="0.25">
      <c r="D5" s="78" t="s">
        <v>254</v>
      </c>
      <c r="F5" s="78" t="s">
        <v>186</v>
      </c>
      <c r="H5" s="78" t="s">
        <v>22</v>
      </c>
      <c r="J5" s="78" t="s">
        <v>255</v>
      </c>
    </row>
    <row r="6" spans="2:10" x14ac:dyDescent="0.25">
      <c r="D6" s="79" t="s">
        <v>256</v>
      </c>
      <c r="F6" s="79" t="s">
        <v>233</v>
      </c>
      <c r="H6" s="79" t="s">
        <v>241</v>
      </c>
      <c r="J6" s="79" t="s">
        <v>258</v>
      </c>
    </row>
    <row r="7" spans="2:10" x14ac:dyDescent="0.25">
      <c r="D7" s="79" t="s">
        <v>393</v>
      </c>
      <c r="F7" s="79" t="s">
        <v>234</v>
      </c>
      <c r="H7" s="79" t="s">
        <v>259</v>
      </c>
      <c r="J7" s="79"/>
    </row>
    <row r="8" spans="2:10" x14ac:dyDescent="0.25">
      <c r="D8" s="79" t="s">
        <v>260</v>
      </c>
      <c r="F8" s="79"/>
      <c r="H8" s="79" t="s">
        <v>261</v>
      </c>
      <c r="J8" s="79"/>
    </row>
    <row r="9" spans="2:10" x14ac:dyDescent="0.25">
      <c r="D9" s="79"/>
      <c r="F9" s="79"/>
      <c r="H9" s="79"/>
      <c r="J9" s="79"/>
    </row>
    <row r="10" spans="2:10" x14ac:dyDescent="0.25">
      <c r="D10" s="79"/>
      <c r="F10" s="79"/>
      <c r="H10" s="79"/>
      <c r="J10" s="79"/>
    </row>
    <row r="11" spans="2:10" x14ac:dyDescent="0.25">
      <c r="D11" s="79"/>
      <c r="F11" s="79"/>
      <c r="H11" s="79"/>
      <c r="J11" s="79"/>
    </row>
    <row r="12" spans="2:10" x14ac:dyDescent="0.25">
      <c r="D12" s="79"/>
      <c r="F12" s="79"/>
      <c r="H12" s="79"/>
      <c r="J12" s="79"/>
    </row>
    <row r="13" spans="2:10" x14ac:dyDescent="0.25">
      <c r="D13" s="79"/>
      <c r="F13" s="79"/>
      <c r="H13" s="79"/>
      <c r="J13" s="79"/>
    </row>
    <row r="14" spans="2:10" x14ac:dyDescent="0.25">
      <c r="D14" s="79"/>
      <c r="F14" s="79"/>
      <c r="H14" s="79"/>
      <c r="J14" s="79"/>
    </row>
    <row r="15" spans="2:10" x14ac:dyDescent="0.25">
      <c r="D15" s="79"/>
      <c r="F15" s="79"/>
      <c r="H15" s="79"/>
      <c r="J15" s="79"/>
    </row>
    <row r="16" spans="2:10" x14ac:dyDescent="0.25">
      <c r="D16" s="79"/>
      <c r="F16" s="79"/>
      <c r="H16" s="79"/>
      <c r="J16" s="79"/>
    </row>
    <row r="17" spans="4:10" x14ac:dyDescent="0.25">
      <c r="D17" s="79"/>
      <c r="F17" s="79"/>
      <c r="H17" s="79"/>
      <c r="J17" s="79"/>
    </row>
    <row r="18" spans="4:10" x14ac:dyDescent="0.25">
      <c r="D18" s="79"/>
      <c r="F18" s="79"/>
      <c r="H18" s="79"/>
      <c r="J18" s="79"/>
    </row>
    <row r="19" spans="4:10" x14ac:dyDescent="0.25">
      <c r="D19" s="79"/>
      <c r="F19" s="79"/>
      <c r="H19" s="79"/>
      <c r="J19" s="79"/>
    </row>
    <row r="20" spans="4:10" x14ac:dyDescent="0.25">
      <c r="D20" s="79"/>
      <c r="F20" s="79"/>
      <c r="H20" s="79"/>
      <c r="J20" s="79"/>
    </row>
    <row r="21" spans="4:10" x14ac:dyDescent="0.25">
      <c r="D21" s="79"/>
      <c r="F21" s="79"/>
      <c r="H21" s="79"/>
      <c r="J21" s="79"/>
    </row>
    <row r="22" spans="4:10" x14ac:dyDescent="0.25">
      <c r="D22" s="79"/>
      <c r="F22" s="79"/>
      <c r="H22" s="79"/>
      <c r="J22" s="79"/>
    </row>
    <row r="23" spans="4:10" x14ac:dyDescent="0.25">
      <c r="D23" s="79"/>
      <c r="F23" s="79"/>
      <c r="H23" s="79"/>
      <c r="J23" s="79"/>
    </row>
    <row r="24" spans="4:10" x14ac:dyDescent="0.25">
      <c r="D24" s="79"/>
      <c r="F24" s="79"/>
      <c r="H24" s="79"/>
      <c r="J24" s="79"/>
    </row>
    <row r="25" spans="4:10" x14ac:dyDescent="0.25">
      <c r="D25" s="79"/>
      <c r="F25" s="79"/>
      <c r="H25" s="79"/>
      <c r="J25" s="79"/>
    </row>
    <row r="26" spans="4:10" x14ac:dyDescent="0.25">
      <c r="D26" s="79"/>
      <c r="F26" s="79"/>
      <c r="H26" s="79"/>
      <c r="J26" s="79"/>
    </row>
    <row r="27" spans="4:10" x14ac:dyDescent="0.25">
      <c r="D27" s="79"/>
      <c r="F27" s="79"/>
      <c r="H27" s="79"/>
      <c r="J27" s="79"/>
    </row>
    <row r="28" spans="4:10" x14ac:dyDescent="0.25">
      <c r="D28" s="79"/>
      <c r="F28" s="79"/>
      <c r="H28" s="79"/>
      <c r="J28" s="79"/>
    </row>
    <row r="29" spans="4:10" x14ac:dyDescent="0.25">
      <c r="D29" s="79"/>
      <c r="F29" s="79"/>
      <c r="H29" s="79"/>
      <c r="J29" s="79"/>
    </row>
    <row r="30" spans="4:10" x14ac:dyDescent="0.25">
      <c r="D30" s="79"/>
      <c r="F30" s="79"/>
      <c r="H30" s="79"/>
      <c r="J30" s="79"/>
    </row>
    <row r="31" spans="4:10" x14ac:dyDescent="0.25">
      <c r="D31" s="79"/>
      <c r="F31" s="79"/>
      <c r="H31" s="79"/>
      <c r="J31" s="79"/>
    </row>
    <row r="32" spans="4:10" x14ac:dyDescent="0.25">
      <c r="D32" s="79"/>
      <c r="F32" s="79"/>
      <c r="H32" s="79"/>
      <c r="J32" s="79"/>
    </row>
    <row r="33" spans="4:10" x14ac:dyDescent="0.25">
      <c r="D33" s="79"/>
      <c r="F33" s="79"/>
      <c r="H33" s="79"/>
      <c r="J33" s="79"/>
    </row>
    <row r="34" spans="4:10" x14ac:dyDescent="0.25">
      <c r="D34" s="79"/>
      <c r="F34" s="79"/>
      <c r="H34" s="79"/>
      <c r="J34" s="79"/>
    </row>
    <row r="35" spans="4:10" x14ac:dyDescent="0.25">
      <c r="D35" s="79"/>
      <c r="F35" s="79"/>
      <c r="H35" s="79"/>
      <c r="J35" s="79"/>
    </row>
    <row r="36" spans="4:10" x14ac:dyDescent="0.25">
      <c r="D36" s="79"/>
      <c r="F36" s="79"/>
      <c r="H36" s="79"/>
      <c r="J36" s="79"/>
    </row>
    <row r="37" spans="4:10" x14ac:dyDescent="0.25">
      <c r="D37" s="79"/>
      <c r="F37" s="79"/>
      <c r="H37" s="79"/>
      <c r="J37" s="79"/>
    </row>
    <row r="38" spans="4:10" x14ac:dyDescent="0.25">
      <c r="D38" s="79"/>
      <c r="F38" s="79"/>
      <c r="H38" s="79"/>
      <c r="J38" s="79"/>
    </row>
    <row r="39" spans="4:10" x14ac:dyDescent="0.25">
      <c r="D39" s="79"/>
      <c r="F39" s="79"/>
      <c r="H39" s="79"/>
      <c r="J39" s="79"/>
    </row>
    <row r="40" spans="4:10" ht="15.75" thickBot="1" x14ac:dyDescent="0.3">
      <c r="D40" s="80"/>
      <c r="F40" s="80"/>
      <c r="H40" s="80"/>
      <c r="J40" s="80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P25"/>
  <sheetViews>
    <sheetView zoomScaleNormal="100" workbookViewId="0">
      <selection activeCell="D25" sqref="D25"/>
    </sheetView>
  </sheetViews>
  <sheetFormatPr baseColWidth="10" defaultColWidth="11.5703125" defaultRowHeight="15" x14ac:dyDescent="0.25"/>
  <cols>
    <col min="1" max="3" width="3.85546875" style="5" customWidth="1"/>
    <col min="4" max="14" width="15.85546875" style="5" customWidth="1"/>
    <col min="15" max="15" width="12.140625" style="5" bestFit="1" customWidth="1"/>
    <col min="16" max="16" width="80.5703125" style="5" bestFit="1" customWidth="1"/>
    <col min="17" max="17" width="13.5703125" style="5" bestFit="1" customWidth="1"/>
    <col min="18" max="18" width="11.5703125" style="5"/>
    <col min="19" max="19" width="16.42578125" style="5" bestFit="1" customWidth="1"/>
    <col min="20" max="16384" width="11.5703125" style="5"/>
  </cols>
  <sheetData>
    <row r="1" spans="2:16" s="88" customFormat="1" ht="24.95" customHeight="1" x14ac:dyDescent="0.25">
      <c r="B1" s="87" t="s">
        <v>262</v>
      </c>
    </row>
    <row r="3" spans="2:16" ht="15.75" thickBot="1" x14ac:dyDescent="0.3">
      <c r="D3" s="38" t="str">
        <f>JESA_UploadTable("logistics_options",D4:P25,db)</f>
        <v>logistics_options @16:45:55</v>
      </c>
    </row>
    <row r="4" spans="2:16" ht="30" customHeight="1" x14ac:dyDescent="0.25">
      <c r="D4" s="89" t="s">
        <v>30</v>
      </c>
      <c r="E4" s="89" t="s">
        <v>263</v>
      </c>
      <c r="F4" s="89" t="s">
        <v>264</v>
      </c>
      <c r="G4" s="89" t="s">
        <v>387</v>
      </c>
      <c r="H4" s="89" t="s">
        <v>389</v>
      </c>
      <c r="I4" s="89" t="s">
        <v>265</v>
      </c>
      <c r="J4" s="89" t="s">
        <v>24</v>
      </c>
      <c r="K4" s="89" t="s">
        <v>266</v>
      </c>
      <c r="L4" s="89" t="s">
        <v>17</v>
      </c>
      <c r="M4" s="89" t="s">
        <v>70</v>
      </c>
      <c r="N4" s="89" t="s">
        <v>144</v>
      </c>
      <c r="O4" s="89" t="s">
        <v>148</v>
      </c>
      <c r="P4" s="89" t="s">
        <v>149</v>
      </c>
    </row>
    <row r="5" spans="2:16" x14ac:dyDescent="0.25">
      <c r="D5" s="9" t="s">
        <v>380</v>
      </c>
      <c r="E5" s="9" t="s">
        <v>4</v>
      </c>
      <c r="F5" s="9" t="s">
        <v>9</v>
      </c>
      <c r="G5" s="9" t="s">
        <v>379</v>
      </c>
      <c r="H5" s="9" t="s">
        <v>390</v>
      </c>
      <c r="I5" s="15" t="s">
        <v>256</v>
      </c>
      <c r="J5" s="15" t="s">
        <v>186</v>
      </c>
      <c r="K5" s="15">
        <v>5</v>
      </c>
      <c r="L5" s="11" t="s">
        <v>182</v>
      </c>
      <c r="M5" s="11" t="s">
        <v>146</v>
      </c>
      <c r="N5" s="15">
        <v>2021</v>
      </c>
      <c r="O5" s="15">
        <v>2100</v>
      </c>
      <c r="P5" s="9" t="str">
        <f t="shared" ref="P5:P23" si="0">IF(E5="","","/Logistics/"&amp;CONCATENATE(D5,"/",E5,"/",F5,"/",G5,"/",H5,"/",I5,"/",J5,"/",K5,"/",M5,"/",N5,"/",O5))</f>
        <v>/Logistics/PipeT2BG5/Tassaout/Benguerir/WP2WP/NA/Pipeline/Rock/5/New/2021/2100</v>
      </c>
    </row>
    <row r="6" spans="2:16" x14ac:dyDescent="0.25">
      <c r="D6" s="9" t="s">
        <v>394</v>
      </c>
      <c r="E6" s="9" t="s">
        <v>4</v>
      </c>
      <c r="F6" s="9" t="s">
        <v>9</v>
      </c>
      <c r="G6" s="9" t="s">
        <v>379</v>
      </c>
      <c r="H6" s="9" t="s">
        <v>390</v>
      </c>
      <c r="I6" s="15" t="s">
        <v>256</v>
      </c>
      <c r="J6" s="15" t="s">
        <v>186</v>
      </c>
      <c r="K6" s="15">
        <v>10</v>
      </c>
      <c r="L6" s="11" t="s">
        <v>182</v>
      </c>
      <c r="M6" s="11" t="s">
        <v>146</v>
      </c>
      <c r="N6" s="15">
        <v>2021</v>
      </c>
      <c r="O6" s="15">
        <v>2100</v>
      </c>
      <c r="P6" s="9" t="str">
        <f t="shared" si="0"/>
        <v>/Logistics/PipeT2BG10/Tassaout/Benguerir/WP2WP/NA/Pipeline/Rock/10/New/2021/2100</v>
      </c>
    </row>
    <row r="7" spans="2:16" x14ac:dyDescent="0.25">
      <c r="D7" s="9" t="s">
        <v>395</v>
      </c>
      <c r="E7" s="9" t="s">
        <v>10</v>
      </c>
      <c r="F7" s="9" t="s">
        <v>9</v>
      </c>
      <c r="G7" s="9" t="s">
        <v>379</v>
      </c>
      <c r="H7" s="9" t="s">
        <v>390</v>
      </c>
      <c r="I7" s="15" t="s">
        <v>256</v>
      </c>
      <c r="J7" s="15" t="s">
        <v>186</v>
      </c>
      <c r="K7" s="40">
        <v>5.5</v>
      </c>
      <c r="L7" s="11" t="s">
        <v>182</v>
      </c>
      <c r="M7" s="11" t="s">
        <v>146</v>
      </c>
      <c r="N7" s="15">
        <v>2021</v>
      </c>
      <c r="O7" s="15">
        <v>2100</v>
      </c>
      <c r="P7" s="9" t="str">
        <f t="shared" si="0"/>
        <v>/Logistics/PipeNz2BG5/Nzalat/Benguerir/WP2WP/NA/Pipeline/Rock/5,5/New/2021/2100</v>
      </c>
    </row>
    <row r="8" spans="2:16" x14ac:dyDescent="0.25">
      <c r="D8" s="9" t="s">
        <v>382</v>
      </c>
      <c r="E8" s="9" t="s">
        <v>9</v>
      </c>
      <c r="F8" s="9" t="s">
        <v>90</v>
      </c>
      <c r="G8" s="9" t="s">
        <v>379</v>
      </c>
      <c r="H8" s="9" t="s">
        <v>390</v>
      </c>
      <c r="I8" s="15" t="s">
        <v>256</v>
      </c>
      <c r="J8" s="15" t="s">
        <v>186</v>
      </c>
      <c r="K8" s="15">
        <v>3</v>
      </c>
      <c r="L8" s="11" t="s">
        <v>182</v>
      </c>
      <c r="M8" s="11" t="s">
        <v>146</v>
      </c>
      <c r="N8" s="15">
        <v>2021</v>
      </c>
      <c r="O8" s="15">
        <v>2100</v>
      </c>
      <c r="P8" s="9" t="str">
        <f t="shared" si="0"/>
        <v>/Logistics/PipeBG2Yfia3/Benguerir/Youssoufia/WP2WP/NA/Pipeline/Rock/3/New/2021/2100</v>
      </c>
    </row>
    <row r="9" spans="2:16" x14ac:dyDescent="0.25">
      <c r="D9" s="9" t="s">
        <v>383</v>
      </c>
      <c r="E9" s="9" t="s">
        <v>9</v>
      </c>
      <c r="F9" s="9" t="s">
        <v>3</v>
      </c>
      <c r="G9" s="9" t="s">
        <v>381</v>
      </c>
      <c r="H9" s="9" t="s">
        <v>390</v>
      </c>
      <c r="I9" s="15" t="s">
        <v>256</v>
      </c>
      <c r="J9" s="15" t="s">
        <v>186</v>
      </c>
      <c r="K9" s="15">
        <v>6.23</v>
      </c>
      <c r="L9" s="11" t="s">
        <v>182</v>
      </c>
      <c r="M9" s="11" t="s">
        <v>146</v>
      </c>
      <c r="N9" s="15">
        <v>2021</v>
      </c>
      <c r="O9" s="15">
        <v>2100</v>
      </c>
      <c r="P9" s="9" t="str">
        <f t="shared" si="0"/>
        <v>/Logistics/PipeBG2Mz6/Benguerir/Mzinda/WP2PAP/NA/Pipeline/Rock/6,23/New/2021/2100</v>
      </c>
    </row>
    <row r="10" spans="2:16" x14ac:dyDescent="0.25">
      <c r="D10" s="9" t="s">
        <v>396</v>
      </c>
      <c r="E10" s="9" t="s">
        <v>9</v>
      </c>
      <c r="F10" s="9" t="s">
        <v>3</v>
      </c>
      <c r="G10" s="9" t="s">
        <v>381</v>
      </c>
      <c r="H10" s="9" t="s">
        <v>390</v>
      </c>
      <c r="I10" s="15" t="s">
        <v>256</v>
      </c>
      <c r="J10" s="15" t="s">
        <v>186</v>
      </c>
      <c r="K10" s="15">
        <v>9</v>
      </c>
      <c r="L10" s="11" t="s">
        <v>182</v>
      </c>
      <c r="M10" s="11" t="s">
        <v>146</v>
      </c>
      <c r="N10" s="15">
        <v>2021</v>
      </c>
      <c r="O10" s="15">
        <v>2100</v>
      </c>
      <c r="P10" s="9" t="str">
        <f t="shared" si="0"/>
        <v>/Logistics/PipeBG2Mz9/Benguerir/Mzinda/WP2PAP/NA/Pipeline/Rock/9/New/2021/2100</v>
      </c>
    </row>
    <row r="11" spans="2:16" x14ac:dyDescent="0.25">
      <c r="D11" s="9" t="s">
        <v>411</v>
      </c>
      <c r="E11" s="9" t="s">
        <v>3</v>
      </c>
      <c r="F11" s="9" t="s">
        <v>26</v>
      </c>
      <c r="G11" s="9" t="s">
        <v>410</v>
      </c>
      <c r="H11" s="9" t="s">
        <v>390</v>
      </c>
      <c r="I11" s="15" t="s">
        <v>256</v>
      </c>
      <c r="J11" s="144" t="s">
        <v>233</v>
      </c>
      <c r="K11" s="40">
        <v>2</v>
      </c>
      <c r="L11" s="11" t="s">
        <v>414</v>
      </c>
      <c r="M11" s="11" t="s">
        <v>146</v>
      </c>
      <c r="N11" s="15">
        <v>2021</v>
      </c>
      <c r="O11" s="15">
        <v>2100</v>
      </c>
      <c r="P11" s="9" t="str">
        <f t="shared" si="0"/>
        <v>/Logistics/PipeAcid1/Mzinda/Safi/PAP2Granul/NA/Pipeline/Acid/2/New/2021/2100</v>
      </c>
    </row>
    <row r="12" spans="2:16" x14ac:dyDescent="0.25">
      <c r="D12" s="9" t="s">
        <v>412</v>
      </c>
      <c r="E12" s="9" t="s">
        <v>3</v>
      </c>
      <c r="F12" s="9" t="s">
        <v>26</v>
      </c>
      <c r="G12" s="9" t="s">
        <v>410</v>
      </c>
      <c r="H12" s="9" t="s">
        <v>390</v>
      </c>
      <c r="I12" s="15" t="s">
        <v>256</v>
      </c>
      <c r="J12" s="144" t="s">
        <v>233</v>
      </c>
      <c r="K12" s="40">
        <v>2</v>
      </c>
      <c r="L12" s="11" t="s">
        <v>414</v>
      </c>
      <c r="M12" s="11" t="s">
        <v>146</v>
      </c>
      <c r="N12" s="15">
        <v>2021</v>
      </c>
      <c r="O12" s="15">
        <v>2100</v>
      </c>
      <c r="P12" s="9" t="str">
        <f t="shared" si="0"/>
        <v>/Logistics/PipeAcid2/Mzinda/Safi/PAP2Granul/NA/Pipeline/Acid/2/New/2021/2100</v>
      </c>
    </row>
    <row r="13" spans="2:16" x14ac:dyDescent="0.25">
      <c r="D13" s="9" t="s">
        <v>413</v>
      </c>
      <c r="E13" s="9" t="s">
        <v>3</v>
      </c>
      <c r="F13" s="9" t="s">
        <v>26</v>
      </c>
      <c r="G13" s="9" t="s">
        <v>410</v>
      </c>
      <c r="H13" s="9" t="s">
        <v>390</v>
      </c>
      <c r="I13" s="15" t="s">
        <v>256</v>
      </c>
      <c r="J13" s="144" t="s">
        <v>233</v>
      </c>
      <c r="K13" s="40">
        <v>4</v>
      </c>
      <c r="L13" s="11" t="s">
        <v>414</v>
      </c>
      <c r="M13" s="11" t="s">
        <v>146</v>
      </c>
      <c r="N13" s="15">
        <v>2021</v>
      </c>
      <c r="O13" s="15">
        <v>2100</v>
      </c>
      <c r="P13" s="9" t="str">
        <f>IF(E13="","","/Logistics/"&amp;CONCATENATE(D13,"/",E13,"/",F13,"/",G13,"/",H13,"/",I13,"/",J13,"/",K13,"/",M13,"/",N13,"/",O13))</f>
        <v>/Logistics/PipeAcid3/Mzinda/Safi/PAP2Granul/NA/Pipeline/Acid/4/New/2021/2100</v>
      </c>
    </row>
    <row r="14" spans="2:16" x14ac:dyDescent="0.25">
      <c r="D14" s="9" t="s">
        <v>398</v>
      </c>
      <c r="E14" s="9" t="s">
        <v>9</v>
      </c>
      <c r="F14" s="9" t="s">
        <v>90</v>
      </c>
      <c r="G14" s="9" t="s">
        <v>379</v>
      </c>
      <c r="H14" s="9" t="s">
        <v>391</v>
      </c>
      <c r="I14" s="15" t="s">
        <v>254</v>
      </c>
      <c r="J14" s="15" t="s">
        <v>186</v>
      </c>
      <c r="K14" s="15">
        <v>3</v>
      </c>
      <c r="L14" s="11" t="s">
        <v>182</v>
      </c>
      <c r="M14" s="11" t="s">
        <v>392</v>
      </c>
      <c r="N14" s="15">
        <v>2018</v>
      </c>
      <c r="O14" s="15">
        <v>2100</v>
      </c>
      <c r="P14" s="9" t="str">
        <f t="shared" si="0"/>
        <v>/Logistics/TrainBG2Yfia3/Benguerir/Youssoufia/WP2WP/Mz/Train/Rock/3/Exist/2018/2100</v>
      </c>
    </row>
    <row r="15" spans="2:16" x14ac:dyDescent="0.25">
      <c r="D15" s="9" t="s">
        <v>399</v>
      </c>
      <c r="E15" s="9" t="s">
        <v>9</v>
      </c>
      <c r="F15" s="9" t="s">
        <v>90</v>
      </c>
      <c r="G15" s="9" t="s">
        <v>379</v>
      </c>
      <c r="H15" s="148" t="s">
        <v>26</v>
      </c>
      <c r="I15" s="15" t="s">
        <v>254</v>
      </c>
      <c r="J15" s="15" t="s">
        <v>186</v>
      </c>
      <c r="K15" s="15">
        <v>9</v>
      </c>
      <c r="L15" s="11" t="s">
        <v>182</v>
      </c>
      <c r="M15" s="11" t="s">
        <v>392</v>
      </c>
      <c r="N15" s="15">
        <v>2018</v>
      </c>
      <c r="O15" s="15">
        <v>2100</v>
      </c>
      <c r="P15" s="9" t="str">
        <f>IF(E15="","","/Logistics/"&amp;CONCATENATE(D15,"/",E15,"/",F15,"/",G15,"/",H15,"/",I15,"/",J15,"/",K15,"/",M15,"/",N15,"/",O15))</f>
        <v>/Logistics/TrainBG2Yfia9/Benguerir/Youssoufia/WP2WP/Safi/Train/Rock/9/Exist/2018/2100</v>
      </c>
    </row>
    <row r="16" spans="2:16" x14ac:dyDescent="0.25">
      <c r="D16" s="9" t="s">
        <v>400</v>
      </c>
      <c r="E16" s="9" t="s">
        <v>90</v>
      </c>
      <c r="F16" s="9" t="s">
        <v>26</v>
      </c>
      <c r="G16" s="9" t="s">
        <v>381</v>
      </c>
      <c r="H16" s="9" t="s">
        <v>391</v>
      </c>
      <c r="I16" s="15" t="s">
        <v>254</v>
      </c>
      <c r="J16" s="15" t="s">
        <v>186</v>
      </c>
      <c r="K16" s="152">
        <v>9</v>
      </c>
      <c r="L16" s="11" t="s">
        <v>182</v>
      </c>
      <c r="M16" s="11" t="s">
        <v>392</v>
      </c>
      <c r="N16" s="15">
        <v>2018</v>
      </c>
      <c r="O16" s="15">
        <v>2100</v>
      </c>
      <c r="P16" s="9" t="str">
        <f t="shared" si="0"/>
        <v>/Logistics/TrainYfia2Safi7/Youssoufia/Safi/WP2PAP/Mz/Train/Rock/9/Exist/2018/2100</v>
      </c>
    </row>
    <row r="17" spans="4:16" x14ac:dyDescent="0.25">
      <c r="D17" s="9" t="s">
        <v>401</v>
      </c>
      <c r="E17" s="9" t="s">
        <v>90</v>
      </c>
      <c r="F17" s="9" t="s">
        <v>26</v>
      </c>
      <c r="G17" s="9" t="s">
        <v>381</v>
      </c>
      <c r="H17" s="148" t="s">
        <v>26</v>
      </c>
      <c r="I17" s="15" t="s">
        <v>254</v>
      </c>
      <c r="J17" s="15" t="s">
        <v>186</v>
      </c>
      <c r="K17" s="15">
        <v>9</v>
      </c>
      <c r="L17" s="11" t="s">
        <v>182</v>
      </c>
      <c r="M17" s="11" t="s">
        <v>392</v>
      </c>
      <c r="N17" s="15">
        <v>2018</v>
      </c>
      <c r="O17" s="15">
        <v>2100</v>
      </c>
      <c r="P17" s="9" t="str">
        <f>IF(E17="","","/Logistics/"&amp;CONCATENATE(D17,"/",E17,"/",F17,"/",G17,"/",H17,"/",I17,"/",J17,"/",K17,"/",M17,"/",N17,"/",O17))</f>
        <v>/Logistics/TrainYfia2Safi9/Youssoufia/Safi/WP2PAP/Safi/Train/Rock/9/Exist/2018/2100</v>
      </c>
    </row>
    <row r="18" spans="4:16" x14ac:dyDescent="0.25">
      <c r="D18" s="9" t="s">
        <v>397</v>
      </c>
      <c r="E18" s="9" t="s">
        <v>26</v>
      </c>
      <c r="F18" s="9" t="s">
        <v>3</v>
      </c>
      <c r="G18" s="9" t="s">
        <v>381</v>
      </c>
      <c r="H18" s="9" t="s">
        <v>391</v>
      </c>
      <c r="I18" s="15" t="s">
        <v>254</v>
      </c>
      <c r="J18" s="15" t="s">
        <v>34</v>
      </c>
      <c r="K18" s="15">
        <v>4</v>
      </c>
      <c r="L18" s="11" t="s">
        <v>139</v>
      </c>
      <c r="M18" s="11" t="s">
        <v>392</v>
      </c>
      <c r="N18" s="15">
        <v>2018</v>
      </c>
      <c r="O18" s="15">
        <v>2100</v>
      </c>
      <c r="P18" s="9" t="str">
        <f>IF(E18="","","/Logistics/"&amp;CONCATENATE(D18,"/",E18,"/",F18,"/",G18,"/",H18,"/",I18,"/",J18,"/",K18,"/",M18,"/",N18,"/",O18))</f>
        <v>/Logistics/TrainSafi2Mz4/Safi/Mzinda/WP2PAP/Mz/Train/Sulfur/4/Exist/2018/2100</v>
      </c>
    </row>
    <row r="19" spans="4:16" x14ac:dyDescent="0.25">
      <c r="D19" s="9" t="s">
        <v>384</v>
      </c>
      <c r="E19" s="9" t="s">
        <v>4</v>
      </c>
      <c r="F19" s="9" t="s">
        <v>9</v>
      </c>
      <c r="G19" s="9" t="s">
        <v>379</v>
      </c>
      <c r="H19" s="9" t="s">
        <v>390</v>
      </c>
      <c r="I19" s="15" t="s">
        <v>393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2021</v>
      </c>
      <c r="O19" s="15">
        <v>2100</v>
      </c>
      <c r="P19" s="9" t="str">
        <f t="shared" si="0"/>
        <v>/Logistics/ConvT2BG5/Tassaout/Benguerir/WP2WP/NA/Conveyor/Rock/5/New/2021/2100</v>
      </c>
    </row>
    <row r="20" spans="4:16" x14ac:dyDescent="0.25">
      <c r="D20" s="9" t="s">
        <v>402</v>
      </c>
      <c r="E20" s="9" t="s">
        <v>4</v>
      </c>
      <c r="F20" s="9" t="s">
        <v>9</v>
      </c>
      <c r="G20" s="9" t="s">
        <v>379</v>
      </c>
      <c r="H20" s="9" t="s">
        <v>390</v>
      </c>
      <c r="I20" s="15" t="s">
        <v>393</v>
      </c>
      <c r="J20" s="15" t="s">
        <v>186</v>
      </c>
      <c r="K20" s="15">
        <v>10</v>
      </c>
      <c r="L20" s="11" t="s">
        <v>182</v>
      </c>
      <c r="M20" s="11" t="s">
        <v>146</v>
      </c>
      <c r="N20" s="15">
        <v>2021</v>
      </c>
      <c r="O20" s="15">
        <v>2100</v>
      </c>
      <c r="P20" s="9" t="str">
        <f t="shared" si="0"/>
        <v>/Logistics/ConvT2BG10/Tassaout/Benguerir/WP2WP/NA/Conveyor/Rock/10/New/2021/2100</v>
      </c>
    </row>
    <row r="21" spans="4:16" x14ac:dyDescent="0.25">
      <c r="D21" s="9" t="s">
        <v>403</v>
      </c>
      <c r="E21" s="9" t="s">
        <v>10</v>
      </c>
      <c r="F21" s="9" t="s">
        <v>9</v>
      </c>
      <c r="G21" s="9" t="s">
        <v>379</v>
      </c>
      <c r="H21" s="9" t="s">
        <v>390</v>
      </c>
      <c r="I21" s="15" t="s">
        <v>393</v>
      </c>
      <c r="J21" s="15" t="s">
        <v>186</v>
      </c>
      <c r="K21" s="40">
        <v>5.5</v>
      </c>
      <c r="L21" s="11" t="s">
        <v>182</v>
      </c>
      <c r="M21" s="11" t="s">
        <v>146</v>
      </c>
      <c r="N21" s="15">
        <v>2021</v>
      </c>
      <c r="O21" s="15">
        <v>2100</v>
      </c>
      <c r="P21" s="9" t="str">
        <f t="shared" si="0"/>
        <v>/Logistics/ConvNz2BG5/Nzalat/Benguerir/WP2WP/NA/Conveyor/Rock/5,5/New/2021/2100</v>
      </c>
    </row>
    <row r="22" spans="4:16" x14ac:dyDescent="0.25">
      <c r="D22" s="9" t="s">
        <v>404</v>
      </c>
      <c r="E22" s="9" t="s">
        <v>6</v>
      </c>
      <c r="F22" s="9" t="s">
        <v>90</v>
      </c>
      <c r="G22" s="9" t="s">
        <v>381</v>
      </c>
      <c r="H22" s="9" t="s">
        <v>390</v>
      </c>
      <c r="I22" s="15" t="s">
        <v>393</v>
      </c>
      <c r="J22" s="15" t="s">
        <v>186</v>
      </c>
      <c r="K22" s="40">
        <v>4.5</v>
      </c>
      <c r="L22" s="11" t="s">
        <v>182</v>
      </c>
      <c r="M22" s="11" t="s">
        <v>146</v>
      </c>
      <c r="N22" s="15">
        <v>2021</v>
      </c>
      <c r="O22" s="15">
        <v>2100</v>
      </c>
      <c r="P22" s="9" t="str">
        <f>IF(E22="","","/Logistics/"&amp;CONCATENATE(D22,"/",E22,"/",F22,"/",G22,"/",H22,"/",I22,"/",J22,"/",K22,"/",M22,"/",N22,"/",O22))</f>
        <v>/Logistics/ConvL2Yfia4/Louta/Youssoufia/WP2PAP/NA/Conveyor/Rock/4,5/New/2021/2100</v>
      </c>
    </row>
    <row r="23" spans="4:16" x14ac:dyDescent="0.25">
      <c r="D23" s="9" t="s">
        <v>385</v>
      </c>
      <c r="E23" s="9" t="s">
        <v>9</v>
      </c>
      <c r="F23" s="9" t="s">
        <v>90</v>
      </c>
      <c r="G23" s="9" t="s">
        <v>379</v>
      </c>
      <c r="H23" s="9" t="s">
        <v>390</v>
      </c>
      <c r="I23" s="15" t="s">
        <v>393</v>
      </c>
      <c r="J23" s="15" t="s">
        <v>186</v>
      </c>
      <c r="K23" s="15">
        <v>3</v>
      </c>
      <c r="L23" s="11" t="s">
        <v>182</v>
      </c>
      <c r="M23" s="11" t="s">
        <v>146</v>
      </c>
      <c r="N23" s="15">
        <v>2021</v>
      </c>
      <c r="O23" s="15">
        <v>2100</v>
      </c>
      <c r="P23" s="9" t="str">
        <f t="shared" si="0"/>
        <v>/Logistics/ConvBG2Yfia3/Benguerir/Youssoufia/WP2WP/NA/Conveyor/Rock/3/New/2021/2100</v>
      </c>
    </row>
    <row r="24" spans="4:16" x14ac:dyDescent="0.25">
      <c r="D24" s="9" t="s">
        <v>386</v>
      </c>
      <c r="E24" s="9" t="s">
        <v>9</v>
      </c>
      <c r="F24" s="9" t="s">
        <v>3</v>
      </c>
      <c r="G24" s="9" t="s">
        <v>381</v>
      </c>
      <c r="H24" s="9" t="s">
        <v>390</v>
      </c>
      <c r="I24" s="15" t="s">
        <v>393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2021</v>
      </c>
      <c r="O24" s="15">
        <v>2100</v>
      </c>
      <c r="P24" s="9" t="str">
        <f>IF(E24="","","/Logistics/"&amp;CONCATENATE(D24,"/",E24,"/",F24,"/",G24,"/",H24,"/",I24,"/",J24,"/",K24,"/",M24,"/",N24,"/",O24))</f>
        <v>/Logistics/ConvBG2Mz6/Benguerir/Mzinda/WP2PAP/NA/Conveyor/Rock/6/New/2021/2100</v>
      </c>
    </row>
    <row r="25" spans="4:16" x14ac:dyDescent="0.25">
      <c r="D25" s="9" t="s">
        <v>405</v>
      </c>
      <c r="E25" s="9" t="s">
        <v>9</v>
      </c>
      <c r="F25" s="9" t="s">
        <v>3</v>
      </c>
      <c r="G25" s="9" t="s">
        <v>381</v>
      </c>
      <c r="H25" s="9" t="s">
        <v>390</v>
      </c>
      <c r="I25" s="15" t="s">
        <v>393</v>
      </c>
      <c r="J25" s="15" t="s">
        <v>186</v>
      </c>
      <c r="K25" s="15">
        <v>9</v>
      </c>
      <c r="L25" s="11" t="s">
        <v>182</v>
      </c>
      <c r="M25" s="11" t="s">
        <v>146</v>
      </c>
      <c r="N25" s="15">
        <v>2021</v>
      </c>
      <c r="O25" s="15">
        <v>2100</v>
      </c>
      <c r="P25" s="9" t="str">
        <f>IF(E25="","","/Logistics/"&amp;CONCATENATE(D25,"/",E25,"/",F25,"/",G25,"/",H25,"/",I25,"/",J25,"/",K25,"/",M25,"/",N25,"/",O25))</f>
        <v>/Logistics/ConvBG2Mz9/Benguerir/Mzinda/WP2PAP/NA/Conveyor/Rock/9/New/2021/2100</v>
      </c>
    </row>
  </sheetData>
  <dataValidations count="5">
    <dataValidation type="list" allowBlank="1" showInputMessage="1" showErrorMessage="1" sqref="E5:F23">
      <formula1>Location</formula1>
    </dataValidation>
    <dataValidation type="list" allowBlank="1" showInputMessage="1" showErrorMessage="1" sqref="G5:G23">
      <formula1>"WP2WP,WP2PAP,WP2Granul,WP2Port,PAP2Granul,PAP2Port,Granul2Port"</formula1>
    </dataValidation>
    <dataValidation type="list" allowBlank="1" showInputMessage="1" showErrorMessage="1" sqref="I5:I25">
      <formula1>LogisticsMethod</formula1>
    </dataValidation>
    <dataValidation type="list" allowBlank="1" showInputMessage="1" showErrorMessage="1" sqref="H5:H25">
      <formula1>"Mz,Safi,NA"</formula1>
    </dataValidation>
    <dataValidation type="list" allowBlank="1" showInputMessage="1" showErrorMessage="1" sqref="M5:M25">
      <formula1>"Exist,New"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&gt;&gt;&gt;'!$F$5:$F$38</xm:f>
          </x14:formula1>
          <xm:sqref>J5:J25</xm:sqref>
        </x14:dataValidation>
        <x14:dataValidation type="list" allowBlank="1" showInputMessage="1" showErrorMessage="1">
          <x14:formula1>
            <xm:f>'Common dict'!$H$5:$H$41</xm:f>
          </x14:formula1>
          <xm:sqref>L5:L43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AF72"/>
  <sheetViews>
    <sheetView workbookViewId="0">
      <selection activeCell="A11" sqref="A11:XFD11"/>
    </sheetView>
  </sheetViews>
  <sheetFormatPr baseColWidth="10" defaultColWidth="11.5703125" defaultRowHeight="15" outlineLevelCol="1" x14ac:dyDescent="0.25"/>
  <cols>
    <col min="1" max="3" width="3.85546875" style="5" customWidth="1"/>
    <col min="4" max="10" width="15.85546875" style="5" customWidth="1"/>
    <col min="11" max="11" width="13.85546875" style="5" bestFit="1" customWidth="1"/>
    <col min="12" max="21" width="13.85546875" style="5" bestFit="1" customWidth="1" outlineLevel="1"/>
    <col min="22" max="16384" width="11.5703125" style="5"/>
  </cols>
  <sheetData>
    <row r="1" spans="2:32" s="88" customFormat="1" ht="24.95" customHeight="1" x14ac:dyDescent="0.25">
      <c r="B1" s="87" t="s">
        <v>267</v>
      </c>
    </row>
    <row r="3" spans="2:32" ht="15.75" thickBot="1" x14ac:dyDescent="0.3">
      <c r="D3" s="38" t="str">
        <f>JESA_UploadTable(B1, D4:U72,db)</f>
        <v>Logistics opex @16:45:53</v>
      </c>
    </row>
    <row r="4" spans="2:32" ht="30" customHeight="1" thickBot="1" x14ac:dyDescent="0.3">
      <c r="D4" s="89" t="s">
        <v>263</v>
      </c>
      <c r="E4" s="89" t="s">
        <v>264</v>
      </c>
      <c r="F4" s="89" t="s">
        <v>265</v>
      </c>
      <c r="G4" s="89" t="s">
        <v>24</v>
      </c>
      <c r="H4" s="89" t="s">
        <v>266</v>
      </c>
      <c r="I4" s="89" t="s">
        <v>12</v>
      </c>
      <c r="J4" s="89" t="s">
        <v>17</v>
      </c>
      <c r="K4" s="90" t="s">
        <v>37</v>
      </c>
      <c r="L4" s="90" t="s">
        <v>38</v>
      </c>
      <c r="M4" s="90" t="s">
        <v>39</v>
      </c>
      <c r="N4" s="90" t="s">
        <v>40</v>
      </c>
      <c r="O4" s="90" t="s">
        <v>41</v>
      </c>
      <c r="P4" s="90" t="s">
        <v>42</v>
      </c>
      <c r="Q4" s="90" t="s">
        <v>43</v>
      </c>
      <c r="R4" s="90" t="s">
        <v>44</v>
      </c>
      <c r="S4" s="90" t="s">
        <v>45</v>
      </c>
      <c r="T4" s="90" t="s">
        <v>46</v>
      </c>
      <c r="U4" s="90" t="s">
        <v>47</v>
      </c>
    </row>
    <row r="5" spans="2:32" x14ac:dyDescent="0.25">
      <c r="D5" s="9" t="s">
        <v>4</v>
      </c>
      <c r="E5" s="9" t="s">
        <v>9</v>
      </c>
      <c r="F5" s="15" t="s">
        <v>256</v>
      </c>
      <c r="G5" s="15" t="s">
        <v>186</v>
      </c>
      <c r="H5" s="15">
        <v>5</v>
      </c>
      <c r="I5" s="8" t="s">
        <v>22</v>
      </c>
      <c r="J5" s="15" t="s">
        <v>270</v>
      </c>
      <c r="K5" s="18">
        <f>V5/1000000/$H5</f>
        <v>0.8</v>
      </c>
      <c r="L5" s="18">
        <f t="shared" ref="L5:L24" si="0">W5/1000000/$H5</f>
        <v>0.8</v>
      </c>
      <c r="M5" s="18">
        <f t="shared" ref="M5:M24" si="1">X5/1000000/$H5</f>
        <v>0.8</v>
      </c>
      <c r="N5" s="18">
        <f t="shared" ref="N5:N24" si="2">Y5/1000000/$H5</f>
        <v>0.8</v>
      </c>
      <c r="O5" s="18">
        <f t="shared" ref="O5:O24" si="3">Z5/1000000/$H5</f>
        <v>0.8</v>
      </c>
      <c r="P5" s="18">
        <f t="shared" ref="P5:P24" si="4">AA5/1000000/$H5</f>
        <v>0.8</v>
      </c>
      <c r="Q5" s="18">
        <f t="shared" ref="Q5:Q24" si="5">AB5/1000000/$H5</f>
        <v>0.8</v>
      </c>
      <c r="R5" s="18">
        <f t="shared" ref="R5:R24" si="6">AC5/1000000/$H5</f>
        <v>0.8</v>
      </c>
      <c r="S5" s="18">
        <f t="shared" ref="S5:S24" si="7">AD5/1000000/$H5</f>
        <v>0.8</v>
      </c>
      <c r="T5" s="18">
        <f t="shared" ref="T5:T24" si="8">AE5/1000000/$H5</f>
        <v>0.8</v>
      </c>
      <c r="U5" s="18">
        <f t="shared" ref="U5:U24" si="9">AF5/1000000/$H5</f>
        <v>0.8</v>
      </c>
      <c r="V5" s="18">
        <f>38*1000000/9.5</f>
        <v>4000000</v>
      </c>
      <c r="W5" s="17">
        <f>V5</f>
        <v>4000000</v>
      </c>
      <c r="X5" s="17">
        <f t="shared" ref="X5:X24" si="10">W5</f>
        <v>4000000</v>
      </c>
      <c r="Y5" s="17">
        <f t="shared" ref="Y5:Y24" si="11">X5</f>
        <v>4000000</v>
      </c>
      <c r="Z5" s="17">
        <f t="shared" ref="Z5:Z24" si="12">Y5</f>
        <v>4000000</v>
      </c>
      <c r="AA5" s="17">
        <f t="shared" ref="AA5:AA24" si="13">Z5</f>
        <v>4000000</v>
      </c>
      <c r="AB5" s="17">
        <f t="shared" ref="AB5:AB24" si="14">AA5</f>
        <v>4000000</v>
      </c>
      <c r="AC5" s="17">
        <f t="shared" ref="AC5:AC24" si="15">AB5</f>
        <v>4000000</v>
      </c>
      <c r="AD5" s="17">
        <f t="shared" ref="AD5:AD24" si="16">AC5</f>
        <v>4000000</v>
      </c>
      <c r="AE5" s="17">
        <f t="shared" ref="AE5:AE24" si="17">AD5</f>
        <v>4000000</v>
      </c>
      <c r="AF5" s="17">
        <f t="shared" ref="AF5:AF24" si="18">AE5</f>
        <v>4000000</v>
      </c>
    </row>
    <row r="6" spans="2:32" x14ac:dyDescent="0.25">
      <c r="D6" s="9" t="s">
        <v>4</v>
      </c>
      <c r="E6" s="9" t="s">
        <v>9</v>
      </c>
      <c r="F6" s="15" t="s">
        <v>256</v>
      </c>
      <c r="G6" s="15" t="s">
        <v>186</v>
      </c>
      <c r="H6" s="15">
        <v>10</v>
      </c>
      <c r="I6" s="9" t="s">
        <v>22</v>
      </c>
      <c r="J6" s="15" t="s">
        <v>270</v>
      </c>
      <c r="K6" s="18">
        <f t="shared" ref="K6:K24" si="19">V6/1000000/$H6</f>
        <v>0.51578947368421058</v>
      </c>
      <c r="L6" s="18">
        <f t="shared" si="0"/>
        <v>0.51578947368421058</v>
      </c>
      <c r="M6" s="18">
        <f t="shared" si="1"/>
        <v>0.51578947368421058</v>
      </c>
      <c r="N6" s="18">
        <f t="shared" si="2"/>
        <v>0.51578947368421058</v>
      </c>
      <c r="O6" s="18">
        <f t="shared" si="3"/>
        <v>0.51578947368421058</v>
      </c>
      <c r="P6" s="18">
        <f t="shared" si="4"/>
        <v>0.51578947368421058</v>
      </c>
      <c r="Q6" s="18">
        <f t="shared" si="5"/>
        <v>0.51578947368421058</v>
      </c>
      <c r="R6" s="18">
        <f t="shared" si="6"/>
        <v>0.51578947368421058</v>
      </c>
      <c r="S6" s="18">
        <f t="shared" si="7"/>
        <v>0.51578947368421058</v>
      </c>
      <c r="T6" s="18">
        <f t="shared" si="8"/>
        <v>0.51578947368421058</v>
      </c>
      <c r="U6" s="18">
        <f t="shared" si="9"/>
        <v>0.51578947368421058</v>
      </c>
      <c r="V6" s="18">
        <f>49*1000000/9.5</f>
        <v>5157894.7368421052</v>
      </c>
      <c r="W6" s="18">
        <f t="shared" ref="W6:W20" si="20">V6</f>
        <v>5157894.7368421052</v>
      </c>
      <c r="X6" s="18">
        <f t="shared" si="10"/>
        <v>5157894.7368421052</v>
      </c>
      <c r="Y6" s="18">
        <f t="shared" si="11"/>
        <v>5157894.7368421052</v>
      </c>
      <c r="Z6" s="18">
        <f t="shared" si="12"/>
        <v>5157894.7368421052</v>
      </c>
      <c r="AA6" s="18">
        <f t="shared" si="13"/>
        <v>5157894.7368421052</v>
      </c>
      <c r="AB6" s="18">
        <f t="shared" si="14"/>
        <v>5157894.7368421052</v>
      </c>
      <c r="AC6" s="18">
        <f t="shared" si="15"/>
        <v>5157894.7368421052</v>
      </c>
      <c r="AD6" s="18">
        <f t="shared" si="16"/>
        <v>5157894.7368421052</v>
      </c>
      <c r="AE6" s="18">
        <f t="shared" si="17"/>
        <v>5157894.7368421052</v>
      </c>
      <c r="AF6" s="18">
        <f t="shared" si="18"/>
        <v>5157894.7368421052</v>
      </c>
    </row>
    <row r="7" spans="2:32" x14ac:dyDescent="0.25">
      <c r="D7" s="9" t="s">
        <v>10</v>
      </c>
      <c r="E7" s="9" t="s">
        <v>9</v>
      </c>
      <c r="F7" s="15" t="s">
        <v>256</v>
      </c>
      <c r="G7" s="15" t="s">
        <v>186</v>
      </c>
      <c r="H7" s="40">
        <v>5.5</v>
      </c>
      <c r="I7" s="9" t="s">
        <v>22</v>
      </c>
      <c r="J7" s="15" t="s">
        <v>270</v>
      </c>
      <c r="K7" s="18">
        <f t="shared" si="19"/>
        <v>0.53588516746411485</v>
      </c>
      <c r="L7" s="18">
        <f t="shared" si="0"/>
        <v>0.53588516746411485</v>
      </c>
      <c r="M7" s="18">
        <f t="shared" si="1"/>
        <v>0.53588516746411485</v>
      </c>
      <c r="N7" s="18">
        <f t="shared" si="2"/>
        <v>0.53588516746411485</v>
      </c>
      <c r="O7" s="18">
        <f t="shared" si="3"/>
        <v>0.53588516746411485</v>
      </c>
      <c r="P7" s="18">
        <f t="shared" si="4"/>
        <v>0.53588516746411485</v>
      </c>
      <c r="Q7" s="18">
        <f t="shared" si="5"/>
        <v>0.53588516746411485</v>
      </c>
      <c r="R7" s="18">
        <f t="shared" si="6"/>
        <v>0.53588516746411485</v>
      </c>
      <c r="S7" s="18">
        <f t="shared" si="7"/>
        <v>0.53588516746411485</v>
      </c>
      <c r="T7" s="18">
        <f t="shared" si="8"/>
        <v>0.53588516746411485</v>
      </c>
      <c r="U7" s="18">
        <f t="shared" si="9"/>
        <v>0.53588516746411485</v>
      </c>
      <c r="V7" s="18">
        <f>28*1000000/9.5</f>
        <v>2947368.4210526315</v>
      </c>
      <c r="W7" s="18">
        <f t="shared" si="20"/>
        <v>2947368.4210526315</v>
      </c>
      <c r="X7" s="18">
        <f t="shared" si="10"/>
        <v>2947368.4210526315</v>
      </c>
      <c r="Y7" s="18">
        <f t="shared" si="11"/>
        <v>2947368.4210526315</v>
      </c>
      <c r="Z7" s="18">
        <f t="shared" si="12"/>
        <v>2947368.4210526315</v>
      </c>
      <c r="AA7" s="18">
        <f t="shared" si="13"/>
        <v>2947368.4210526315</v>
      </c>
      <c r="AB7" s="18">
        <f t="shared" si="14"/>
        <v>2947368.4210526315</v>
      </c>
      <c r="AC7" s="18">
        <f t="shared" si="15"/>
        <v>2947368.4210526315</v>
      </c>
      <c r="AD7" s="18">
        <f t="shared" si="16"/>
        <v>2947368.4210526315</v>
      </c>
      <c r="AE7" s="18">
        <f t="shared" si="17"/>
        <v>2947368.4210526315</v>
      </c>
      <c r="AF7" s="18">
        <f t="shared" si="18"/>
        <v>2947368.4210526315</v>
      </c>
    </row>
    <row r="8" spans="2:32" x14ac:dyDescent="0.25">
      <c r="D8" s="9" t="s">
        <v>9</v>
      </c>
      <c r="E8" s="9" t="s">
        <v>90</v>
      </c>
      <c r="F8" s="15" t="s">
        <v>256</v>
      </c>
      <c r="G8" s="15" t="s">
        <v>186</v>
      </c>
      <c r="H8" s="15">
        <v>3</v>
      </c>
      <c r="I8" s="9" t="s">
        <v>22</v>
      </c>
      <c r="J8" s="15" t="s">
        <v>270</v>
      </c>
      <c r="K8" s="18">
        <f t="shared" si="19"/>
        <v>2</v>
      </c>
      <c r="L8" s="18">
        <f t="shared" si="0"/>
        <v>2</v>
      </c>
      <c r="M8" s="18">
        <f t="shared" si="1"/>
        <v>2</v>
      </c>
      <c r="N8" s="18">
        <f t="shared" si="2"/>
        <v>2</v>
      </c>
      <c r="O8" s="18">
        <f t="shared" si="3"/>
        <v>2</v>
      </c>
      <c r="P8" s="18">
        <f t="shared" si="4"/>
        <v>2</v>
      </c>
      <c r="Q8" s="18">
        <f t="shared" si="5"/>
        <v>2</v>
      </c>
      <c r="R8" s="18">
        <f t="shared" si="6"/>
        <v>2</v>
      </c>
      <c r="S8" s="18">
        <f t="shared" si="7"/>
        <v>2</v>
      </c>
      <c r="T8" s="18">
        <f t="shared" si="8"/>
        <v>2</v>
      </c>
      <c r="U8" s="18">
        <f t="shared" si="9"/>
        <v>2</v>
      </c>
      <c r="V8" s="18">
        <f>57*1000000/9.5</f>
        <v>6000000</v>
      </c>
      <c r="W8" s="18">
        <f t="shared" si="20"/>
        <v>6000000</v>
      </c>
      <c r="X8" s="18">
        <f t="shared" si="10"/>
        <v>6000000</v>
      </c>
      <c r="Y8" s="18">
        <f t="shared" si="11"/>
        <v>6000000</v>
      </c>
      <c r="Z8" s="18">
        <f t="shared" si="12"/>
        <v>6000000</v>
      </c>
      <c r="AA8" s="18">
        <f t="shared" si="13"/>
        <v>6000000</v>
      </c>
      <c r="AB8" s="18">
        <f t="shared" si="14"/>
        <v>6000000</v>
      </c>
      <c r="AC8" s="18">
        <f t="shared" si="15"/>
        <v>6000000</v>
      </c>
      <c r="AD8" s="18">
        <f t="shared" si="16"/>
        <v>6000000</v>
      </c>
      <c r="AE8" s="18">
        <f t="shared" si="17"/>
        <v>6000000</v>
      </c>
      <c r="AF8" s="18">
        <f t="shared" si="18"/>
        <v>6000000</v>
      </c>
    </row>
    <row r="9" spans="2:32" x14ac:dyDescent="0.25">
      <c r="D9" s="9" t="s">
        <v>9</v>
      </c>
      <c r="E9" s="9" t="s">
        <v>3</v>
      </c>
      <c r="F9" s="15" t="s">
        <v>256</v>
      </c>
      <c r="G9" s="15" t="s">
        <v>186</v>
      </c>
      <c r="H9" s="15">
        <v>6.23</v>
      </c>
      <c r="I9" s="9" t="s">
        <v>22</v>
      </c>
      <c r="J9" s="15" t="s">
        <v>270</v>
      </c>
      <c r="K9" s="18">
        <f t="shared" si="19"/>
        <v>1.0137703810087015</v>
      </c>
      <c r="L9" s="18">
        <f t="shared" si="0"/>
        <v>1.0137703810087015</v>
      </c>
      <c r="M9" s="18">
        <f t="shared" si="1"/>
        <v>1.0137703810087015</v>
      </c>
      <c r="N9" s="18">
        <f t="shared" si="2"/>
        <v>1.0137703810087015</v>
      </c>
      <c r="O9" s="18">
        <f t="shared" si="3"/>
        <v>1.0137703810087015</v>
      </c>
      <c r="P9" s="18">
        <f t="shared" si="4"/>
        <v>1.0137703810087015</v>
      </c>
      <c r="Q9" s="18">
        <f t="shared" si="5"/>
        <v>1.0137703810087015</v>
      </c>
      <c r="R9" s="18">
        <f t="shared" si="6"/>
        <v>1.0137703810087015</v>
      </c>
      <c r="S9" s="18">
        <f t="shared" si="7"/>
        <v>1.0137703810087015</v>
      </c>
      <c r="T9" s="18">
        <f t="shared" si="8"/>
        <v>1.0137703810087015</v>
      </c>
      <c r="U9" s="18">
        <f t="shared" si="9"/>
        <v>1.0137703810087015</v>
      </c>
      <c r="V9" s="18">
        <f>60*1000000/9.5</f>
        <v>6315789.4736842103</v>
      </c>
      <c r="W9" s="18">
        <f t="shared" si="20"/>
        <v>6315789.4736842103</v>
      </c>
      <c r="X9" s="18">
        <f t="shared" si="10"/>
        <v>6315789.4736842103</v>
      </c>
      <c r="Y9" s="18">
        <f t="shared" si="11"/>
        <v>6315789.4736842103</v>
      </c>
      <c r="Z9" s="18">
        <f t="shared" si="12"/>
        <v>6315789.4736842103</v>
      </c>
      <c r="AA9" s="18">
        <f t="shared" si="13"/>
        <v>6315789.4736842103</v>
      </c>
      <c r="AB9" s="18">
        <f t="shared" si="14"/>
        <v>6315789.4736842103</v>
      </c>
      <c r="AC9" s="18">
        <f t="shared" si="15"/>
        <v>6315789.4736842103</v>
      </c>
      <c r="AD9" s="18">
        <f t="shared" si="16"/>
        <v>6315789.4736842103</v>
      </c>
      <c r="AE9" s="18">
        <f t="shared" si="17"/>
        <v>6315789.4736842103</v>
      </c>
      <c r="AF9" s="18">
        <f t="shared" si="18"/>
        <v>6315789.4736842103</v>
      </c>
    </row>
    <row r="10" spans="2:32" x14ac:dyDescent="0.25">
      <c r="D10" s="9" t="s">
        <v>9</v>
      </c>
      <c r="E10" s="9" t="s">
        <v>3</v>
      </c>
      <c r="F10" s="15" t="s">
        <v>256</v>
      </c>
      <c r="G10" s="15" t="s">
        <v>186</v>
      </c>
      <c r="H10" s="15">
        <v>9</v>
      </c>
      <c r="I10" s="9" t="s">
        <v>22</v>
      </c>
      <c r="J10" s="15" t="s">
        <v>270</v>
      </c>
      <c r="K10" s="18">
        <f t="shared" si="19"/>
        <v>0.85380116959064323</v>
      </c>
      <c r="L10" s="18">
        <f t="shared" si="0"/>
        <v>0.85380116959064323</v>
      </c>
      <c r="M10" s="18">
        <f t="shared" si="1"/>
        <v>0.85380116959064323</v>
      </c>
      <c r="N10" s="18">
        <f t="shared" si="2"/>
        <v>0.85380116959064323</v>
      </c>
      <c r="O10" s="18">
        <f t="shared" si="3"/>
        <v>0.85380116959064323</v>
      </c>
      <c r="P10" s="18">
        <f t="shared" si="4"/>
        <v>0.85380116959064323</v>
      </c>
      <c r="Q10" s="18">
        <f t="shared" si="5"/>
        <v>0.85380116959064323</v>
      </c>
      <c r="R10" s="18">
        <f t="shared" si="6"/>
        <v>0.85380116959064323</v>
      </c>
      <c r="S10" s="18">
        <f t="shared" si="7"/>
        <v>0.85380116959064323</v>
      </c>
      <c r="T10" s="18">
        <f t="shared" si="8"/>
        <v>0.85380116959064323</v>
      </c>
      <c r="U10" s="18">
        <f t="shared" si="9"/>
        <v>0.85380116959064323</v>
      </c>
      <c r="V10" s="18">
        <f>73*1000000/9.5</f>
        <v>7684210.5263157897</v>
      </c>
      <c r="W10" s="18">
        <f t="shared" si="20"/>
        <v>7684210.5263157897</v>
      </c>
      <c r="X10" s="18">
        <f t="shared" si="10"/>
        <v>7684210.5263157897</v>
      </c>
      <c r="Y10" s="18">
        <f t="shared" si="11"/>
        <v>7684210.5263157897</v>
      </c>
      <c r="Z10" s="18">
        <f t="shared" si="12"/>
        <v>7684210.5263157897</v>
      </c>
      <c r="AA10" s="18">
        <f t="shared" si="13"/>
        <v>7684210.5263157897</v>
      </c>
      <c r="AB10" s="18">
        <f t="shared" si="14"/>
        <v>7684210.5263157897</v>
      </c>
      <c r="AC10" s="18">
        <f t="shared" si="15"/>
        <v>7684210.5263157897</v>
      </c>
      <c r="AD10" s="18">
        <f t="shared" si="16"/>
        <v>7684210.5263157897</v>
      </c>
      <c r="AE10" s="18">
        <f t="shared" si="17"/>
        <v>7684210.5263157897</v>
      </c>
      <c r="AF10" s="18">
        <f t="shared" si="18"/>
        <v>7684210.5263157897</v>
      </c>
    </row>
    <row r="11" spans="2:32" x14ac:dyDescent="0.25">
      <c r="D11" s="9" t="s">
        <v>3</v>
      </c>
      <c r="E11" s="9" t="s">
        <v>26</v>
      </c>
      <c r="F11" s="15" t="s">
        <v>256</v>
      </c>
      <c r="G11" s="144" t="s">
        <v>233</v>
      </c>
      <c r="H11" s="40">
        <v>4</v>
      </c>
      <c r="I11" s="9" t="s">
        <v>22</v>
      </c>
      <c r="J11" s="15" t="s">
        <v>270</v>
      </c>
      <c r="K11" s="18">
        <f t="shared" si="19"/>
        <v>0.92105263157894746</v>
      </c>
      <c r="L11" s="18">
        <f t="shared" si="0"/>
        <v>0.92105263157894746</v>
      </c>
      <c r="M11" s="18">
        <f t="shared" si="1"/>
        <v>0.92105263157894746</v>
      </c>
      <c r="N11" s="18">
        <f t="shared" si="2"/>
        <v>0.92105263157894746</v>
      </c>
      <c r="O11" s="18">
        <f t="shared" si="3"/>
        <v>0.92105263157894746</v>
      </c>
      <c r="P11" s="18">
        <f t="shared" si="4"/>
        <v>0.92105263157894746</v>
      </c>
      <c r="Q11" s="18">
        <f t="shared" si="5"/>
        <v>0.92105263157894746</v>
      </c>
      <c r="R11" s="18">
        <f t="shared" si="6"/>
        <v>0.92105263157894746</v>
      </c>
      <c r="S11" s="18">
        <f t="shared" si="7"/>
        <v>0.92105263157894746</v>
      </c>
      <c r="T11" s="18">
        <f t="shared" si="8"/>
        <v>0.92105263157894746</v>
      </c>
      <c r="U11" s="18">
        <f t="shared" si="9"/>
        <v>0.92105263157894746</v>
      </c>
      <c r="V11" s="18">
        <f>35*1000000/9.5</f>
        <v>3684210.5263157897</v>
      </c>
      <c r="W11" s="18">
        <f t="shared" si="20"/>
        <v>3684210.5263157897</v>
      </c>
      <c r="X11" s="18">
        <f t="shared" si="10"/>
        <v>3684210.5263157897</v>
      </c>
      <c r="Y11" s="18">
        <f t="shared" si="11"/>
        <v>3684210.5263157897</v>
      </c>
      <c r="Z11" s="18">
        <f t="shared" si="12"/>
        <v>3684210.5263157897</v>
      </c>
      <c r="AA11" s="18">
        <f t="shared" si="13"/>
        <v>3684210.5263157897</v>
      </c>
      <c r="AB11" s="18">
        <f t="shared" si="14"/>
        <v>3684210.5263157897</v>
      </c>
      <c r="AC11" s="18">
        <f t="shared" si="15"/>
        <v>3684210.5263157897</v>
      </c>
      <c r="AD11" s="18">
        <f t="shared" si="16"/>
        <v>3684210.5263157897</v>
      </c>
      <c r="AE11" s="18">
        <f t="shared" si="17"/>
        <v>3684210.5263157897</v>
      </c>
      <c r="AF11" s="18">
        <f t="shared" si="18"/>
        <v>3684210.5263157897</v>
      </c>
    </row>
    <row r="12" spans="2:32" x14ac:dyDescent="0.25">
      <c r="D12" s="9" t="s">
        <v>9</v>
      </c>
      <c r="E12" s="9" t="s">
        <v>90</v>
      </c>
      <c r="F12" s="15" t="s">
        <v>254</v>
      </c>
      <c r="G12" s="15" t="s">
        <v>186</v>
      </c>
      <c r="H12" s="15">
        <v>3</v>
      </c>
      <c r="I12" s="9" t="s">
        <v>22</v>
      </c>
      <c r="J12" s="15" t="s">
        <v>270</v>
      </c>
      <c r="K12" s="18">
        <f t="shared" si="19"/>
        <v>23.400000000000002</v>
      </c>
      <c r="L12" s="18">
        <f t="shared" si="0"/>
        <v>23.400000000000002</v>
      </c>
      <c r="M12" s="18">
        <f t="shared" si="1"/>
        <v>23.400000000000002</v>
      </c>
      <c r="N12" s="18">
        <f t="shared" si="2"/>
        <v>23.400000000000002</v>
      </c>
      <c r="O12" s="18">
        <f t="shared" si="3"/>
        <v>23.400000000000002</v>
      </c>
      <c r="P12" s="18">
        <f t="shared" si="4"/>
        <v>23.400000000000002</v>
      </c>
      <c r="Q12" s="18">
        <f t="shared" si="5"/>
        <v>23.400000000000002</v>
      </c>
      <c r="R12" s="18">
        <f t="shared" si="6"/>
        <v>23.400000000000002</v>
      </c>
      <c r="S12" s="18">
        <f t="shared" si="7"/>
        <v>23.400000000000002</v>
      </c>
      <c r="T12" s="18">
        <f t="shared" si="8"/>
        <v>23.400000000000002</v>
      </c>
      <c r="U12" s="18">
        <f t="shared" si="9"/>
        <v>23.400000000000002</v>
      </c>
      <c r="V12" s="18">
        <f>0.39*60*$H$12*1000000</f>
        <v>70200000</v>
      </c>
      <c r="W12" s="18">
        <f t="shared" si="20"/>
        <v>70200000</v>
      </c>
      <c r="X12" s="18">
        <f t="shared" si="10"/>
        <v>70200000</v>
      </c>
      <c r="Y12" s="18">
        <f t="shared" si="11"/>
        <v>70200000</v>
      </c>
      <c r="Z12" s="18">
        <f t="shared" si="12"/>
        <v>70200000</v>
      </c>
      <c r="AA12" s="18">
        <f t="shared" si="13"/>
        <v>70200000</v>
      </c>
      <c r="AB12" s="18">
        <f t="shared" si="14"/>
        <v>70200000</v>
      </c>
      <c r="AC12" s="18">
        <f t="shared" si="15"/>
        <v>70200000</v>
      </c>
      <c r="AD12" s="18">
        <f t="shared" si="16"/>
        <v>70200000</v>
      </c>
      <c r="AE12" s="18">
        <f t="shared" si="17"/>
        <v>70200000</v>
      </c>
      <c r="AF12" s="18">
        <f t="shared" si="18"/>
        <v>70200000</v>
      </c>
    </row>
    <row r="13" spans="2:32" x14ac:dyDescent="0.25">
      <c r="D13" s="9" t="s">
        <v>9</v>
      </c>
      <c r="E13" s="9" t="s">
        <v>90</v>
      </c>
      <c r="F13" s="15" t="s">
        <v>254</v>
      </c>
      <c r="G13" s="15" t="s">
        <v>186</v>
      </c>
      <c r="H13" s="15">
        <v>9</v>
      </c>
      <c r="I13" s="9" t="s">
        <v>22</v>
      </c>
      <c r="J13" s="15" t="s">
        <v>270</v>
      </c>
      <c r="K13" s="18">
        <f t="shared" si="19"/>
        <v>23.400000000000002</v>
      </c>
      <c r="L13" s="18">
        <f t="shared" si="0"/>
        <v>23.400000000000002</v>
      </c>
      <c r="M13" s="18">
        <f t="shared" si="1"/>
        <v>23.400000000000002</v>
      </c>
      <c r="N13" s="18">
        <f t="shared" si="2"/>
        <v>23.400000000000002</v>
      </c>
      <c r="O13" s="18">
        <f t="shared" si="3"/>
        <v>23.400000000000002</v>
      </c>
      <c r="P13" s="18">
        <f t="shared" si="4"/>
        <v>23.400000000000002</v>
      </c>
      <c r="Q13" s="18">
        <f t="shared" si="5"/>
        <v>23.400000000000002</v>
      </c>
      <c r="R13" s="18">
        <f t="shared" si="6"/>
        <v>23.400000000000002</v>
      </c>
      <c r="S13" s="18">
        <f t="shared" si="7"/>
        <v>23.400000000000002</v>
      </c>
      <c r="T13" s="18">
        <f t="shared" si="8"/>
        <v>23.400000000000002</v>
      </c>
      <c r="U13" s="18">
        <f t="shared" si="9"/>
        <v>23.400000000000002</v>
      </c>
      <c r="V13" s="18">
        <f>0.39*60*$H$13*1000000</f>
        <v>210600000.00000003</v>
      </c>
      <c r="W13" s="18">
        <f t="shared" si="20"/>
        <v>210600000.00000003</v>
      </c>
      <c r="X13" s="18">
        <f t="shared" si="10"/>
        <v>210600000.00000003</v>
      </c>
      <c r="Y13" s="18">
        <f t="shared" si="11"/>
        <v>210600000.00000003</v>
      </c>
      <c r="Z13" s="18">
        <f t="shared" si="12"/>
        <v>210600000.00000003</v>
      </c>
      <c r="AA13" s="18">
        <f t="shared" si="13"/>
        <v>210600000.00000003</v>
      </c>
      <c r="AB13" s="18">
        <f t="shared" si="14"/>
        <v>210600000.00000003</v>
      </c>
      <c r="AC13" s="18">
        <f t="shared" si="15"/>
        <v>210600000.00000003</v>
      </c>
      <c r="AD13" s="18">
        <f t="shared" si="16"/>
        <v>210600000.00000003</v>
      </c>
      <c r="AE13" s="18">
        <f t="shared" si="17"/>
        <v>210600000.00000003</v>
      </c>
      <c r="AF13" s="18">
        <f t="shared" si="18"/>
        <v>210600000.00000003</v>
      </c>
    </row>
    <row r="14" spans="2:32" x14ac:dyDescent="0.25">
      <c r="D14" s="9" t="s">
        <v>90</v>
      </c>
      <c r="E14" s="9" t="s">
        <v>26</v>
      </c>
      <c r="F14" s="15" t="s">
        <v>254</v>
      </c>
      <c r="G14" s="15" t="s">
        <v>186</v>
      </c>
      <c r="H14" s="15">
        <v>7</v>
      </c>
      <c r="I14" s="9" t="s">
        <v>22</v>
      </c>
      <c r="J14" s="15" t="s">
        <v>270</v>
      </c>
      <c r="K14" s="18">
        <f t="shared" si="19"/>
        <v>16.77</v>
      </c>
      <c r="L14" s="18">
        <f t="shared" si="0"/>
        <v>16.77</v>
      </c>
      <c r="M14" s="18">
        <f t="shared" si="1"/>
        <v>16.77</v>
      </c>
      <c r="N14" s="18">
        <f t="shared" si="2"/>
        <v>16.77</v>
      </c>
      <c r="O14" s="18">
        <f t="shared" si="3"/>
        <v>16.77</v>
      </c>
      <c r="P14" s="18">
        <f t="shared" si="4"/>
        <v>16.77</v>
      </c>
      <c r="Q14" s="18">
        <f t="shared" si="5"/>
        <v>16.77</v>
      </c>
      <c r="R14" s="18">
        <f t="shared" si="6"/>
        <v>16.77</v>
      </c>
      <c r="S14" s="18">
        <f t="shared" si="7"/>
        <v>16.77</v>
      </c>
      <c r="T14" s="18">
        <f t="shared" si="8"/>
        <v>16.77</v>
      </c>
      <c r="U14" s="18">
        <f t="shared" si="9"/>
        <v>16.77</v>
      </c>
      <c r="V14" s="18">
        <f>0.39*43*$H$14*1000000</f>
        <v>117390000</v>
      </c>
      <c r="W14" s="18">
        <f t="shared" si="20"/>
        <v>117390000</v>
      </c>
      <c r="X14" s="18">
        <f t="shared" si="10"/>
        <v>117390000</v>
      </c>
      <c r="Y14" s="18">
        <f t="shared" si="11"/>
        <v>117390000</v>
      </c>
      <c r="Z14" s="18">
        <f t="shared" si="12"/>
        <v>117390000</v>
      </c>
      <c r="AA14" s="18">
        <f t="shared" si="13"/>
        <v>117390000</v>
      </c>
      <c r="AB14" s="18">
        <f t="shared" si="14"/>
        <v>117390000</v>
      </c>
      <c r="AC14" s="18">
        <f t="shared" si="15"/>
        <v>117390000</v>
      </c>
      <c r="AD14" s="18">
        <f t="shared" si="16"/>
        <v>117390000</v>
      </c>
      <c r="AE14" s="18">
        <f t="shared" si="17"/>
        <v>117390000</v>
      </c>
      <c r="AF14" s="18">
        <f t="shared" si="18"/>
        <v>117390000</v>
      </c>
    </row>
    <row r="15" spans="2:32" x14ac:dyDescent="0.25">
      <c r="D15" s="9" t="s">
        <v>90</v>
      </c>
      <c r="E15" s="9" t="s">
        <v>26</v>
      </c>
      <c r="F15" s="15" t="s">
        <v>254</v>
      </c>
      <c r="G15" s="15" t="s">
        <v>186</v>
      </c>
      <c r="H15" s="15">
        <v>9</v>
      </c>
      <c r="I15" s="9" t="s">
        <v>22</v>
      </c>
      <c r="J15" s="15" t="s">
        <v>270</v>
      </c>
      <c r="K15" s="18">
        <f t="shared" si="19"/>
        <v>16.77</v>
      </c>
      <c r="L15" s="18">
        <f t="shared" si="0"/>
        <v>16.77</v>
      </c>
      <c r="M15" s="18">
        <f t="shared" si="1"/>
        <v>16.77</v>
      </c>
      <c r="N15" s="18">
        <f t="shared" si="2"/>
        <v>16.77</v>
      </c>
      <c r="O15" s="18">
        <f t="shared" si="3"/>
        <v>16.77</v>
      </c>
      <c r="P15" s="18">
        <f t="shared" si="4"/>
        <v>16.77</v>
      </c>
      <c r="Q15" s="18">
        <f t="shared" si="5"/>
        <v>16.77</v>
      </c>
      <c r="R15" s="18">
        <f t="shared" si="6"/>
        <v>16.77</v>
      </c>
      <c r="S15" s="18">
        <f t="shared" si="7"/>
        <v>16.77</v>
      </c>
      <c r="T15" s="18">
        <f t="shared" si="8"/>
        <v>16.77</v>
      </c>
      <c r="U15" s="18">
        <f t="shared" si="9"/>
        <v>16.77</v>
      </c>
      <c r="V15" s="18">
        <f>0.39*43*$H$15*1000000</f>
        <v>150930000</v>
      </c>
      <c r="W15" s="18">
        <f t="shared" si="20"/>
        <v>150930000</v>
      </c>
      <c r="X15" s="18">
        <f t="shared" si="10"/>
        <v>150930000</v>
      </c>
      <c r="Y15" s="18">
        <f t="shared" si="11"/>
        <v>150930000</v>
      </c>
      <c r="Z15" s="18">
        <f t="shared" si="12"/>
        <v>150930000</v>
      </c>
      <c r="AA15" s="18">
        <f t="shared" si="13"/>
        <v>150930000</v>
      </c>
      <c r="AB15" s="18">
        <f t="shared" si="14"/>
        <v>150930000</v>
      </c>
      <c r="AC15" s="18">
        <f t="shared" si="15"/>
        <v>150930000</v>
      </c>
      <c r="AD15" s="18">
        <f t="shared" si="16"/>
        <v>150930000</v>
      </c>
      <c r="AE15" s="18">
        <f t="shared" si="17"/>
        <v>150930000</v>
      </c>
      <c r="AF15" s="18">
        <f t="shared" si="18"/>
        <v>150930000</v>
      </c>
    </row>
    <row r="16" spans="2:32" x14ac:dyDescent="0.25">
      <c r="D16" s="9" t="s">
        <v>26</v>
      </c>
      <c r="E16" s="9" t="s">
        <v>3</v>
      </c>
      <c r="F16" s="15" t="s">
        <v>254</v>
      </c>
      <c r="G16" s="15" t="s">
        <v>34</v>
      </c>
      <c r="H16" s="15">
        <v>4</v>
      </c>
      <c r="I16" s="9" t="s">
        <v>22</v>
      </c>
      <c r="J16" s="15" t="s">
        <v>270</v>
      </c>
      <c r="K16" s="18">
        <f t="shared" si="19"/>
        <v>16.77</v>
      </c>
      <c r="L16" s="18">
        <f t="shared" si="0"/>
        <v>16.77</v>
      </c>
      <c r="M16" s="18">
        <f t="shared" si="1"/>
        <v>16.77</v>
      </c>
      <c r="N16" s="18">
        <f t="shared" si="2"/>
        <v>16.77</v>
      </c>
      <c r="O16" s="18">
        <f t="shared" si="3"/>
        <v>16.77</v>
      </c>
      <c r="P16" s="18">
        <f t="shared" si="4"/>
        <v>16.77</v>
      </c>
      <c r="Q16" s="18">
        <f t="shared" si="5"/>
        <v>16.77</v>
      </c>
      <c r="R16" s="18">
        <f t="shared" si="6"/>
        <v>16.77</v>
      </c>
      <c r="S16" s="18">
        <f t="shared" si="7"/>
        <v>16.77</v>
      </c>
      <c r="T16" s="18">
        <f t="shared" si="8"/>
        <v>16.77</v>
      </c>
      <c r="U16" s="18">
        <f t="shared" si="9"/>
        <v>16.77</v>
      </c>
      <c r="V16" s="18">
        <f>0.39*43*$H$16*1000000</f>
        <v>67080000</v>
      </c>
      <c r="W16" s="18">
        <f t="shared" si="20"/>
        <v>67080000</v>
      </c>
      <c r="X16" s="18">
        <f t="shared" si="10"/>
        <v>67080000</v>
      </c>
      <c r="Y16" s="18">
        <f t="shared" si="11"/>
        <v>67080000</v>
      </c>
      <c r="Z16" s="18">
        <f t="shared" si="12"/>
        <v>67080000</v>
      </c>
      <c r="AA16" s="18">
        <f t="shared" si="13"/>
        <v>67080000</v>
      </c>
      <c r="AB16" s="18">
        <f t="shared" si="14"/>
        <v>67080000</v>
      </c>
      <c r="AC16" s="18">
        <f t="shared" si="15"/>
        <v>67080000</v>
      </c>
      <c r="AD16" s="18">
        <f t="shared" si="16"/>
        <v>67080000</v>
      </c>
      <c r="AE16" s="18">
        <f t="shared" si="17"/>
        <v>67080000</v>
      </c>
      <c r="AF16" s="18">
        <f t="shared" si="18"/>
        <v>67080000</v>
      </c>
    </row>
    <row r="17" spans="4:32" x14ac:dyDescent="0.25">
      <c r="D17" s="9" t="s">
        <v>4</v>
      </c>
      <c r="E17" s="9" t="s">
        <v>9</v>
      </c>
      <c r="F17" s="15" t="s">
        <v>393</v>
      </c>
      <c r="G17" s="15" t="s">
        <v>186</v>
      </c>
      <c r="H17" s="15">
        <v>5</v>
      </c>
      <c r="I17" s="9" t="s">
        <v>22</v>
      </c>
      <c r="J17" s="15" t="s">
        <v>270</v>
      </c>
      <c r="K17" s="18">
        <f t="shared" si="19"/>
        <v>0.69473684210526321</v>
      </c>
      <c r="L17" s="18">
        <f t="shared" si="0"/>
        <v>0.69473684210526321</v>
      </c>
      <c r="M17" s="18">
        <f t="shared" si="1"/>
        <v>0.69473684210526321</v>
      </c>
      <c r="N17" s="18">
        <f t="shared" si="2"/>
        <v>0.69473684210526321</v>
      </c>
      <c r="O17" s="18">
        <f t="shared" si="3"/>
        <v>0.69473684210526321</v>
      </c>
      <c r="P17" s="18">
        <f t="shared" si="4"/>
        <v>0.69473684210526321</v>
      </c>
      <c r="Q17" s="18">
        <f t="shared" si="5"/>
        <v>0.69473684210526321</v>
      </c>
      <c r="R17" s="18">
        <f t="shared" si="6"/>
        <v>0.69473684210526321</v>
      </c>
      <c r="S17" s="18">
        <f t="shared" si="7"/>
        <v>0.69473684210526321</v>
      </c>
      <c r="T17" s="18">
        <f t="shared" si="8"/>
        <v>0.69473684210526321</v>
      </c>
      <c r="U17" s="18">
        <f t="shared" si="9"/>
        <v>0.69473684210526321</v>
      </c>
      <c r="V17" s="18">
        <f>33*1000000/9.5</f>
        <v>3473684.210526316</v>
      </c>
      <c r="W17" s="18">
        <f t="shared" si="20"/>
        <v>3473684.210526316</v>
      </c>
      <c r="X17" s="18">
        <f t="shared" si="10"/>
        <v>3473684.210526316</v>
      </c>
      <c r="Y17" s="18">
        <f t="shared" si="11"/>
        <v>3473684.210526316</v>
      </c>
      <c r="Z17" s="18">
        <f t="shared" si="12"/>
        <v>3473684.210526316</v>
      </c>
      <c r="AA17" s="18">
        <f t="shared" si="13"/>
        <v>3473684.210526316</v>
      </c>
      <c r="AB17" s="18">
        <f t="shared" si="14"/>
        <v>3473684.210526316</v>
      </c>
      <c r="AC17" s="18">
        <f t="shared" si="15"/>
        <v>3473684.210526316</v>
      </c>
      <c r="AD17" s="18">
        <f t="shared" si="16"/>
        <v>3473684.210526316</v>
      </c>
      <c r="AE17" s="18">
        <f t="shared" si="17"/>
        <v>3473684.210526316</v>
      </c>
      <c r="AF17" s="18">
        <f t="shared" si="18"/>
        <v>3473684.210526316</v>
      </c>
    </row>
    <row r="18" spans="4:32" x14ac:dyDescent="0.25">
      <c r="D18" s="9" t="s">
        <v>4</v>
      </c>
      <c r="E18" s="9" t="s">
        <v>9</v>
      </c>
      <c r="F18" s="15" t="s">
        <v>393</v>
      </c>
      <c r="G18" s="15" t="s">
        <v>186</v>
      </c>
      <c r="H18" s="15">
        <v>10</v>
      </c>
      <c r="I18" s="9" t="s">
        <v>22</v>
      </c>
      <c r="J18" s="15" t="s">
        <v>270</v>
      </c>
      <c r="K18" s="18">
        <f t="shared" si="19"/>
        <v>0.64210526315789473</v>
      </c>
      <c r="L18" s="18">
        <f t="shared" si="0"/>
        <v>0.64210526315789473</v>
      </c>
      <c r="M18" s="18">
        <f t="shared" si="1"/>
        <v>0.64210526315789473</v>
      </c>
      <c r="N18" s="18">
        <f t="shared" si="2"/>
        <v>0.64210526315789473</v>
      </c>
      <c r="O18" s="18">
        <f t="shared" si="3"/>
        <v>0.64210526315789473</v>
      </c>
      <c r="P18" s="18">
        <f t="shared" si="4"/>
        <v>0.64210526315789473</v>
      </c>
      <c r="Q18" s="18">
        <f t="shared" si="5"/>
        <v>0.64210526315789473</v>
      </c>
      <c r="R18" s="18">
        <f t="shared" si="6"/>
        <v>0.64210526315789473</v>
      </c>
      <c r="S18" s="18">
        <f t="shared" si="7"/>
        <v>0.64210526315789473</v>
      </c>
      <c r="T18" s="18">
        <f t="shared" si="8"/>
        <v>0.64210526315789473</v>
      </c>
      <c r="U18" s="18">
        <f t="shared" si="9"/>
        <v>0.64210526315789473</v>
      </c>
      <c r="V18" s="18">
        <f>61*1000000/9.5</f>
        <v>6421052.6315789474</v>
      </c>
      <c r="W18" s="18">
        <f t="shared" si="20"/>
        <v>6421052.6315789474</v>
      </c>
      <c r="X18" s="18">
        <f t="shared" si="10"/>
        <v>6421052.6315789474</v>
      </c>
      <c r="Y18" s="18">
        <f t="shared" si="11"/>
        <v>6421052.6315789474</v>
      </c>
      <c r="Z18" s="18">
        <f t="shared" si="12"/>
        <v>6421052.6315789474</v>
      </c>
      <c r="AA18" s="18">
        <f t="shared" si="13"/>
        <v>6421052.6315789474</v>
      </c>
      <c r="AB18" s="18">
        <f t="shared" si="14"/>
        <v>6421052.6315789474</v>
      </c>
      <c r="AC18" s="18">
        <f t="shared" si="15"/>
        <v>6421052.6315789474</v>
      </c>
      <c r="AD18" s="18">
        <f t="shared" si="16"/>
        <v>6421052.6315789474</v>
      </c>
      <c r="AE18" s="18">
        <f t="shared" si="17"/>
        <v>6421052.6315789474</v>
      </c>
      <c r="AF18" s="18">
        <f t="shared" si="18"/>
        <v>6421052.6315789474</v>
      </c>
    </row>
    <row r="19" spans="4:32" x14ac:dyDescent="0.25">
      <c r="D19" s="9" t="s">
        <v>10</v>
      </c>
      <c r="E19" s="9" t="s">
        <v>9</v>
      </c>
      <c r="F19" s="15" t="s">
        <v>393</v>
      </c>
      <c r="G19" s="15" t="s">
        <v>186</v>
      </c>
      <c r="H19" s="40">
        <v>5.5</v>
      </c>
      <c r="I19" s="9" t="s">
        <v>22</v>
      </c>
      <c r="J19" s="15" t="s">
        <v>270</v>
      </c>
      <c r="K19" s="18">
        <f t="shared" si="19"/>
        <v>0.45933014354066981</v>
      </c>
      <c r="L19" s="18">
        <f t="shared" si="0"/>
        <v>0.45933014354066981</v>
      </c>
      <c r="M19" s="18">
        <f t="shared" si="1"/>
        <v>0.45933014354066981</v>
      </c>
      <c r="N19" s="18">
        <f t="shared" si="2"/>
        <v>0.45933014354066981</v>
      </c>
      <c r="O19" s="18">
        <f t="shared" si="3"/>
        <v>0.45933014354066981</v>
      </c>
      <c r="P19" s="18">
        <f t="shared" si="4"/>
        <v>0.45933014354066981</v>
      </c>
      <c r="Q19" s="18">
        <f t="shared" si="5"/>
        <v>0.45933014354066981</v>
      </c>
      <c r="R19" s="18">
        <f t="shared" si="6"/>
        <v>0.45933014354066981</v>
      </c>
      <c r="S19" s="18">
        <f t="shared" si="7"/>
        <v>0.45933014354066981</v>
      </c>
      <c r="T19" s="18">
        <f t="shared" si="8"/>
        <v>0.45933014354066981</v>
      </c>
      <c r="U19" s="18">
        <f t="shared" si="9"/>
        <v>0.45933014354066981</v>
      </c>
      <c r="V19" s="18">
        <f>24*1000000/9.5</f>
        <v>2526315.789473684</v>
      </c>
      <c r="W19" s="18">
        <f t="shared" si="20"/>
        <v>2526315.789473684</v>
      </c>
      <c r="X19" s="18">
        <f t="shared" si="10"/>
        <v>2526315.789473684</v>
      </c>
      <c r="Y19" s="18">
        <f t="shared" si="11"/>
        <v>2526315.789473684</v>
      </c>
      <c r="Z19" s="18">
        <f t="shared" si="12"/>
        <v>2526315.789473684</v>
      </c>
      <c r="AA19" s="18">
        <f t="shared" si="13"/>
        <v>2526315.789473684</v>
      </c>
      <c r="AB19" s="18">
        <f t="shared" si="14"/>
        <v>2526315.789473684</v>
      </c>
      <c r="AC19" s="18">
        <f t="shared" si="15"/>
        <v>2526315.789473684</v>
      </c>
      <c r="AD19" s="18">
        <f t="shared" si="16"/>
        <v>2526315.789473684</v>
      </c>
      <c r="AE19" s="18">
        <f t="shared" si="17"/>
        <v>2526315.789473684</v>
      </c>
      <c r="AF19" s="18">
        <f t="shared" si="18"/>
        <v>2526315.789473684</v>
      </c>
    </row>
    <row r="20" spans="4:32" x14ac:dyDescent="0.25">
      <c r="D20" s="9" t="s">
        <v>6</v>
      </c>
      <c r="E20" s="9" t="s">
        <v>90</v>
      </c>
      <c r="F20" s="15" t="s">
        <v>393</v>
      </c>
      <c r="G20" s="15" t="s">
        <v>186</v>
      </c>
      <c r="H20" s="40">
        <v>4.5</v>
      </c>
      <c r="I20" s="9" t="s">
        <v>22</v>
      </c>
      <c r="J20" s="15" t="s">
        <v>270</v>
      </c>
      <c r="K20" s="18">
        <f t="shared" si="19"/>
        <v>1.2865497076023393</v>
      </c>
      <c r="L20" s="18">
        <f t="shared" si="0"/>
        <v>1.2865497076023393</v>
      </c>
      <c r="M20" s="18">
        <f t="shared" si="1"/>
        <v>1.2865497076023393</v>
      </c>
      <c r="N20" s="18">
        <f t="shared" si="2"/>
        <v>1.2865497076023393</v>
      </c>
      <c r="O20" s="18">
        <f t="shared" si="3"/>
        <v>1.2865497076023393</v>
      </c>
      <c r="P20" s="18">
        <f t="shared" si="4"/>
        <v>1.2865497076023393</v>
      </c>
      <c r="Q20" s="18">
        <f t="shared" si="5"/>
        <v>1.2865497076023393</v>
      </c>
      <c r="R20" s="18">
        <f t="shared" si="6"/>
        <v>1.2865497076023393</v>
      </c>
      <c r="S20" s="18">
        <f t="shared" si="7"/>
        <v>1.2865497076023393</v>
      </c>
      <c r="T20" s="18">
        <f t="shared" si="8"/>
        <v>1.2865497076023393</v>
      </c>
      <c r="U20" s="18">
        <f t="shared" si="9"/>
        <v>1.2865497076023393</v>
      </c>
      <c r="V20" s="18">
        <f>55*1000000/9.5</f>
        <v>5789473.6842105268</v>
      </c>
      <c r="W20" s="18">
        <f t="shared" si="20"/>
        <v>5789473.6842105268</v>
      </c>
      <c r="X20" s="18">
        <f t="shared" si="10"/>
        <v>5789473.6842105268</v>
      </c>
      <c r="Y20" s="18">
        <f t="shared" si="11"/>
        <v>5789473.6842105268</v>
      </c>
      <c r="Z20" s="18">
        <f t="shared" si="12"/>
        <v>5789473.6842105268</v>
      </c>
      <c r="AA20" s="18">
        <f t="shared" si="13"/>
        <v>5789473.6842105268</v>
      </c>
      <c r="AB20" s="18">
        <f t="shared" si="14"/>
        <v>5789473.6842105268</v>
      </c>
      <c r="AC20" s="18">
        <f t="shared" si="15"/>
        <v>5789473.6842105268</v>
      </c>
      <c r="AD20" s="18">
        <f t="shared" si="16"/>
        <v>5789473.6842105268</v>
      </c>
      <c r="AE20" s="18">
        <f t="shared" si="17"/>
        <v>5789473.6842105268</v>
      </c>
      <c r="AF20" s="18">
        <f t="shared" si="18"/>
        <v>5789473.6842105268</v>
      </c>
    </row>
    <row r="21" spans="4:32" x14ac:dyDescent="0.25">
      <c r="D21" s="9" t="s">
        <v>9</v>
      </c>
      <c r="E21" s="9" t="s">
        <v>90</v>
      </c>
      <c r="F21" s="15" t="s">
        <v>393</v>
      </c>
      <c r="G21" s="15" t="s">
        <v>186</v>
      </c>
      <c r="H21" s="15">
        <v>3</v>
      </c>
      <c r="I21" s="9" t="s">
        <v>22</v>
      </c>
      <c r="J21" s="15" t="s">
        <v>270</v>
      </c>
      <c r="K21" s="18">
        <f t="shared" si="19"/>
        <v>1.6140350877192982</v>
      </c>
      <c r="L21" s="18">
        <f t="shared" si="0"/>
        <v>1.6140350877192982</v>
      </c>
      <c r="M21" s="18">
        <f t="shared" si="1"/>
        <v>1.6140350877192982</v>
      </c>
      <c r="N21" s="18">
        <f t="shared" si="2"/>
        <v>1.6140350877192982</v>
      </c>
      <c r="O21" s="18">
        <f t="shared" si="3"/>
        <v>1.6140350877192982</v>
      </c>
      <c r="P21" s="18">
        <f t="shared" si="4"/>
        <v>1.6140350877192982</v>
      </c>
      <c r="Q21" s="18">
        <f t="shared" si="5"/>
        <v>1.6140350877192982</v>
      </c>
      <c r="R21" s="18">
        <f t="shared" si="6"/>
        <v>1.6140350877192982</v>
      </c>
      <c r="S21" s="18">
        <f t="shared" si="7"/>
        <v>1.6140350877192982</v>
      </c>
      <c r="T21" s="18">
        <f t="shared" si="8"/>
        <v>1.6140350877192982</v>
      </c>
      <c r="U21" s="18">
        <f t="shared" si="9"/>
        <v>1.6140350877192982</v>
      </c>
      <c r="V21" s="18">
        <f>46*1000000/9.5</f>
        <v>4842105.2631578948</v>
      </c>
      <c r="W21" s="18">
        <f>V21</f>
        <v>4842105.2631578948</v>
      </c>
      <c r="X21" s="18">
        <f t="shared" si="10"/>
        <v>4842105.2631578948</v>
      </c>
      <c r="Y21" s="18">
        <f t="shared" si="11"/>
        <v>4842105.2631578948</v>
      </c>
      <c r="Z21" s="18">
        <f t="shared" si="12"/>
        <v>4842105.2631578948</v>
      </c>
      <c r="AA21" s="18">
        <f t="shared" si="13"/>
        <v>4842105.2631578948</v>
      </c>
      <c r="AB21" s="18">
        <f t="shared" si="14"/>
        <v>4842105.2631578948</v>
      </c>
      <c r="AC21" s="18">
        <f t="shared" si="15"/>
        <v>4842105.2631578948</v>
      </c>
      <c r="AD21" s="18">
        <f t="shared" si="16"/>
        <v>4842105.2631578948</v>
      </c>
      <c r="AE21" s="18">
        <f t="shared" si="17"/>
        <v>4842105.2631578948</v>
      </c>
      <c r="AF21" s="18">
        <f t="shared" si="18"/>
        <v>4842105.2631578948</v>
      </c>
    </row>
    <row r="22" spans="4:32" x14ac:dyDescent="0.25">
      <c r="D22" s="9" t="s">
        <v>9</v>
      </c>
      <c r="E22" s="9" t="s">
        <v>3</v>
      </c>
      <c r="F22" s="15" t="s">
        <v>393</v>
      </c>
      <c r="G22" s="15" t="s">
        <v>186</v>
      </c>
      <c r="H22" s="15">
        <v>6</v>
      </c>
      <c r="I22" s="9" t="s">
        <v>22</v>
      </c>
      <c r="J22" s="15" t="s">
        <v>270</v>
      </c>
      <c r="K22" s="18">
        <f t="shared" si="19"/>
        <v>1.3157894736842104</v>
      </c>
      <c r="L22" s="18">
        <f t="shared" si="0"/>
        <v>1.3157894736842104</v>
      </c>
      <c r="M22" s="18">
        <f t="shared" si="1"/>
        <v>1.3157894736842104</v>
      </c>
      <c r="N22" s="18">
        <f t="shared" si="2"/>
        <v>1.3157894736842104</v>
      </c>
      <c r="O22" s="18">
        <f t="shared" si="3"/>
        <v>1.3157894736842104</v>
      </c>
      <c r="P22" s="18">
        <f t="shared" si="4"/>
        <v>1.3157894736842104</v>
      </c>
      <c r="Q22" s="18">
        <f t="shared" si="5"/>
        <v>1.3157894736842104</v>
      </c>
      <c r="R22" s="18">
        <f t="shared" si="6"/>
        <v>1.3157894736842104</v>
      </c>
      <c r="S22" s="18">
        <f t="shared" si="7"/>
        <v>1.3157894736842104</v>
      </c>
      <c r="T22" s="18">
        <f t="shared" si="8"/>
        <v>1.3157894736842104</v>
      </c>
      <c r="U22" s="18">
        <f t="shared" si="9"/>
        <v>1.3157894736842104</v>
      </c>
      <c r="V22" s="18">
        <f>75*1000000/9.5</f>
        <v>7894736.8421052629</v>
      </c>
      <c r="W22" s="18">
        <f>V22</f>
        <v>7894736.8421052629</v>
      </c>
      <c r="X22" s="18">
        <f t="shared" si="10"/>
        <v>7894736.8421052629</v>
      </c>
      <c r="Y22" s="18">
        <f t="shared" si="11"/>
        <v>7894736.8421052629</v>
      </c>
      <c r="Z22" s="18">
        <f t="shared" si="12"/>
        <v>7894736.8421052629</v>
      </c>
      <c r="AA22" s="18">
        <f t="shared" si="13"/>
        <v>7894736.8421052629</v>
      </c>
      <c r="AB22" s="18">
        <f t="shared" si="14"/>
        <v>7894736.8421052629</v>
      </c>
      <c r="AC22" s="18">
        <f t="shared" si="15"/>
        <v>7894736.8421052629</v>
      </c>
      <c r="AD22" s="18">
        <f t="shared" si="16"/>
        <v>7894736.8421052629</v>
      </c>
      <c r="AE22" s="18">
        <f t="shared" si="17"/>
        <v>7894736.8421052629</v>
      </c>
      <c r="AF22" s="18">
        <f t="shared" si="18"/>
        <v>7894736.8421052629</v>
      </c>
    </row>
    <row r="23" spans="4:32" x14ac:dyDescent="0.25">
      <c r="D23" s="9" t="s">
        <v>9</v>
      </c>
      <c r="E23" s="9" t="s">
        <v>3</v>
      </c>
      <c r="F23" s="15" t="s">
        <v>393</v>
      </c>
      <c r="G23" s="15" t="s">
        <v>186</v>
      </c>
      <c r="H23" s="15">
        <v>9</v>
      </c>
      <c r="I23" s="9" t="s">
        <v>22</v>
      </c>
      <c r="J23" s="15" t="s">
        <v>270</v>
      </c>
      <c r="K23" s="18">
        <f t="shared" si="19"/>
        <v>1.3567251461988306</v>
      </c>
      <c r="L23" s="18">
        <f t="shared" si="0"/>
        <v>1.3567251461988306</v>
      </c>
      <c r="M23" s="18">
        <f t="shared" si="1"/>
        <v>1.3567251461988306</v>
      </c>
      <c r="N23" s="18">
        <f t="shared" si="2"/>
        <v>1.3567251461988306</v>
      </c>
      <c r="O23" s="18">
        <f t="shared" si="3"/>
        <v>1.3567251461988306</v>
      </c>
      <c r="P23" s="18">
        <f t="shared" si="4"/>
        <v>1.3567251461988306</v>
      </c>
      <c r="Q23" s="18">
        <f t="shared" si="5"/>
        <v>1.3567251461988306</v>
      </c>
      <c r="R23" s="18">
        <f t="shared" si="6"/>
        <v>1.3567251461988306</v>
      </c>
      <c r="S23" s="18">
        <f t="shared" si="7"/>
        <v>1.3567251461988306</v>
      </c>
      <c r="T23" s="18">
        <f t="shared" si="8"/>
        <v>1.3567251461988306</v>
      </c>
      <c r="U23" s="18">
        <f t="shared" si="9"/>
        <v>1.3567251461988306</v>
      </c>
      <c r="V23" s="18">
        <f>116*1000000/9.5</f>
        <v>12210526.315789474</v>
      </c>
      <c r="W23" s="18">
        <f>V23</f>
        <v>12210526.315789474</v>
      </c>
      <c r="X23" s="18">
        <f t="shared" si="10"/>
        <v>12210526.315789474</v>
      </c>
      <c r="Y23" s="18">
        <f t="shared" si="11"/>
        <v>12210526.315789474</v>
      </c>
      <c r="Z23" s="18">
        <f t="shared" si="12"/>
        <v>12210526.315789474</v>
      </c>
      <c r="AA23" s="18">
        <f t="shared" si="13"/>
        <v>12210526.315789474</v>
      </c>
      <c r="AB23" s="18">
        <f t="shared" si="14"/>
        <v>12210526.315789474</v>
      </c>
      <c r="AC23" s="18">
        <f t="shared" si="15"/>
        <v>12210526.315789474</v>
      </c>
      <c r="AD23" s="18">
        <f t="shared" si="16"/>
        <v>12210526.315789474</v>
      </c>
      <c r="AE23" s="18">
        <f t="shared" si="17"/>
        <v>12210526.315789474</v>
      </c>
      <c r="AF23" s="18">
        <f t="shared" si="18"/>
        <v>12210526.315789474</v>
      </c>
    </row>
    <row r="24" spans="4:32" s="151" customFormat="1" x14ac:dyDescent="0.25">
      <c r="D24" s="148" t="s">
        <v>3</v>
      </c>
      <c r="E24" s="148" t="s">
        <v>26</v>
      </c>
      <c r="F24" s="152" t="s">
        <v>256</v>
      </c>
      <c r="G24" s="152" t="s">
        <v>233</v>
      </c>
      <c r="H24" s="153">
        <v>2</v>
      </c>
      <c r="I24" s="148" t="s">
        <v>22</v>
      </c>
      <c r="J24" s="152" t="s">
        <v>270</v>
      </c>
      <c r="K24" s="149">
        <f t="shared" si="19"/>
        <v>1.5789473684210527</v>
      </c>
      <c r="L24" s="149">
        <f t="shared" si="0"/>
        <v>1.5789473684210527</v>
      </c>
      <c r="M24" s="149">
        <f t="shared" si="1"/>
        <v>1.5789473684210527</v>
      </c>
      <c r="N24" s="149">
        <f t="shared" si="2"/>
        <v>1.5789473684210527</v>
      </c>
      <c r="O24" s="149">
        <f t="shared" si="3"/>
        <v>1.5789473684210527</v>
      </c>
      <c r="P24" s="149">
        <f t="shared" si="4"/>
        <v>1.5789473684210527</v>
      </c>
      <c r="Q24" s="149">
        <f t="shared" si="5"/>
        <v>1.5789473684210527</v>
      </c>
      <c r="R24" s="149">
        <f t="shared" si="6"/>
        <v>1.5789473684210527</v>
      </c>
      <c r="S24" s="149">
        <f t="shared" si="7"/>
        <v>1.5789473684210527</v>
      </c>
      <c r="T24" s="149">
        <f t="shared" si="8"/>
        <v>1.5789473684210527</v>
      </c>
      <c r="U24" s="149">
        <f t="shared" si="9"/>
        <v>1.5789473684210527</v>
      </c>
      <c r="V24" s="149">
        <f>30*1000000/9.5</f>
        <v>3157894.7368421052</v>
      </c>
      <c r="W24" s="149">
        <f>V24</f>
        <v>3157894.7368421052</v>
      </c>
      <c r="X24" s="149">
        <f t="shared" si="10"/>
        <v>3157894.7368421052</v>
      </c>
      <c r="Y24" s="149">
        <f t="shared" si="11"/>
        <v>3157894.7368421052</v>
      </c>
      <c r="Z24" s="149">
        <f t="shared" si="12"/>
        <v>3157894.7368421052</v>
      </c>
      <c r="AA24" s="149">
        <f t="shared" si="13"/>
        <v>3157894.7368421052</v>
      </c>
      <c r="AB24" s="149">
        <f t="shared" si="14"/>
        <v>3157894.7368421052</v>
      </c>
      <c r="AC24" s="149">
        <f t="shared" si="15"/>
        <v>3157894.7368421052</v>
      </c>
      <c r="AD24" s="149">
        <f t="shared" si="16"/>
        <v>3157894.7368421052</v>
      </c>
      <c r="AE24" s="149">
        <f t="shared" si="17"/>
        <v>3157894.7368421052</v>
      </c>
      <c r="AF24" s="149">
        <f t="shared" si="18"/>
        <v>3157894.7368421052</v>
      </c>
    </row>
    <row r="25" spans="4:32" x14ac:dyDescent="0.25">
      <c r="D25" s="9"/>
      <c r="E25" s="9"/>
      <c r="F25" s="15"/>
      <c r="G25" s="15"/>
      <c r="H25" s="15"/>
      <c r="I25" s="9"/>
      <c r="J25" s="15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32" x14ac:dyDescent="0.25">
      <c r="D26" s="9"/>
      <c r="E26" s="9"/>
      <c r="F26" s="15"/>
      <c r="G26" s="15"/>
      <c r="H26" s="15"/>
      <c r="I26" s="9"/>
      <c r="J26" s="15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32" x14ac:dyDescent="0.25">
      <c r="D27" s="9"/>
      <c r="E27" s="9"/>
      <c r="F27" s="15"/>
      <c r="G27" s="15"/>
      <c r="H27" s="15"/>
      <c r="I27" s="9"/>
      <c r="J27" s="15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32" x14ac:dyDescent="0.25">
      <c r="D28" s="9"/>
      <c r="E28" s="9"/>
      <c r="F28" s="15"/>
      <c r="G28" s="15"/>
      <c r="H28" s="15"/>
      <c r="I28" s="9"/>
      <c r="J28" s="15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32" x14ac:dyDescent="0.25">
      <c r="D29" s="9"/>
      <c r="E29" s="9"/>
      <c r="F29" s="15"/>
      <c r="G29" s="15"/>
      <c r="H29" s="15"/>
      <c r="I29" s="9"/>
      <c r="J29" s="15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32" x14ac:dyDescent="0.25">
      <c r="D30" s="9"/>
      <c r="E30" s="9"/>
      <c r="F30" s="15"/>
      <c r="G30" s="15"/>
      <c r="H30" s="15"/>
      <c r="I30" s="9"/>
      <c r="J30" s="15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32" x14ac:dyDescent="0.25">
      <c r="D31" s="9"/>
      <c r="E31" s="9"/>
      <c r="F31" s="15"/>
      <c r="G31" s="15"/>
      <c r="H31" s="15"/>
      <c r="I31" s="9"/>
      <c r="J31" s="15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32" x14ac:dyDescent="0.25">
      <c r="D32" s="9"/>
      <c r="E32" s="9"/>
      <c r="F32" s="15"/>
      <c r="G32" s="15"/>
      <c r="H32" s="15"/>
      <c r="I32" s="9"/>
      <c r="J32" s="15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25">
      <c r="D33" s="9"/>
      <c r="E33" s="9"/>
      <c r="F33" s="15"/>
      <c r="G33" s="15"/>
      <c r="H33" s="15"/>
      <c r="I33" s="9"/>
      <c r="J33" s="15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25">
      <c r="D34" s="9"/>
      <c r="E34" s="9"/>
      <c r="F34" s="15"/>
      <c r="G34" s="15"/>
      <c r="H34" s="15"/>
      <c r="I34" s="9"/>
      <c r="J34" s="15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25">
      <c r="D35" s="9"/>
      <c r="E35" s="9"/>
      <c r="F35" s="15"/>
      <c r="G35" s="15"/>
      <c r="H35" s="15"/>
      <c r="I35" s="9"/>
      <c r="J35" s="15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25">
      <c r="D36" s="9"/>
      <c r="E36" s="9"/>
      <c r="F36" s="15"/>
      <c r="G36" s="15"/>
      <c r="H36" s="15"/>
      <c r="I36" s="9"/>
      <c r="J36" s="15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25">
      <c r="D37" s="9"/>
      <c r="E37" s="9"/>
      <c r="F37" s="15"/>
      <c r="G37" s="15"/>
      <c r="H37" s="15"/>
      <c r="I37" s="9"/>
      <c r="J37" s="15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25">
      <c r="D38" s="9"/>
      <c r="E38" s="9"/>
      <c r="F38" s="15"/>
      <c r="G38" s="15"/>
      <c r="H38" s="15"/>
      <c r="I38" s="9"/>
      <c r="J38" s="15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25">
      <c r="D39" s="9"/>
      <c r="E39" s="9"/>
      <c r="F39" s="15"/>
      <c r="G39" s="15"/>
      <c r="H39" s="15"/>
      <c r="I39" s="9"/>
      <c r="J39" s="15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25">
      <c r="D40" s="9"/>
      <c r="E40" s="9"/>
      <c r="F40" s="15"/>
      <c r="G40" s="15"/>
      <c r="H40" s="15"/>
      <c r="I40" s="9"/>
      <c r="J40" s="15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25">
      <c r="D41" s="9"/>
      <c r="E41" s="9"/>
      <c r="F41" s="15"/>
      <c r="G41" s="15"/>
      <c r="H41" s="15"/>
      <c r="I41" s="9"/>
      <c r="J41" s="15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25">
      <c r="D42" s="9"/>
      <c r="E42" s="9"/>
      <c r="F42" s="15"/>
      <c r="G42" s="15"/>
      <c r="H42" s="15"/>
      <c r="I42" s="9"/>
      <c r="J42" s="15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25">
      <c r="D43" s="9"/>
      <c r="E43" s="9"/>
      <c r="F43" s="15"/>
      <c r="G43" s="15"/>
      <c r="H43" s="15"/>
      <c r="I43" s="9"/>
      <c r="J43" s="15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25">
      <c r="D44" s="9"/>
      <c r="E44" s="9"/>
      <c r="F44" s="15"/>
      <c r="G44" s="15"/>
      <c r="H44" s="15"/>
      <c r="I44" s="9"/>
      <c r="J44" s="15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25">
      <c r="D45" s="9"/>
      <c r="E45" s="9"/>
      <c r="F45" s="15"/>
      <c r="G45" s="15"/>
      <c r="H45" s="15"/>
      <c r="I45" s="9"/>
      <c r="J45" s="15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25">
      <c r="D46" s="9"/>
      <c r="E46" s="9"/>
      <c r="F46" s="15"/>
      <c r="G46" s="15"/>
      <c r="H46" s="15"/>
      <c r="I46" s="9"/>
      <c r="J46" s="15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25">
      <c r="D47" s="9"/>
      <c r="E47" s="9"/>
      <c r="F47" s="15"/>
      <c r="G47" s="15"/>
      <c r="H47" s="15"/>
      <c r="I47" s="9"/>
      <c r="J47" s="15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25">
      <c r="D48" s="9"/>
      <c r="E48" s="9"/>
      <c r="F48" s="15"/>
      <c r="G48" s="15"/>
      <c r="H48" s="15"/>
      <c r="I48" s="9"/>
      <c r="J48" s="15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25">
      <c r="D49" s="9"/>
      <c r="E49" s="9"/>
      <c r="F49" s="15"/>
      <c r="G49" s="15"/>
      <c r="H49" s="15"/>
      <c r="I49" s="9"/>
      <c r="J49" s="15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</row>
    <row r="50" spans="4:21" x14ac:dyDescent="0.25">
      <c r="D50" s="9"/>
      <c r="E50" s="9"/>
      <c r="F50" s="15"/>
      <c r="G50" s="15"/>
      <c r="H50" s="15"/>
      <c r="I50" s="9"/>
      <c r="J50" s="15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</row>
    <row r="51" spans="4:21" x14ac:dyDescent="0.25">
      <c r="D51" s="9"/>
      <c r="E51" s="9"/>
      <c r="F51" s="15"/>
      <c r="G51" s="15"/>
      <c r="H51" s="15"/>
      <c r="I51" s="9"/>
      <c r="J51" s="15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4:21" x14ac:dyDescent="0.25">
      <c r="D52" s="9"/>
      <c r="E52" s="9"/>
      <c r="F52" s="15"/>
      <c r="G52" s="15"/>
      <c r="H52" s="15"/>
      <c r="I52" s="9"/>
      <c r="J52" s="15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4:21" x14ac:dyDescent="0.25">
      <c r="D53" s="9"/>
      <c r="E53" s="9"/>
      <c r="F53" s="15"/>
      <c r="G53" s="15"/>
      <c r="H53" s="15"/>
      <c r="I53" s="9"/>
      <c r="J53" s="15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4:21" x14ac:dyDescent="0.25">
      <c r="D54" s="9"/>
      <c r="E54" s="9"/>
      <c r="F54" s="15"/>
      <c r="G54" s="15"/>
      <c r="H54" s="15"/>
      <c r="I54" s="9"/>
      <c r="J54" s="15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4:21" x14ac:dyDescent="0.25">
      <c r="D55" s="9"/>
      <c r="E55" s="9"/>
      <c r="F55" s="15"/>
      <c r="G55" s="15"/>
      <c r="H55" s="15"/>
      <c r="I55" s="9"/>
      <c r="J55" s="15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4:21" x14ac:dyDescent="0.25">
      <c r="D56" s="9"/>
      <c r="E56" s="9"/>
      <c r="F56" s="15"/>
      <c r="G56" s="15"/>
      <c r="H56" s="15"/>
      <c r="I56" s="9"/>
      <c r="J56" s="15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4:21" x14ac:dyDescent="0.25">
      <c r="D57" s="9"/>
      <c r="E57" s="9"/>
      <c r="F57" s="15"/>
      <c r="G57" s="15"/>
      <c r="H57" s="15"/>
      <c r="I57" s="9"/>
      <c r="J57" s="15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4:21" x14ac:dyDescent="0.25">
      <c r="D58" s="9"/>
      <c r="E58" s="9"/>
      <c r="F58" s="15"/>
      <c r="G58" s="15"/>
      <c r="H58" s="15"/>
      <c r="I58" s="9"/>
      <c r="J58" s="15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4:21" x14ac:dyDescent="0.25">
      <c r="D59" s="9"/>
      <c r="E59" s="9"/>
      <c r="F59" s="15"/>
      <c r="G59" s="15"/>
      <c r="H59" s="15"/>
      <c r="I59" s="9"/>
      <c r="J59" s="15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4:21" x14ac:dyDescent="0.25">
      <c r="D60" s="9"/>
      <c r="E60" s="9"/>
      <c r="F60" s="15"/>
      <c r="G60" s="15"/>
      <c r="H60" s="15"/>
      <c r="I60" s="9"/>
      <c r="J60" s="15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4:21" x14ac:dyDescent="0.25">
      <c r="D61" s="9"/>
      <c r="E61" s="9"/>
      <c r="F61" s="15"/>
      <c r="G61" s="15"/>
      <c r="H61" s="15"/>
      <c r="I61" s="9"/>
      <c r="J61" s="15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4:21" x14ac:dyDescent="0.25">
      <c r="D62" s="9"/>
      <c r="E62" s="9"/>
      <c r="F62" s="15"/>
      <c r="G62" s="15"/>
      <c r="H62" s="15"/>
      <c r="I62" s="9"/>
      <c r="J62" s="15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4:21" x14ac:dyDescent="0.25">
      <c r="D63" s="9"/>
      <c r="E63" s="9"/>
      <c r="F63" s="15"/>
      <c r="G63" s="15"/>
      <c r="H63" s="15"/>
      <c r="I63" s="9"/>
      <c r="J63" s="15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4:21" x14ac:dyDescent="0.25">
      <c r="D64" s="9"/>
      <c r="E64" s="9"/>
      <c r="F64" s="15"/>
      <c r="G64" s="15"/>
      <c r="H64" s="15"/>
      <c r="I64" s="9"/>
      <c r="J64" s="15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4:21" x14ac:dyDescent="0.25">
      <c r="D65" s="9"/>
      <c r="E65" s="9"/>
      <c r="F65" s="15"/>
      <c r="G65" s="15"/>
      <c r="H65" s="15"/>
      <c r="I65" s="9"/>
      <c r="J65" s="15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4:21" x14ac:dyDescent="0.25">
      <c r="D66" s="9"/>
      <c r="E66" s="9"/>
      <c r="F66" s="15"/>
      <c r="G66" s="15"/>
      <c r="H66" s="15"/>
      <c r="I66" s="9"/>
      <c r="J66" s="15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4:21" x14ac:dyDescent="0.25">
      <c r="D67" s="9"/>
      <c r="E67" s="9"/>
      <c r="F67" s="15"/>
      <c r="G67" s="15"/>
      <c r="H67" s="15"/>
      <c r="I67" s="9"/>
      <c r="J67" s="15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4:21" x14ac:dyDescent="0.25">
      <c r="D68" s="9"/>
      <c r="E68" s="9"/>
      <c r="F68" s="15"/>
      <c r="G68" s="15"/>
      <c r="H68" s="15"/>
      <c r="I68" s="9"/>
      <c r="J68" s="15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4:21" x14ac:dyDescent="0.25">
      <c r="D69" s="9"/>
      <c r="E69" s="9"/>
      <c r="F69" s="15"/>
      <c r="G69" s="15"/>
      <c r="H69" s="15"/>
      <c r="I69" s="9"/>
      <c r="J69" s="15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4:21" x14ac:dyDescent="0.25">
      <c r="D70" s="9"/>
      <c r="E70" s="9"/>
      <c r="F70" s="15"/>
      <c r="G70" s="15"/>
      <c r="H70" s="15"/>
      <c r="I70" s="9"/>
      <c r="J70" s="15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4:21" x14ac:dyDescent="0.25">
      <c r="D71" s="9"/>
      <c r="E71" s="9"/>
      <c r="F71" s="15"/>
      <c r="G71" s="15"/>
      <c r="H71" s="15"/>
      <c r="I71" s="9"/>
      <c r="J71" s="15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4:21" ht="15.75" thickBot="1" x14ac:dyDescent="0.3">
      <c r="D72" s="10"/>
      <c r="E72" s="10"/>
      <c r="F72" s="16"/>
      <c r="G72" s="16"/>
      <c r="H72" s="1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</row>
  </sheetData>
  <dataValidations count="4">
    <dataValidation type="list" allowBlank="1" showInputMessage="1" showErrorMessage="1" sqref="D5:E21 D24:E72">
      <formula1>Location</formula1>
    </dataValidation>
    <dataValidation type="list" allowBlank="1" showInputMessage="1" showErrorMessage="1" sqref="I5:I72">
      <formula1>OPEX</formula1>
    </dataValidation>
    <dataValidation type="list" allowBlank="1" showInputMessage="1" showErrorMessage="1" sqref="J5:J72">
      <formula1>Currency</formula1>
    </dataValidation>
    <dataValidation type="list" allowBlank="1" showInputMessage="1" showErrorMessage="1" sqref="F5:F7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&gt;&gt;&gt;'!$F$5:$F$40</xm:f>
          </x14:formula1>
          <xm:sqref>G5:G72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24"/>
  <sheetViews>
    <sheetView tabSelected="1" workbookViewId="0">
      <selection activeCell="A24" sqref="A24:XFD24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21" width="8.85546875" style="5" customWidth="1"/>
    <col min="22" max="16384" width="11.5703125" style="5"/>
  </cols>
  <sheetData>
    <row r="1" spans="2:21" s="88" customFormat="1" ht="24.95" customHeight="1" x14ac:dyDescent="0.25">
      <c r="B1" s="87" t="s">
        <v>268</v>
      </c>
    </row>
    <row r="3" spans="2:21" ht="15.75" thickBot="1" x14ac:dyDescent="0.3">
      <c r="D3" s="38" t="str">
        <f>JESA_UploadTable(B1, D4:U23,db)</f>
        <v>Logistics capex @16:45:53</v>
      </c>
    </row>
    <row r="4" spans="2:21" ht="30" customHeight="1" thickBot="1" x14ac:dyDescent="0.3">
      <c r="D4" s="89" t="s">
        <v>263</v>
      </c>
      <c r="E4" s="89" t="s">
        <v>264</v>
      </c>
      <c r="F4" s="89" t="s">
        <v>265</v>
      </c>
      <c r="G4" s="89" t="s">
        <v>24</v>
      </c>
      <c r="H4" s="89" t="s">
        <v>266</v>
      </c>
      <c r="I4" s="89" t="s">
        <v>12</v>
      </c>
      <c r="J4" s="89" t="s">
        <v>17</v>
      </c>
      <c r="K4" s="89" t="s">
        <v>145</v>
      </c>
      <c r="L4" s="90" t="s">
        <v>71</v>
      </c>
      <c r="M4" s="90" t="s">
        <v>72</v>
      </c>
      <c r="N4" s="90" t="s">
        <v>73</v>
      </c>
      <c r="O4" s="90" t="s">
        <v>74</v>
      </c>
      <c r="P4" s="90" t="s">
        <v>75</v>
      </c>
      <c r="Q4" s="90" t="s">
        <v>358</v>
      </c>
      <c r="R4" s="90" t="s">
        <v>76</v>
      </c>
      <c r="S4" s="90" t="s">
        <v>77</v>
      </c>
      <c r="T4" s="90" t="s">
        <v>78</v>
      </c>
      <c r="U4" s="90" t="s">
        <v>79</v>
      </c>
    </row>
    <row r="5" spans="2:21" ht="15.75" thickBot="1" x14ac:dyDescent="0.3">
      <c r="D5" s="9" t="s">
        <v>4</v>
      </c>
      <c r="E5" s="9" t="s">
        <v>9</v>
      </c>
      <c r="F5" s="15" t="s">
        <v>256</v>
      </c>
      <c r="G5" s="15" t="s">
        <v>186</v>
      </c>
      <c r="H5" s="15">
        <v>5</v>
      </c>
      <c r="I5" s="8" t="s">
        <v>22</v>
      </c>
      <c r="J5" s="14" t="s">
        <v>371</v>
      </c>
      <c r="K5" s="18">
        <f>565*1000000/9.5</f>
        <v>59473684.210526317</v>
      </c>
      <c r="L5" s="17"/>
      <c r="M5" s="17"/>
      <c r="N5" s="26">
        <v>0.2</v>
      </c>
      <c r="O5" s="26">
        <v>0.4</v>
      </c>
      <c r="P5" s="26">
        <v>0.3</v>
      </c>
      <c r="Q5" s="26">
        <v>0.1</v>
      </c>
      <c r="R5" s="17"/>
      <c r="S5" s="17"/>
      <c r="T5" s="17"/>
      <c r="U5" s="17"/>
    </row>
    <row r="6" spans="2:21" ht="15.75" thickBot="1" x14ac:dyDescent="0.3">
      <c r="D6" s="9" t="s">
        <v>4</v>
      </c>
      <c r="E6" s="9" t="s">
        <v>9</v>
      </c>
      <c r="F6" s="15" t="s">
        <v>256</v>
      </c>
      <c r="G6" s="15" t="s">
        <v>186</v>
      </c>
      <c r="H6" s="15">
        <v>10</v>
      </c>
      <c r="I6" s="9" t="s">
        <v>22</v>
      </c>
      <c r="J6" s="15" t="s">
        <v>371</v>
      </c>
      <c r="K6" s="18">
        <f>760*1000000/9.5</f>
        <v>80000000</v>
      </c>
      <c r="L6" s="18"/>
      <c r="M6" s="18"/>
      <c r="N6" s="26">
        <v>0.2</v>
      </c>
      <c r="O6" s="26">
        <v>0.4</v>
      </c>
      <c r="P6" s="26">
        <v>0.3</v>
      </c>
      <c r="Q6" s="26">
        <v>0.1</v>
      </c>
      <c r="R6" s="18"/>
      <c r="S6" s="18"/>
      <c r="T6" s="18"/>
      <c r="U6" s="18"/>
    </row>
    <row r="7" spans="2:21" ht="15.75" thickBot="1" x14ac:dyDescent="0.3">
      <c r="D7" s="9" t="s">
        <v>10</v>
      </c>
      <c r="E7" s="9" t="s">
        <v>9</v>
      </c>
      <c r="F7" s="15" t="s">
        <v>256</v>
      </c>
      <c r="G7" s="15" t="s">
        <v>186</v>
      </c>
      <c r="H7" s="40">
        <v>5.5</v>
      </c>
      <c r="I7" s="9" t="s">
        <v>22</v>
      </c>
      <c r="J7" s="15" t="s">
        <v>371</v>
      </c>
      <c r="K7" s="18">
        <f>390*1000000/9.5</f>
        <v>41052631.578947365</v>
      </c>
      <c r="L7" s="18"/>
      <c r="M7" s="18"/>
      <c r="N7" s="26">
        <v>0.2</v>
      </c>
      <c r="O7" s="26">
        <v>0.4</v>
      </c>
      <c r="P7" s="26">
        <v>0.3</v>
      </c>
      <c r="Q7" s="26">
        <v>0.1</v>
      </c>
      <c r="R7" s="18"/>
      <c r="S7" s="18"/>
      <c r="T7" s="18"/>
      <c r="U7" s="18"/>
    </row>
    <row r="8" spans="2:21" ht="15.75" thickBot="1" x14ac:dyDescent="0.3">
      <c r="D8" s="9" t="s">
        <v>9</v>
      </c>
      <c r="E8" s="9" t="s">
        <v>90</v>
      </c>
      <c r="F8" s="15" t="s">
        <v>256</v>
      </c>
      <c r="G8" s="15" t="s">
        <v>186</v>
      </c>
      <c r="H8" s="15">
        <v>3</v>
      </c>
      <c r="I8" s="9" t="s">
        <v>22</v>
      </c>
      <c r="J8" s="15" t="s">
        <v>371</v>
      </c>
      <c r="K8" s="18">
        <f>875*1000000/9.5</f>
        <v>92105263.157894731</v>
      </c>
      <c r="L8" s="18"/>
      <c r="M8" s="18"/>
      <c r="N8" s="26">
        <v>0.2</v>
      </c>
      <c r="O8" s="26">
        <v>0.4</v>
      </c>
      <c r="P8" s="26">
        <v>0.3</v>
      </c>
      <c r="Q8" s="26">
        <v>0.1</v>
      </c>
      <c r="R8" s="18"/>
      <c r="S8" s="18"/>
      <c r="T8" s="18"/>
      <c r="U8" s="18"/>
    </row>
    <row r="9" spans="2:21" ht="15.75" thickBot="1" x14ac:dyDescent="0.3">
      <c r="D9" s="9" t="s">
        <v>9</v>
      </c>
      <c r="E9" s="9" t="s">
        <v>3</v>
      </c>
      <c r="F9" s="15" t="s">
        <v>256</v>
      </c>
      <c r="G9" s="15" t="s">
        <v>186</v>
      </c>
      <c r="H9" s="15">
        <v>6.23</v>
      </c>
      <c r="I9" s="9" t="s">
        <v>22</v>
      </c>
      <c r="J9" s="15" t="s">
        <v>371</v>
      </c>
      <c r="K9" s="18">
        <f>1000*1000000/9.5</f>
        <v>105263157.89473684</v>
      </c>
      <c r="L9" s="18"/>
      <c r="M9" s="18"/>
      <c r="N9" s="26">
        <v>0.2</v>
      </c>
      <c r="O9" s="26">
        <v>0.4</v>
      </c>
      <c r="P9" s="26">
        <v>0.3</v>
      </c>
      <c r="Q9" s="26">
        <v>0.1</v>
      </c>
      <c r="R9" s="18"/>
      <c r="S9" s="18"/>
      <c r="T9" s="18"/>
      <c r="U9" s="18"/>
    </row>
    <row r="10" spans="2:21" ht="15.75" thickBot="1" x14ac:dyDescent="0.3">
      <c r="D10" s="9" t="s">
        <v>9</v>
      </c>
      <c r="E10" s="9" t="s">
        <v>3</v>
      </c>
      <c r="F10" s="15" t="s">
        <v>256</v>
      </c>
      <c r="G10" s="15" t="s">
        <v>186</v>
      </c>
      <c r="H10" s="15">
        <v>9</v>
      </c>
      <c r="I10" s="9" t="s">
        <v>22</v>
      </c>
      <c r="J10" s="15" t="s">
        <v>371</v>
      </c>
      <c r="K10" s="18">
        <f>1200*1000000/9.5</f>
        <v>126315789.47368421</v>
      </c>
      <c r="L10" s="18"/>
      <c r="M10" s="18"/>
      <c r="N10" s="26">
        <v>0.2</v>
      </c>
      <c r="O10" s="26">
        <v>0.4</v>
      </c>
      <c r="P10" s="26">
        <v>0.3</v>
      </c>
      <c r="Q10" s="26">
        <v>0.1</v>
      </c>
      <c r="R10" s="18"/>
      <c r="S10" s="18"/>
      <c r="T10" s="18"/>
      <c r="U10" s="18"/>
    </row>
    <row r="11" spans="2:21" ht="15.75" thickBot="1" x14ac:dyDescent="0.3">
      <c r="D11" s="9" t="s">
        <v>3</v>
      </c>
      <c r="E11" s="9" t="s">
        <v>26</v>
      </c>
      <c r="F11" s="15" t="s">
        <v>256</v>
      </c>
      <c r="G11" s="144" t="s">
        <v>233</v>
      </c>
      <c r="H11" s="40">
        <v>4</v>
      </c>
      <c r="I11" s="9" t="s">
        <v>22</v>
      </c>
      <c r="J11" s="15" t="s">
        <v>371</v>
      </c>
      <c r="K11" s="18">
        <f>1500*1000000/9.5</f>
        <v>157894736.84210527</v>
      </c>
      <c r="L11" s="18"/>
      <c r="M11" s="18"/>
      <c r="N11" s="26">
        <v>0.2</v>
      </c>
      <c r="O11" s="26">
        <v>0.4</v>
      </c>
      <c r="P11" s="26">
        <v>0.3</v>
      </c>
      <c r="Q11" s="26">
        <v>0.1</v>
      </c>
      <c r="R11" s="18"/>
      <c r="S11" s="18"/>
      <c r="T11" s="18"/>
      <c r="U11" s="18"/>
    </row>
    <row r="12" spans="2:21" ht="15.75" thickBot="1" x14ac:dyDescent="0.3">
      <c r="D12" s="9" t="s">
        <v>9</v>
      </c>
      <c r="E12" s="9" t="s">
        <v>90</v>
      </c>
      <c r="F12" s="15" t="s">
        <v>254</v>
      </c>
      <c r="G12" s="15" t="s">
        <v>186</v>
      </c>
      <c r="H12" s="15">
        <v>3</v>
      </c>
      <c r="I12" s="9" t="s">
        <v>22</v>
      </c>
      <c r="J12" s="15" t="s">
        <v>371</v>
      </c>
      <c r="K12" s="18">
        <v>0</v>
      </c>
      <c r="L12" s="18"/>
      <c r="M12" s="18"/>
      <c r="N12" s="26">
        <v>0.2</v>
      </c>
      <c r="O12" s="26">
        <v>0.4</v>
      </c>
      <c r="P12" s="26">
        <v>0.3</v>
      </c>
      <c r="Q12" s="26">
        <v>0.1</v>
      </c>
      <c r="R12" s="18"/>
      <c r="S12" s="18"/>
      <c r="T12" s="18"/>
      <c r="U12" s="18"/>
    </row>
    <row r="13" spans="2:21" ht="15.75" thickBot="1" x14ac:dyDescent="0.3">
      <c r="D13" s="9" t="s">
        <v>9</v>
      </c>
      <c r="E13" s="9" t="s">
        <v>90</v>
      </c>
      <c r="F13" s="15" t="s">
        <v>254</v>
      </c>
      <c r="G13" s="15" t="s">
        <v>186</v>
      </c>
      <c r="H13" s="15">
        <v>9</v>
      </c>
      <c r="I13" s="9" t="s">
        <v>22</v>
      </c>
      <c r="J13" s="15" t="s">
        <v>371</v>
      </c>
      <c r="K13" s="18">
        <v>0</v>
      </c>
      <c r="L13" s="18"/>
      <c r="M13" s="18"/>
      <c r="N13" s="26">
        <v>0.2</v>
      </c>
      <c r="O13" s="26">
        <v>0.4</v>
      </c>
      <c r="P13" s="26">
        <v>0.3</v>
      </c>
      <c r="Q13" s="26">
        <v>0.1</v>
      </c>
      <c r="R13" s="18"/>
      <c r="S13" s="18"/>
      <c r="T13" s="18"/>
      <c r="U13" s="18"/>
    </row>
    <row r="14" spans="2:21" ht="15.75" thickBot="1" x14ac:dyDescent="0.3">
      <c r="D14" s="9" t="s">
        <v>90</v>
      </c>
      <c r="E14" s="9" t="s">
        <v>26</v>
      </c>
      <c r="F14" s="15" t="s">
        <v>254</v>
      </c>
      <c r="G14" s="15" t="s">
        <v>186</v>
      </c>
      <c r="H14" s="15">
        <v>7</v>
      </c>
      <c r="I14" s="9" t="s">
        <v>22</v>
      </c>
      <c r="J14" s="15" t="s">
        <v>371</v>
      </c>
      <c r="K14" s="18">
        <v>0</v>
      </c>
      <c r="L14" s="18"/>
      <c r="M14" s="18"/>
      <c r="N14" s="26">
        <v>0.2</v>
      </c>
      <c r="O14" s="26">
        <v>0.4</v>
      </c>
      <c r="P14" s="26">
        <v>0.3</v>
      </c>
      <c r="Q14" s="26">
        <v>0.1</v>
      </c>
      <c r="R14" s="18"/>
      <c r="S14" s="18"/>
      <c r="T14" s="18"/>
      <c r="U14" s="18"/>
    </row>
    <row r="15" spans="2:21" ht="15.75" thickBot="1" x14ac:dyDescent="0.3">
      <c r="D15" s="9" t="s">
        <v>90</v>
      </c>
      <c r="E15" s="9" t="s">
        <v>26</v>
      </c>
      <c r="F15" s="15" t="s">
        <v>254</v>
      </c>
      <c r="G15" s="15" t="s">
        <v>186</v>
      </c>
      <c r="H15" s="15">
        <v>9</v>
      </c>
      <c r="I15" s="9" t="s">
        <v>22</v>
      </c>
      <c r="J15" s="15" t="s">
        <v>371</v>
      </c>
      <c r="K15" s="18">
        <v>0</v>
      </c>
      <c r="L15" s="18"/>
      <c r="M15" s="18"/>
      <c r="N15" s="26">
        <v>0.2</v>
      </c>
      <c r="O15" s="26">
        <v>0.4</v>
      </c>
      <c r="P15" s="26">
        <v>0.3</v>
      </c>
      <c r="Q15" s="26">
        <v>0.1</v>
      </c>
      <c r="R15" s="18"/>
      <c r="S15" s="18"/>
      <c r="T15" s="18"/>
      <c r="U15" s="18"/>
    </row>
    <row r="16" spans="2:21" ht="15.75" thickBot="1" x14ac:dyDescent="0.3">
      <c r="D16" s="9" t="s">
        <v>26</v>
      </c>
      <c r="E16" s="9" t="s">
        <v>3</v>
      </c>
      <c r="F16" s="15" t="s">
        <v>254</v>
      </c>
      <c r="G16" s="15" t="s">
        <v>34</v>
      </c>
      <c r="H16" s="15">
        <v>4</v>
      </c>
      <c r="I16" s="9" t="s">
        <v>22</v>
      </c>
      <c r="J16" s="15" t="s">
        <v>371</v>
      </c>
      <c r="K16" s="18">
        <v>0</v>
      </c>
      <c r="L16" s="18"/>
      <c r="M16" s="18"/>
      <c r="N16" s="26">
        <v>0.2</v>
      </c>
      <c r="O16" s="26">
        <v>0.4</v>
      </c>
      <c r="P16" s="26">
        <v>0.3</v>
      </c>
      <c r="Q16" s="26">
        <v>0.1</v>
      </c>
      <c r="R16" s="18"/>
      <c r="S16" s="18"/>
      <c r="T16" s="18"/>
      <c r="U16" s="18"/>
    </row>
    <row r="17" spans="4:21" ht="15.75" thickBot="1" x14ac:dyDescent="0.3">
      <c r="D17" s="9" t="s">
        <v>4</v>
      </c>
      <c r="E17" s="9" t="s">
        <v>9</v>
      </c>
      <c r="F17" s="15" t="s">
        <v>393</v>
      </c>
      <c r="G17" s="15" t="s">
        <v>186</v>
      </c>
      <c r="H17" s="15">
        <v>5</v>
      </c>
      <c r="I17" s="9" t="s">
        <v>22</v>
      </c>
      <c r="J17" s="15" t="s">
        <v>371</v>
      </c>
      <c r="K17" s="18">
        <f>460*1000000/9.5</f>
        <v>48421052.631578945</v>
      </c>
      <c r="L17" s="18"/>
      <c r="M17" s="18"/>
      <c r="N17" s="26">
        <v>0.2</v>
      </c>
      <c r="O17" s="26">
        <v>0.4</v>
      </c>
      <c r="P17" s="26">
        <v>0.3</v>
      </c>
      <c r="Q17" s="26">
        <v>0.1</v>
      </c>
      <c r="R17" s="18"/>
      <c r="S17" s="18"/>
      <c r="T17" s="18"/>
      <c r="U17" s="18"/>
    </row>
    <row r="18" spans="4:21" ht="15.75" thickBot="1" x14ac:dyDescent="0.3">
      <c r="D18" s="9" t="s">
        <v>4</v>
      </c>
      <c r="E18" s="9" t="s">
        <v>9</v>
      </c>
      <c r="F18" s="15" t="s">
        <v>393</v>
      </c>
      <c r="G18" s="15" t="s">
        <v>186</v>
      </c>
      <c r="H18" s="15">
        <v>10</v>
      </c>
      <c r="I18" s="9" t="s">
        <v>22</v>
      </c>
      <c r="J18" s="15" t="s">
        <v>371</v>
      </c>
      <c r="K18" s="18">
        <f>880*1000000/9.5</f>
        <v>92631578.947368428</v>
      </c>
      <c r="L18" s="18"/>
      <c r="M18" s="18"/>
      <c r="N18" s="26">
        <v>0.2</v>
      </c>
      <c r="O18" s="26">
        <v>0.4</v>
      </c>
      <c r="P18" s="26">
        <v>0.3</v>
      </c>
      <c r="Q18" s="26">
        <v>0.1</v>
      </c>
      <c r="R18" s="18"/>
      <c r="S18" s="18"/>
      <c r="T18" s="18"/>
      <c r="U18" s="18"/>
    </row>
    <row r="19" spans="4:21" ht="15.75" thickBot="1" x14ac:dyDescent="0.3">
      <c r="D19" s="9" t="s">
        <v>10</v>
      </c>
      <c r="E19" s="9" t="s">
        <v>9</v>
      </c>
      <c r="F19" s="15" t="s">
        <v>393</v>
      </c>
      <c r="G19" s="15" t="s">
        <v>186</v>
      </c>
      <c r="H19" s="40">
        <v>5.5</v>
      </c>
      <c r="I19" s="9" t="s">
        <v>22</v>
      </c>
      <c r="J19" s="15" t="s">
        <v>371</v>
      </c>
      <c r="K19" s="18">
        <f>360*1000000/9.5</f>
        <v>37894736.842105262</v>
      </c>
      <c r="L19" s="18"/>
      <c r="M19" s="18"/>
      <c r="N19" s="26">
        <v>0.2</v>
      </c>
      <c r="O19" s="26">
        <v>0.4</v>
      </c>
      <c r="P19" s="26">
        <v>0.3</v>
      </c>
      <c r="Q19" s="26">
        <v>0.1</v>
      </c>
      <c r="R19" s="18"/>
      <c r="S19" s="18"/>
      <c r="T19" s="18"/>
      <c r="U19" s="18"/>
    </row>
    <row r="20" spans="4:21" ht="15.75" thickBot="1" x14ac:dyDescent="0.3">
      <c r="D20" s="9" t="s">
        <v>6</v>
      </c>
      <c r="E20" s="9" t="s">
        <v>90</v>
      </c>
      <c r="F20" s="15" t="s">
        <v>393</v>
      </c>
      <c r="G20" s="15" t="s">
        <v>186</v>
      </c>
      <c r="H20" s="40">
        <v>4.5</v>
      </c>
      <c r="I20" s="9" t="s">
        <v>22</v>
      </c>
      <c r="J20" s="15" t="s">
        <v>371</v>
      </c>
      <c r="K20" s="18">
        <f>750*1000000/9.5</f>
        <v>78947368.421052635</v>
      </c>
      <c r="L20" s="18"/>
      <c r="M20" s="18"/>
      <c r="N20" s="26">
        <v>0.2</v>
      </c>
      <c r="O20" s="26">
        <v>0.4</v>
      </c>
      <c r="P20" s="26">
        <v>0.3</v>
      </c>
      <c r="Q20" s="26">
        <v>0.1</v>
      </c>
      <c r="R20" s="18"/>
      <c r="S20" s="18"/>
      <c r="T20" s="18"/>
      <c r="U20" s="18"/>
    </row>
    <row r="21" spans="4:21" ht="15.75" thickBot="1" x14ac:dyDescent="0.3">
      <c r="D21" s="9" t="s">
        <v>9</v>
      </c>
      <c r="E21" s="9" t="s">
        <v>90</v>
      </c>
      <c r="F21" s="15" t="s">
        <v>393</v>
      </c>
      <c r="G21" s="15" t="s">
        <v>186</v>
      </c>
      <c r="H21" s="15">
        <v>3</v>
      </c>
      <c r="I21" s="9" t="s">
        <v>22</v>
      </c>
      <c r="J21" s="15" t="s">
        <v>371</v>
      </c>
      <c r="K21" s="18">
        <f>630*1000000/9.5</f>
        <v>66315789.473684214</v>
      </c>
      <c r="L21" s="18"/>
      <c r="M21" s="18"/>
      <c r="N21" s="26">
        <v>0.2</v>
      </c>
      <c r="O21" s="26">
        <v>0.4</v>
      </c>
      <c r="P21" s="26">
        <v>0.3</v>
      </c>
      <c r="Q21" s="26">
        <v>0.1</v>
      </c>
      <c r="R21" s="18"/>
      <c r="S21" s="18"/>
      <c r="T21" s="18"/>
      <c r="U21" s="18"/>
    </row>
    <row r="22" spans="4:21" ht="15.75" thickBot="1" x14ac:dyDescent="0.3">
      <c r="D22" s="9" t="s">
        <v>9</v>
      </c>
      <c r="E22" s="9" t="s">
        <v>3</v>
      </c>
      <c r="F22" s="15" t="s">
        <v>393</v>
      </c>
      <c r="G22" s="15" t="s">
        <v>186</v>
      </c>
      <c r="H22" s="15">
        <v>6</v>
      </c>
      <c r="I22" s="9" t="s">
        <v>22</v>
      </c>
      <c r="J22" s="15" t="s">
        <v>371</v>
      </c>
      <c r="K22" s="18">
        <f>1060*1000000/9.5</f>
        <v>111578947.36842105</v>
      </c>
      <c r="L22" s="18"/>
      <c r="M22" s="18"/>
      <c r="N22" s="26">
        <v>0.2</v>
      </c>
      <c r="O22" s="26">
        <v>0.4</v>
      </c>
      <c r="P22" s="26">
        <v>0.3</v>
      </c>
      <c r="Q22" s="26">
        <v>0.1</v>
      </c>
      <c r="R22" s="18"/>
      <c r="S22" s="18"/>
      <c r="T22" s="18"/>
      <c r="U22" s="18"/>
    </row>
    <row r="23" spans="4:21" ht="15.75" thickBot="1" x14ac:dyDescent="0.3">
      <c r="D23" s="9" t="s">
        <v>9</v>
      </c>
      <c r="E23" s="9" t="s">
        <v>3</v>
      </c>
      <c r="F23" s="15" t="s">
        <v>393</v>
      </c>
      <c r="G23" s="15" t="s">
        <v>186</v>
      </c>
      <c r="H23" s="15">
        <v>9</v>
      </c>
      <c r="I23" s="9" t="s">
        <v>22</v>
      </c>
      <c r="J23" s="15" t="s">
        <v>371</v>
      </c>
      <c r="K23" s="18">
        <f>1640*1000000/9.5</f>
        <v>172631578.94736841</v>
      </c>
      <c r="L23" s="18"/>
      <c r="M23" s="18"/>
      <c r="N23" s="26">
        <v>0.2</v>
      </c>
      <c r="O23" s="26">
        <v>0.4</v>
      </c>
      <c r="P23" s="26">
        <v>0.3</v>
      </c>
      <c r="Q23" s="26">
        <v>0.1</v>
      </c>
      <c r="R23" s="18"/>
      <c r="S23" s="18"/>
      <c r="T23" s="18"/>
      <c r="U23" s="18"/>
    </row>
    <row r="24" spans="4:21" s="151" customFormat="1" x14ac:dyDescent="0.25">
      <c r="D24" s="148" t="s">
        <v>3</v>
      </c>
      <c r="E24" s="148" t="s">
        <v>26</v>
      </c>
      <c r="F24" s="152" t="s">
        <v>256</v>
      </c>
      <c r="G24" s="152" t="s">
        <v>233</v>
      </c>
      <c r="H24" s="153">
        <v>2</v>
      </c>
      <c r="I24" s="148" t="s">
        <v>22</v>
      </c>
      <c r="J24" s="152" t="s">
        <v>371</v>
      </c>
      <c r="K24" s="149">
        <f>1000*1000000/9.5</f>
        <v>105263157.89473684</v>
      </c>
      <c r="L24" s="149"/>
      <c r="M24" s="149"/>
      <c r="N24" s="154">
        <v>0.2</v>
      </c>
      <c r="O24" s="154">
        <v>0.4</v>
      </c>
      <c r="P24" s="154">
        <v>0.3</v>
      </c>
      <c r="Q24" s="154">
        <v>0.1</v>
      </c>
      <c r="R24" s="149"/>
      <c r="S24" s="149"/>
      <c r="T24" s="149"/>
      <c r="U24" s="149"/>
    </row>
  </sheetData>
  <dataValidations count="4">
    <dataValidation type="list" allowBlank="1" showInputMessage="1" showErrorMessage="1" sqref="D5:E21 D24:E24">
      <formula1>Location</formula1>
    </dataValidation>
    <dataValidation type="list" allowBlank="1" showInputMessage="1" showErrorMessage="1" sqref="I5:I24">
      <formula1>LogisticsCapex</formula1>
    </dataValidation>
    <dataValidation type="list" allowBlank="1" showInputMessage="1" showErrorMessage="1" sqref="J5:J24">
      <formula1>Currency</formula1>
    </dataValidation>
    <dataValidation type="list" allowBlank="1" showInputMessage="1" showErrorMessage="1" sqref="F5:F2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&gt;&gt;&gt;'!$F$5:$F$40</xm:f>
          </x14:formula1>
          <xm:sqref>G5:G24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34</vt:i4>
      </vt:variant>
    </vt:vector>
  </HeadingPairs>
  <TitlesOfParts>
    <vt:vector size="69" baseType="lpstr">
      <vt:lpstr>Home</vt:lpstr>
      <vt:lpstr>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BeneficiationNames</vt:lpstr>
      <vt:lpstr>BeneficiationProcess</vt:lpstr>
      <vt:lpstr>Currency</vt:lpstr>
      <vt:lpstr>db</vt:lpstr>
      <vt:lpstr>ds_host</vt:lpstr>
      <vt:lpstr>ds_port</vt:lpstr>
      <vt:lpstr>ENTITIES</vt:lpstr>
      <vt:lpstr>GranulationOptionsCapacity</vt:lpstr>
      <vt:lpstr>GranulCapacities</vt:lpstr>
      <vt:lpstr>GranulInputs</vt:lpstr>
      <vt:lpstr>'Conversion matrix'!GranulProcess</vt:lpstr>
      <vt:lpstr>GranulProcess</vt:lpstr>
      <vt:lpstr>GranulProducts</vt:lpstr>
      <vt:lpstr>Location</vt:lpstr>
      <vt:lpstr>LogisticCapacity</vt:lpstr>
      <vt:lpstr>LogisticsCapex</vt:lpstr>
      <vt:lpstr>'Conversion matrix'!LogisticsMethod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cp:lastPrinted>2019-09-24T08:45:31Z</cp:lastPrinted>
  <dcterms:created xsi:type="dcterms:W3CDTF">2019-06-13T15:12:33Z</dcterms:created>
  <dcterms:modified xsi:type="dcterms:W3CDTF">2019-12-05T16:40:47Z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